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SCO D\NO TOCAR\Clientes\2024\Bogdan-España\"/>
    </mc:Choice>
  </mc:AlternateContent>
  <bookViews>
    <workbookView xWindow="0" yWindow="0" windowWidth="20490" windowHeight="7650" activeTab="5"/>
  </bookViews>
  <sheets>
    <sheet name="Hoja1" sheetId="1" r:id="rId1"/>
    <sheet name="Hoja3" sheetId="3" r:id="rId2"/>
    <sheet name="Hoja4" sheetId="4" r:id="rId3"/>
    <sheet name="Hoja5" sheetId="5" r:id="rId4"/>
    <sheet name="Hoja6" sheetId="6" r:id="rId5"/>
    <sheet name="Hoja8" sheetId="8" r:id="rId6"/>
    <sheet name="Datos" sheetId="7" r:id="rId7"/>
    <sheet name="Hoja2" sheetId="2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01" i="8" l="1"/>
  <c r="C600" i="8"/>
  <c r="C599" i="8"/>
  <c r="C598" i="8"/>
  <c r="C597" i="8"/>
  <c r="C596" i="8"/>
  <c r="C595" i="8"/>
  <c r="C594" i="8"/>
  <c r="C593" i="8"/>
  <c r="C592" i="8"/>
  <c r="C591" i="8"/>
  <c r="C590" i="8"/>
  <c r="C589" i="8"/>
  <c r="C588" i="8"/>
  <c r="C587" i="8"/>
  <c r="C586" i="8"/>
  <c r="C585" i="8"/>
  <c r="C584" i="8"/>
  <c r="C583" i="8"/>
  <c r="C582" i="8"/>
  <c r="C581" i="8"/>
  <c r="C580" i="8"/>
  <c r="C579" i="8"/>
  <c r="C578" i="8"/>
  <c r="C577" i="8"/>
  <c r="C576" i="8"/>
  <c r="C575" i="8"/>
  <c r="C574" i="8"/>
  <c r="C573" i="8"/>
  <c r="C572" i="8"/>
  <c r="C571" i="8"/>
  <c r="C570" i="8"/>
  <c r="C569" i="8"/>
  <c r="C568" i="8"/>
  <c r="C567" i="8"/>
  <c r="C566" i="8"/>
  <c r="C565" i="8"/>
  <c r="C564" i="8"/>
  <c r="C563" i="8"/>
  <c r="C562" i="8"/>
  <c r="C561" i="8"/>
  <c r="C560" i="8"/>
  <c r="C559" i="8"/>
  <c r="C558" i="8"/>
  <c r="C557" i="8"/>
  <c r="C556" i="8"/>
  <c r="C555" i="8"/>
  <c r="C554" i="8"/>
  <c r="C553" i="8"/>
  <c r="C552" i="8"/>
  <c r="C551" i="8"/>
  <c r="C550" i="8"/>
  <c r="C549" i="8"/>
  <c r="C548" i="8"/>
  <c r="C547" i="8"/>
  <c r="C546" i="8"/>
  <c r="C545" i="8"/>
  <c r="C544" i="8"/>
  <c r="C543" i="8"/>
  <c r="C542" i="8"/>
  <c r="C541" i="8"/>
  <c r="C540" i="8"/>
  <c r="C539" i="8"/>
  <c r="C538" i="8"/>
  <c r="C537" i="8"/>
  <c r="C536" i="8"/>
  <c r="C535" i="8"/>
  <c r="C534" i="8"/>
  <c r="C533" i="8"/>
  <c r="C532" i="8"/>
  <c r="C531" i="8"/>
  <c r="C530" i="8"/>
  <c r="C529" i="8"/>
  <c r="C528" i="8"/>
  <c r="C527" i="8"/>
  <c r="C526" i="8"/>
  <c r="C525" i="8"/>
  <c r="C524" i="8"/>
  <c r="C523" i="8"/>
  <c r="C522" i="8"/>
  <c r="C521" i="8"/>
  <c r="C520" i="8"/>
  <c r="C519" i="8"/>
  <c r="C518" i="8"/>
  <c r="C517" i="8"/>
  <c r="C516" i="8"/>
  <c r="C515" i="8"/>
  <c r="C514" i="8"/>
  <c r="C513" i="8"/>
  <c r="C512" i="8"/>
  <c r="C511" i="8"/>
  <c r="C510" i="8"/>
  <c r="C509" i="8"/>
  <c r="C508" i="8"/>
  <c r="C507" i="8"/>
  <c r="C506" i="8"/>
  <c r="C505" i="8"/>
  <c r="C504" i="8"/>
  <c r="C503" i="8"/>
  <c r="C502" i="8"/>
  <c r="C501" i="8"/>
  <c r="C500" i="8"/>
  <c r="C499" i="8"/>
  <c r="C498" i="8"/>
  <c r="C497" i="8"/>
  <c r="C496" i="8"/>
  <c r="C495" i="8"/>
  <c r="C494" i="8"/>
  <c r="C493" i="8"/>
  <c r="C492" i="8"/>
  <c r="C491" i="8"/>
  <c r="C490" i="8"/>
  <c r="C489" i="8"/>
  <c r="C488" i="8"/>
  <c r="C487" i="8"/>
  <c r="C486" i="8"/>
  <c r="C485" i="8"/>
  <c r="C484" i="8"/>
  <c r="C483" i="8"/>
  <c r="C482" i="8"/>
  <c r="C481" i="8"/>
  <c r="C480" i="8"/>
  <c r="C479" i="8"/>
  <c r="C478" i="8"/>
  <c r="C477" i="8"/>
  <c r="C476" i="8"/>
  <c r="C475" i="8"/>
  <c r="C474" i="8"/>
  <c r="C473" i="8"/>
  <c r="C472" i="8"/>
  <c r="C471" i="8"/>
  <c r="C470" i="8"/>
  <c r="C469" i="8"/>
  <c r="C468" i="8"/>
  <c r="C467" i="8"/>
  <c r="C466" i="8"/>
  <c r="C465" i="8"/>
  <c r="C464" i="8"/>
  <c r="C463" i="8"/>
  <c r="C462" i="8"/>
  <c r="C461" i="8"/>
  <c r="C460" i="8"/>
  <c r="C459" i="8"/>
  <c r="C458" i="8"/>
  <c r="C457" i="8"/>
  <c r="C456" i="8"/>
  <c r="C455" i="8"/>
  <c r="C454" i="8"/>
  <c r="C453" i="8"/>
  <c r="C452" i="8"/>
  <c r="C451" i="8"/>
  <c r="C450" i="8"/>
  <c r="C449" i="8"/>
  <c r="C448" i="8"/>
  <c r="C447" i="8"/>
  <c r="C446" i="8"/>
  <c r="C445" i="8"/>
  <c r="C444" i="8"/>
  <c r="C443" i="8"/>
  <c r="C442" i="8"/>
  <c r="C441" i="8"/>
  <c r="C440" i="8"/>
  <c r="C439" i="8"/>
  <c r="C438" i="8"/>
  <c r="C437" i="8"/>
  <c r="C436" i="8"/>
  <c r="C435" i="8"/>
  <c r="C434" i="8"/>
  <c r="C433" i="8"/>
  <c r="C432" i="8"/>
  <c r="C431" i="8"/>
  <c r="C430" i="8"/>
  <c r="C429" i="8"/>
  <c r="C428" i="8"/>
  <c r="C427" i="8"/>
  <c r="C426" i="8"/>
  <c r="C425" i="8"/>
  <c r="C424" i="8"/>
  <c r="C423" i="8"/>
  <c r="C422" i="8"/>
  <c r="C421" i="8"/>
  <c r="C420" i="8"/>
  <c r="C419" i="8"/>
  <c r="C418" i="8"/>
  <c r="C417" i="8"/>
  <c r="C416" i="8"/>
  <c r="C415" i="8"/>
  <c r="C414" i="8"/>
  <c r="C413" i="8"/>
  <c r="C412" i="8"/>
  <c r="C411" i="8"/>
  <c r="C410" i="8"/>
  <c r="C409" i="8"/>
  <c r="C408" i="8"/>
  <c r="C407" i="8"/>
  <c r="C406" i="8"/>
  <c r="C405" i="8"/>
  <c r="C404" i="8"/>
  <c r="C403" i="8"/>
  <c r="C402" i="8"/>
  <c r="C401" i="8"/>
  <c r="C400" i="8"/>
  <c r="C399" i="8"/>
  <c r="C398" i="8"/>
  <c r="C397" i="8"/>
  <c r="C396" i="8"/>
  <c r="C395" i="8"/>
  <c r="C394" i="8"/>
  <c r="C393" i="8"/>
  <c r="C392" i="8"/>
  <c r="C391" i="8"/>
  <c r="C390" i="8"/>
  <c r="C389" i="8"/>
  <c r="C388" i="8"/>
  <c r="C387" i="8"/>
  <c r="C386" i="8"/>
  <c r="C385" i="8"/>
  <c r="C384" i="8"/>
  <c r="C383" i="8"/>
  <c r="C382" i="8"/>
  <c r="C381" i="8"/>
  <c r="C380" i="8"/>
  <c r="C379" i="8"/>
  <c r="C378" i="8"/>
  <c r="C377" i="8"/>
  <c r="C376" i="8"/>
  <c r="C375" i="8"/>
  <c r="C374" i="8"/>
  <c r="C373" i="8"/>
  <c r="C372" i="8"/>
  <c r="C371" i="8"/>
  <c r="C370" i="8"/>
  <c r="C369" i="8"/>
  <c r="C368" i="8"/>
  <c r="C367" i="8"/>
  <c r="C366" i="8"/>
  <c r="C365" i="8"/>
  <c r="C364" i="8"/>
  <c r="C363" i="8"/>
  <c r="C362" i="8"/>
  <c r="C361" i="8"/>
  <c r="C360" i="8"/>
  <c r="C359" i="8"/>
  <c r="C358" i="8"/>
  <c r="C357" i="8"/>
  <c r="C356" i="8"/>
  <c r="C355" i="8"/>
  <c r="C354" i="8"/>
  <c r="C353" i="8"/>
  <c r="C352" i="8"/>
  <c r="C351" i="8"/>
  <c r="C350" i="8"/>
  <c r="C349" i="8"/>
  <c r="C348" i="8"/>
  <c r="C347" i="8"/>
  <c r="C346" i="8"/>
  <c r="C345" i="8"/>
  <c r="C344" i="8"/>
  <c r="C343" i="8"/>
  <c r="C342" i="8"/>
  <c r="C341" i="8"/>
  <c r="C340" i="8"/>
  <c r="C339" i="8"/>
  <c r="C338" i="8"/>
  <c r="C337" i="8"/>
  <c r="C336" i="8"/>
  <c r="C335" i="8"/>
  <c r="C334" i="8"/>
  <c r="C333" i="8"/>
  <c r="C332" i="8"/>
  <c r="C331" i="8"/>
  <c r="C330" i="8"/>
  <c r="C329" i="8"/>
  <c r="C328" i="8"/>
  <c r="C327" i="8"/>
  <c r="C326" i="8"/>
  <c r="C325" i="8"/>
  <c r="C324" i="8"/>
  <c r="C323" i="8"/>
  <c r="C322" i="8"/>
  <c r="C321" i="8"/>
  <c r="C320" i="8"/>
  <c r="C319" i="8"/>
  <c r="C318" i="8"/>
  <c r="C317" i="8"/>
  <c r="C316" i="8"/>
  <c r="C315" i="8"/>
  <c r="C314" i="8"/>
  <c r="C313" i="8"/>
  <c r="C312" i="8"/>
  <c r="C311" i="8"/>
  <c r="C310" i="8"/>
  <c r="C309" i="8"/>
  <c r="C308" i="8"/>
  <c r="C307" i="8"/>
  <c r="C306" i="8"/>
  <c r="C305" i="8"/>
  <c r="C304" i="8"/>
  <c r="C303" i="8"/>
  <c r="C302" i="8"/>
  <c r="C301" i="8"/>
  <c r="C300" i="8"/>
  <c r="C299" i="8"/>
  <c r="C298" i="8"/>
  <c r="C297" i="8"/>
  <c r="C296" i="8"/>
  <c r="C295" i="8"/>
  <c r="C294" i="8"/>
  <c r="C293" i="8"/>
  <c r="C292" i="8"/>
  <c r="C291" i="8"/>
  <c r="C290" i="8"/>
  <c r="C289" i="8"/>
  <c r="C288" i="8"/>
  <c r="C287" i="8"/>
  <c r="C286" i="8"/>
  <c r="C285" i="8"/>
  <c r="C284" i="8"/>
  <c r="C283" i="8"/>
  <c r="C282" i="8"/>
  <c r="C281" i="8"/>
  <c r="C280" i="8"/>
  <c r="C279" i="8"/>
  <c r="C278" i="8"/>
  <c r="C277" i="8"/>
  <c r="C276" i="8"/>
  <c r="C275" i="8"/>
  <c r="C274" i="8"/>
  <c r="C273" i="8"/>
  <c r="C272" i="8"/>
  <c r="C271" i="8"/>
  <c r="C270" i="8"/>
  <c r="C269" i="8"/>
  <c r="C268" i="8"/>
  <c r="C267" i="8"/>
  <c r="C266" i="8"/>
  <c r="C265" i="8"/>
  <c r="C264" i="8"/>
  <c r="C263" i="8"/>
  <c r="C262" i="8"/>
  <c r="C261" i="8"/>
  <c r="C260" i="8"/>
  <c r="C259" i="8"/>
  <c r="C258" i="8"/>
  <c r="C257" i="8"/>
  <c r="C256" i="8"/>
  <c r="C255" i="8"/>
  <c r="C254" i="8"/>
  <c r="C253" i="8"/>
  <c r="C252" i="8"/>
  <c r="C251" i="8"/>
  <c r="C250" i="8"/>
  <c r="C249" i="8"/>
  <c r="C248" i="8"/>
  <c r="C247" i="8"/>
  <c r="C246" i="8"/>
  <c r="C245" i="8"/>
  <c r="C244" i="8"/>
  <c r="C243" i="8"/>
  <c r="C242" i="8"/>
  <c r="C241" i="8"/>
  <c r="C240" i="8"/>
  <c r="C239" i="8"/>
  <c r="C238" i="8"/>
  <c r="C237" i="8"/>
  <c r="C236" i="8"/>
  <c r="C235" i="8"/>
  <c r="C234" i="8"/>
  <c r="C233" i="8"/>
  <c r="C232" i="8"/>
  <c r="C231" i="8"/>
  <c r="C230" i="8"/>
  <c r="C229" i="8"/>
  <c r="C228" i="8"/>
  <c r="C227" i="8"/>
  <c r="C226" i="8"/>
  <c r="C225" i="8"/>
  <c r="C224" i="8"/>
  <c r="C223" i="8"/>
  <c r="C222" i="8"/>
  <c r="C221" i="8"/>
  <c r="C220" i="8"/>
  <c r="C219" i="8"/>
  <c r="C218" i="8"/>
  <c r="C217" i="8"/>
  <c r="C216" i="8"/>
  <c r="C215" i="8"/>
  <c r="C214" i="8"/>
  <c r="C213" i="8"/>
  <c r="C212" i="8"/>
  <c r="C211" i="8"/>
  <c r="C210" i="8"/>
  <c r="C209" i="8"/>
  <c r="C208" i="8"/>
  <c r="C207" i="8"/>
  <c r="C206" i="8"/>
  <c r="C205" i="8"/>
  <c r="C204" i="8"/>
  <c r="C203" i="8"/>
  <c r="C202" i="8"/>
  <c r="C201" i="8"/>
  <c r="C200" i="8"/>
  <c r="C199" i="8"/>
  <c r="C198" i="8"/>
  <c r="C197" i="8"/>
  <c r="C196" i="8"/>
  <c r="C195" i="8"/>
  <c r="C194" i="8"/>
  <c r="C193" i="8"/>
  <c r="C192" i="8"/>
  <c r="C191" i="8"/>
  <c r="C190" i="8"/>
  <c r="C189" i="8"/>
  <c r="C188" i="8"/>
  <c r="C187" i="8"/>
  <c r="C186" i="8"/>
  <c r="C185" i="8"/>
  <c r="C184" i="8"/>
  <c r="C183" i="8"/>
  <c r="C182" i="8"/>
  <c r="C181" i="8"/>
  <c r="C180" i="8"/>
  <c r="C179" i="8"/>
  <c r="C178" i="8"/>
  <c r="C177" i="8"/>
  <c r="C176" i="8"/>
  <c r="C175" i="8"/>
  <c r="C174" i="8"/>
  <c r="C173" i="8"/>
  <c r="C172" i="8"/>
  <c r="C171" i="8"/>
  <c r="C170" i="8"/>
  <c r="C169" i="8"/>
  <c r="C168" i="8"/>
  <c r="C167" i="8"/>
  <c r="C166" i="8"/>
  <c r="C165" i="8"/>
  <c r="C164" i="8"/>
  <c r="C163" i="8"/>
  <c r="C162" i="8"/>
  <c r="C161" i="8"/>
  <c r="C160" i="8"/>
  <c r="C159" i="8"/>
  <c r="C158" i="8"/>
  <c r="C157" i="8"/>
  <c r="C156" i="8"/>
  <c r="C155" i="8"/>
  <c r="C154" i="8"/>
  <c r="C153" i="8"/>
  <c r="C152" i="8"/>
  <c r="C151" i="8"/>
  <c r="C150" i="8"/>
  <c r="C149" i="8"/>
  <c r="C148" i="8"/>
  <c r="C147" i="8"/>
  <c r="C146" i="8"/>
  <c r="C145" i="8"/>
  <c r="C144" i="8"/>
  <c r="C143" i="8"/>
  <c r="C142" i="8"/>
  <c r="C141" i="8"/>
  <c r="C140" i="8"/>
  <c r="C139" i="8"/>
  <c r="C138" i="8"/>
  <c r="C137" i="8"/>
  <c r="C136" i="8"/>
  <c r="C135" i="8"/>
  <c r="C134" i="8"/>
  <c r="C133" i="8"/>
  <c r="C132" i="8"/>
  <c r="C131" i="8"/>
  <c r="C130" i="8"/>
  <c r="C129" i="8"/>
  <c r="C128" i="8"/>
  <c r="C127" i="8"/>
  <c r="C126" i="8"/>
  <c r="C125" i="8"/>
  <c r="C124" i="8"/>
  <c r="C123" i="8"/>
  <c r="C122" i="8"/>
  <c r="C121" i="8"/>
  <c r="C120" i="8"/>
  <c r="C119" i="8"/>
  <c r="C118" i="8"/>
  <c r="C117" i="8"/>
  <c r="C116" i="8"/>
  <c r="C115" i="8"/>
  <c r="C114" i="8"/>
  <c r="C113" i="8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C1" i="8"/>
  <c r="D11" i="6" l="1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D435" i="6"/>
  <c r="D436" i="6"/>
  <c r="D437" i="6"/>
  <c r="D438" i="6"/>
  <c r="D439" i="6"/>
  <c r="D440" i="6"/>
  <c r="D441" i="6"/>
  <c r="D442" i="6"/>
  <c r="D443" i="6"/>
  <c r="D444" i="6"/>
  <c r="D445" i="6"/>
  <c r="D446" i="6"/>
  <c r="D447" i="6"/>
  <c r="D448" i="6"/>
  <c r="D449" i="6"/>
  <c r="D450" i="6"/>
  <c r="D451" i="6"/>
  <c r="D452" i="6"/>
  <c r="D453" i="6"/>
  <c r="D454" i="6"/>
  <c r="D455" i="6"/>
  <c r="D456" i="6"/>
  <c r="D457" i="6"/>
  <c r="D458" i="6"/>
  <c r="D459" i="6"/>
  <c r="D460" i="6"/>
  <c r="D461" i="6"/>
  <c r="D462" i="6"/>
  <c r="D463" i="6"/>
  <c r="D464" i="6"/>
  <c r="D465" i="6"/>
  <c r="D466" i="6"/>
  <c r="D467" i="6"/>
  <c r="D468" i="6"/>
  <c r="D469" i="6"/>
  <c r="D470" i="6"/>
  <c r="D471" i="6"/>
  <c r="D472" i="6"/>
  <c r="D473" i="6"/>
  <c r="D474" i="6"/>
  <c r="D475" i="6"/>
  <c r="D476" i="6"/>
  <c r="D477" i="6"/>
  <c r="D478" i="6"/>
  <c r="D479" i="6"/>
  <c r="D480" i="6"/>
  <c r="D481" i="6"/>
  <c r="D482" i="6"/>
  <c r="D483" i="6"/>
  <c r="D484" i="6"/>
  <c r="D485" i="6"/>
  <c r="D486" i="6"/>
  <c r="D487" i="6"/>
  <c r="D488" i="6"/>
  <c r="D489" i="6"/>
  <c r="D490" i="6"/>
  <c r="D491" i="6"/>
  <c r="D492" i="6"/>
  <c r="D493" i="6"/>
  <c r="D494" i="6"/>
  <c r="D495" i="6"/>
  <c r="D496" i="6"/>
  <c r="D497" i="6"/>
  <c r="D498" i="6"/>
  <c r="D499" i="6"/>
  <c r="D500" i="6"/>
  <c r="D501" i="6"/>
  <c r="D502" i="6"/>
  <c r="D503" i="6"/>
  <c r="D504" i="6"/>
  <c r="D505" i="6"/>
  <c r="D506" i="6"/>
  <c r="D507" i="6"/>
  <c r="D508" i="6"/>
  <c r="D509" i="6"/>
  <c r="D510" i="6"/>
  <c r="D511" i="6"/>
  <c r="D512" i="6"/>
  <c r="D513" i="6"/>
  <c r="D514" i="6"/>
  <c r="D515" i="6"/>
  <c r="D516" i="6"/>
  <c r="D517" i="6"/>
  <c r="D518" i="6"/>
  <c r="D519" i="6"/>
  <c r="D520" i="6"/>
  <c r="D521" i="6"/>
  <c r="D522" i="6"/>
  <c r="D523" i="6"/>
  <c r="D524" i="6"/>
  <c r="D525" i="6"/>
  <c r="D526" i="6"/>
  <c r="D527" i="6"/>
  <c r="D528" i="6"/>
  <c r="D529" i="6"/>
  <c r="D530" i="6"/>
  <c r="D531" i="6"/>
  <c r="D532" i="6"/>
  <c r="D533" i="6"/>
  <c r="D534" i="6"/>
  <c r="D535" i="6"/>
  <c r="D536" i="6"/>
  <c r="D537" i="6"/>
  <c r="D538" i="6"/>
  <c r="D539" i="6"/>
  <c r="D540" i="6"/>
  <c r="D541" i="6"/>
  <c r="D542" i="6"/>
  <c r="D543" i="6"/>
  <c r="D544" i="6"/>
  <c r="D545" i="6"/>
  <c r="D546" i="6"/>
  <c r="D547" i="6"/>
  <c r="D548" i="6"/>
  <c r="D549" i="6"/>
  <c r="D550" i="6"/>
  <c r="D551" i="6"/>
  <c r="D552" i="6"/>
  <c r="D553" i="6"/>
  <c r="D554" i="6"/>
  <c r="D555" i="6"/>
  <c r="D556" i="6"/>
  <c r="D557" i="6"/>
  <c r="D558" i="6"/>
  <c r="D559" i="6"/>
  <c r="D560" i="6"/>
  <c r="D561" i="6"/>
  <c r="D562" i="6"/>
  <c r="D563" i="6"/>
  <c r="D564" i="6"/>
  <c r="D565" i="6"/>
  <c r="D566" i="6"/>
  <c r="D567" i="6"/>
  <c r="D568" i="6"/>
  <c r="D569" i="6"/>
  <c r="D570" i="6"/>
  <c r="D571" i="6"/>
  <c r="D572" i="6"/>
  <c r="D573" i="6"/>
  <c r="D574" i="6"/>
  <c r="D575" i="6"/>
  <c r="D576" i="6"/>
  <c r="D577" i="6"/>
  <c r="D578" i="6"/>
  <c r="D579" i="6"/>
  <c r="D580" i="6"/>
  <c r="D581" i="6"/>
  <c r="D582" i="6"/>
  <c r="D583" i="6"/>
  <c r="D584" i="6"/>
  <c r="D585" i="6"/>
  <c r="D586" i="6"/>
  <c r="D587" i="6"/>
  <c r="D588" i="6"/>
  <c r="D589" i="6"/>
  <c r="D590" i="6"/>
  <c r="D591" i="6"/>
  <c r="D592" i="6"/>
  <c r="D593" i="6"/>
  <c r="D594" i="6"/>
  <c r="D595" i="6"/>
  <c r="D596" i="6"/>
  <c r="D597" i="6"/>
  <c r="D598" i="6"/>
  <c r="D599" i="6"/>
  <c r="D600" i="6"/>
  <c r="D601" i="6"/>
  <c r="D2" i="6"/>
  <c r="D3" i="6"/>
  <c r="D4" i="6"/>
  <c r="D5" i="6"/>
  <c r="D6" i="6"/>
  <c r="D7" i="6"/>
  <c r="D8" i="6"/>
  <c r="D9" i="6"/>
  <c r="D10" i="6"/>
  <c r="D1" i="6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" i="1"/>
  <c r="Q274" i="1"/>
  <c r="Q281" i="1"/>
  <c r="Q275" i="1"/>
  <c r="Q282" i="1"/>
  <c r="Q276" i="1"/>
  <c r="Q283" i="1"/>
  <c r="Q277" i="1"/>
  <c r="Q284" i="1"/>
  <c r="Q285" i="1"/>
  <c r="Q278" i="1"/>
  <c r="Q304" i="1"/>
  <c r="Q279" i="1"/>
  <c r="Q286" i="1"/>
  <c r="Q280" i="1"/>
  <c r="Q305" i="1"/>
  <c r="Q312" i="1"/>
  <c r="Q287" i="1"/>
  <c r="Q306" i="1"/>
  <c r="Q313" i="1"/>
  <c r="Q288" i="1"/>
  <c r="Q307" i="1"/>
  <c r="Q314" i="1"/>
  <c r="Q289" i="1"/>
  <c r="Q296" i="1"/>
  <c r="Q308" i="1"/>
  <c r="Q315" i="1"/>
  <c r="Q290" i="1"/>
  <c r="Q297" i="1"/>
  <c r="Q309" i="1"/>
  <c r="Q316" i="1"/>
  <c r="Q291" i="1"/>
  <c r="Q298" i="1"/>
  <c r="Q310" i="1"/>
  <c r="Q317" i="1"/>
  <c r="Q292" i="1"/>
  <c r="Q299" i="1"/>
  <c r="Q311" i="1"/>
  <c r="Q318" i="1"/>
  <c r="Q300" i="1"/>
  <c r="Q293" i="1"/>
  <c r="Q319" i="1"/>
  <c r="Q294" i="1"/>
  <c r="Q301" i="1"/>
  <c r="Q295" i="1"/>
  <c r="Q302" i="1"/>
  <c r="Q303" i="1"/>
  <c r="Q273" i="1"/>
  <c r="M248" i="1"/>
  <c r="M255" i="1"/>
  <c r="M249" i="1"/>
  <c r="M256" i="1"/>
  <c r="M250" i="1"/>
  <c r="M257" i="1"/>
  <c r="M251" i="1"/>
  <c r="M258" i="1"/>
  <c r="M252" i="1"/>
  <c r="M259" i="1"/>
  <c r="M253" i="1"/>
  <c r="M260" i="1"/>
  <c r="M254" i="1"/>
  <c r="M261" i="1"/>
  <c r="M262" i="1"/>
  <c r="M247" i="1"/>
  <c r="O264" i="1"/>
  <c r="O265" i="1"/>
  <c r="O266" i="1"/>
  <c r="O269" i="1"/>
  <c r="O270" i="1"/>
  <c r="O267" i="1"/>
  <c r="O268" i="1"/>
  <c r="O271" i="1"/>
  <c r="O272" i="1"/>
  <c r="O263" i="1"/>
  <c r="P321" i="1"/>
  <c r="P328" i="1"/>
  <c r="P322" i="1"/>
  <c r="P329" i="1"/>
  <c r="P323" i="1"/>
  <c r="P330" i="1"/>
  <c r="P324" i="1"/>
  <c r="P331" i="1"/>
  <c r="P325" i="1"/>
  <c r="P332" i="1"/>
  <c r="P326" i="1"/>
  <c r="P333" i="1"/>
  <c r="P327" i="1"/>
  <c r="P334" i="1"/>
  <c r="P335" i="1"/>
  <c r="P320" i="1"/>
  <c r="P170" i="1"/>
  <c r="P156" i="1"/>
  <c r="P157" i="1"/>
  <c r="P171" i="1"/>
  <c r="P125" i="1"/>
  <c r="P337" i="1"/>
  <c r="P158" i="1"/>
  <c r="P172" i="1"/>
  <c r="P140" i="1"/>
  <c r="P159" i="1"/>
  <c r="P173" i="1"/>
  <c r="P160" i="1"/>
  <c r="P95" i="1"/>
  <c r="P161" i="1"/>
  <c r="P126" i="1"/>
  <c r="P174" i="1"/>
  <c r="P338" i="1"/>
  <c r="P175" i="1"/>
  <c r="P110" i="1"/>
  <c r="P352" i="1"/>
  <c r="P127" i="1"/>
  <c r="P162" i="1"/>
  <c r="P339" i="1"/>
  <c r="P176" i="1"/>
  <c r="P141" i="1"/>
  <c r="P163" i="1"/>
  <c r="P96" i="1"/>
  <c r="P128" i="1"/>
  <c r="P340" i="1"/>
  <c r="P142" i="1"/>
  <c r="P177" i="1"/>
  <c r="P164" i="1"/>
  <c r="P97" i="1"/>
  <c r="P129" i="1"/>
  <c r="P341" i="1"/>
  <c r="P178" i="1"/>
  <c r="P111" i="1"/>
  <c r="P353" i="1"/>
  <c r="P143" i="1"/>
  <c r="P130" i="1"/>
  <c r="P342" i="1"/>
  <c r="P179" i="1"/>
  <c r="P165" i="1"/>
  <c r="P98" i="1"/>
  <c r="P131" i="1"/>
  <c r="P112" i="1"/>
  <c r="P354" i="1"/>
  <c r="P343" i="1"/>
  <c r="P144" i="1"/>
  <c r="P145" i="1"/>
  <c r="P99" i="1"/>
  <c r="P180" i="1"/>
  <c r="P113" i="1"/>
  <c r="P355" i="1"/>
  <c r="P132" i="1"/>
  <c r="P146" i="1"/>
  <c r="P100" i="1"/>
  <c r="P344" i="1"/>
  <c r="P101" i="1"/>
  <c r="P133" i="1"/>
  <c r="P114" i="1"/>
  <c r="P356" i="1"/>
  <c r="P345" i="1"/>
  <c r="P147" i="1"/>
  <c r="P115" i="1"/>
  <c r="P357" i="1"/>
  <c r="P134" i="1"/>
  <c r="P346" i="1"/>
  <c r="P102" i="1"/>
  <c r="P116" i="1"/>
  <c r="P358" i="1"/>
  <c r="P148" i="1"/>
  <c r="P149" i="1"/>
  <c r="P103" i="1"/>
  <c r="P135" i="1"/>
  <c r="P347" i="1"/>
  <c r="P117" i="1"/>
  <c r="P359" i="1"/>
  <c r="P104" i="1"/>
  <c r="P118" i="1"/>
  <c r="P360" i="1"/>
  <c r="P150" i="1"/>
  <c r="P166" i="1"/>
  <c r="P119" i="1"/>
  <c r="P361" i="1"/>
  <c r="P105" i="1"/>
  <c r="P167" i="1"/>
  <c r="P181" i="1"/>
  <c r="P168" i="1"/>
  <c r="P120" i="1"/>
  <c r="P362" i="1"/>
  <c r="P182" i="1"/>
  <c r="P169" i="1"/>
  <c r="P183" i="1"/>
  <c r="P184" i="1"/>
  <c r="P136" i="1"/>
  <c r="P348" i="1"/>
  <c r="P137" i="1"/>
  <c r="P349" i="1"/>
  <c r="P151" i="1"/>
  <c r="P138" i="1"/>
  <c r="P350" i="1"/>
  <c r="P106" i="1"/>
  <c r="P152" i="1"/>
  <c r="P139" i="1"/>
  <c r="P351" i="1"/>
  <c r="P153" i="1"/>
  <c r="P107" i="1"/>
  <c r="P121" i="1"/>
  <c r="P363" i="1"/>
  <c r="P108" i="1"/>
  <c r="P154" i="1"/>
  <c r="P122" i="1"/>
  <c r="P364" i="1"/>
  <c r="P109" i="1"/>
  <c r="P123" i="1"/>
  <c r="P365" i="1"/>
  <c r="P124" i="1"/>
  <c r="P366" i="1"/>
  <c r="P155" i="1"/>
  <c r="O95" i="1"/>
  <c r="O125" i="1"/>
  <c r="O155" i="1"/>
  <c r="O64" i="1"/>
  <c r="O338" i="1"/>
  <c r="O110" i="1"/>
  <c r="O352" i="1"/>
  <c r="O140" i="1"/>
  <c r="O170" i="1"/>
  <c r="O80" i="1"/>
  <c r="O339" i="1"/>
  <c r="O304" i="1"/>
  <c r="O340" i="1"/>
  <c r="O320" i="1"/>
  <c r="O305" i="1"/>
  <c r="O96" i="1"/>
  <c r="O126" i="1"/>
  <c r="O312" i="1"/>
  <c r="O156" i="1"/>
  <c r="O65" i="1"/>
  <c r="O341" i="1"/>
  <c r="O321" i="1"/>
  <c r="O97" i="1"/>
  <c r="O306" i="1"/>
  <c r="O127" i="1"/>
  <c r="O328" i="1"/>
  <c r="O313" i="1"/>
  <c r="O111" i="1"/>
  <c r="O353" i="1"/>
  <c r="O157" i="1"/>
  <c r="O342" i="1"/>
  <c r="O66" i="1"/>
  <c r="O141" i="1"/>
  <c r="O171" i="1"/>
  <c r="O81" i="1"/>
  <c r="O343" i="1"/>
  <c r="O322" i="1"/>
  <c r="O307" i="1"/>
  <c r="O98" i="1"/>
  <c r="O329" i="1"/>
  <c r="O128" i="1"/>
  <c r="O112" i="1"/>
  <c r="O354" i="1"/>
  <c r="O314" i="1"/>
  <c r="O158" i="1"/>
  <c r="O67" i="1"/>
  <c r="O142" i="1"/>
  <c r="O172" i="1"/>
  <c r="O82" i="1"/>
  <c r="O323" i="1"/>
  <c r="O99" i="1"/>
  <c r="O308" i="1"/>
  <c r="O344" i="1"/>
  <c r="O129" i="1"/>
  <c r="O330" i="1"/>
  <c r="O315" i="1"/>
  <c r="O113" i="1"/>
  <c r="O355" i="1"/>
  <c r="O159" i="1"/>
  <c r="O68" i="1"/>
  <c r="O143" i="1"/>
  <c r="O100" i="1"/>
  <c r="O173" i="1"/>
  <c r="O83" i="1"/>
  <c r="O130" i="1"/>
  <c r="O160" i="1"/>
  <c r="O69" i="1"/>
  <c r="O345" i="1"/>
  <c r="O324" i="1"/>
  <c r="O101" i="1"/>
  <c r="O331" i="1"/>
  <c r="O131" i="1"/>
  <c r="O114" i="1"/>
  <c r="O356" i="1"/>
  <c r="O309" i="1"/>
  <c r="O316" i="1"/>
  <c r="O161" i="1"/>
  <c r="O70" i="1"/>
  <c r="O144" i="1"/>
  <c r="O174" i="1"/>
  <c r="O84" i="1"/>
  <c r="O346" i="1"/>
  <c r="O115" i="1"/>
  <c r="O357" i="1"/>
  <c r="O145" i="1"/>
  <c r="O175" i="1"/>
  <c r="O85" i="1"/>
  <c r="O71" i="1"/>
  <c r="O310" i="1"/>
  <c r="O325" i="1"/>
  <c r="O332" i="1"/>
  <c r="O102" i="1"/>
  <c r="O116" i="1"/>
  <c r="O358" i="1"/>
  <c r="O132" i="1"/>
  <c r="O146" i="1"/>
  <c r="O317" i="1"/>
  <c r="O162" i="1"/>
  <c r="O176" i="1"/>
  <c r="O72" i="1"/>
  <c r="O86" i="1"/>
  <c r="O311" i="1"/>
  <c r="O347" i="1"/>
  <c r="O326" i="1"/>
  <c r="O103" i="1"/>
  <c r="O133" i="1"/>
  <c r="O318" i="1"/>
  <c r="O163" i="1"/>
  <c r="O73" i="1"/>
  <c r="O333" i="1"/>
  <c r="O117" i="1"/>
  <c r="O359" i="1"/>
  <c r="O147" i="1"/>
  <c r="O177" i="1"/>
  <c r="O87" i="1"/>
  <c r="O327" i="1"/>
  <c r="O104" i="1"/>
  <c r="O134" i="1"/>
  <c r="O319" i="1"/>
  <c r="O164" i="1"/>
  <c r="O74" i="1"/>
  <c r="O334" i="1"/>
  <c r="O118" i="1"/>
  <c r="O360" i="1"/>
  <c r="O148" i="1"/>
  <c r="O178" i="1"/>
  <c r="O88" i="1"/>
  <c r="O335" i="1"/>
  <c r="O119" i="1"/>
  <c r="O361" i="1"/>
  <c r="O149" i="1"/>
  <c r="O105" i="1"/>
  <c r="O179" i="1"/>
  <c r="O89" i="1"/>
  <c r="O135" i="1"/>
  <c r="O165" i="1"/>
  <c r="O75" i="1"/>
  <c r="O120" i="1"/>
  <c r="O362" i="1"/>
  <c r="O150" i="1"/>
  <c r="O180" i="1"/>
  <c r="O90" i="1"/>
  <c r="O348" i="1"/>
  <c r="O349" i="1"/>
  <c r="O350" i="1"/>
  <c r="O106" i="1"/>
  <c r="O351" i="1"/>
  <c r="O136" i="1"/>
  <c r="O166" i="1"/>
  <c r="O76" i="1"/>
  <c r="O107" i="1"/>
  <c r="O137" i="1"/>
  <c r="O167" i="1"/>
  <c r="O77" i="1"/>
  <c r="O121" i="1"/>
  <c r="O363" i="1"/>
  <c r="O151" i="1"/>
  <c r="O108" i="1"/>
  <c r="O181" i="1"/>
  <c r="O91" i="1"/>
  <c r="O138" i="1"/>
  <c r="O168" i="1"/>
  <c r="O78" i="1"/>
  <c r="O122" i="1"/>
  <c r="O364" i="1"/>
  <c r="O152" i="1"/>
  <c r="O109" i="1"/>
  <c r="O182" i="1"/>
  <c r="O92" i="1"/>
  <c r="O139" i="1"/>
  <c r="O169" i="1"/>
  <c r="O79" i="1"/>
  <c r="O123" i="1"/>
  <c r="O365" i="1"/>
  <c r="O153" i="1"/>
  <c r="O183" i="1"/>
  <c r="O93" i="1"/>
  <c r="O124" i="1"/>
  <c r="O366" i="1"/>
  <c r="O154" i="1"/>
  <c r="O184" i="1"/>
  <c r="O94" i="1"/>
  <c r="O337" i="1"/>
  <c r="N185" i="1"/>
  <c r="N352" i="1"/>
  <c r="N215" i="1"/>
  <c r="N200" i="1"/>
  <c r="N231" i="1"/>
  <c r="N338" i="1"/>
  <c r="N186" i="1"/>
  <c r="N339" i="1"/>
  <c r="N353" i="1"/>
  <c r="N273" i="1"/>
  <c r="N216" i="1"/>
  <c r="N187" i="1"/>
  <c r="N340" i="1"/>
  <c r="N201" i="1"/>
  <c r="N354" i="1"/>
  <c r="N274" i="1"/>
  <c r="N217" i="1"/>
  <c r="N281" i="1"/>
  <c r="N232" i="1"/>
  <c r="N188" i="1"/>
  <c r="N341" i="1"/>
  <c r="N202" i="1"/>
  <c r="N355" i="1"/>
  <c r="N275" i="1"/>
  <c r="N218" i="1"/>
  <c r="N282" i="1"/>
  <c r="N342" i="1"/>
  <c r="N233" i="1"/>
  <c r="N189" i="1"/>
  <c r="N343" i="1"/>
  <c r="N203" i="1"/>
  <c r="N356" i="1"/>
  <c r="N276" i="1"/>
  <c r="N190" i="1"/>
  <c r="N219" i="1"/>
  <c r="N283" i="1"/>
  <c r="N234" i="1"/>
  <c r="N357" i="1"/>
  <c r="N220" i="1"/>
  <c r="N191" i="1"/>
  <c r="N204" i="1"/>
  <c r="N344" i="1"/>
  <c r="N358" i="1"/>
  <c r="N277" i="1"/>
  <c r="N221" i="1"/>
  <c r="N284" i="1"/>
  <c r="N205" i="1"/>
  <c r="N235" i="1"/>
  <c r="N236" i="1"/>
  <c r="N345" i="1"/>
  <c r="N192" i="1"/>
  <c r="N206" i="1"/>
  <c r="N359" i="1"/>
  <c r="N285" i="1"/>
  <c r="N278" i="1"/>
  <c r="N263" i="1"/>
  <c r="N222" i="1"/>
  <c r="N237" i="1"/>
  <c r="N346" i="1"/>
  <c r="N193" i="1"/>
  <c r="N264" i="1"/>
  <c r="N360" i="1"/>
  <c r="N207" i="1"/>
  <c r="N279" i="1"/>
  <c r="N265" i="1"/>
  <c r="N223" i="1"/>
  <c r="N194" i="1"/>
  <c r="N286" i="1"/>
  <c r="N238" i="1"/>
  <c r="N361" i="1"/>
  <c r="N280" i="1"/>
  <c r="N266" i="1"/>
  <c r="N224" i="1"/>
  <c r="N347" i="1"/>
  <c r="N208" i="1"/>
  <c r="N269" i="1"/>
  <c r="N239" i="1"/>
  <c r="N209" i="1"/>
  <c r="N195" i="1"/>
  <c r="N287" i="1"/>
  <c r="N270" i="1"/>
  <c r="N240" i="1"/>
  <c r="N362" i="1"/>
  <c r="N225" i="1"/>
  <c r="N210" i="1"/>
  <c r="N241" i="1"/>
  <c r="N348" i="1"/>
  <c r="N349" i="1"/>
  <c r="N196" i="1"/>
  <c r="N363" i="1"/>
  <c r="N267" i="1"/>
  <c r="N226" i="1"/>
  <c r="N350" i="1"/>
  <c r="N197" i="1"/>
  <c r="N364" i="1"/>
  <c r="N211" i="1"/>
  <c r="N268" i="1"/>
  <c r="N227" i="1"/>
  <c r="N351" i="1"/>
  <c r="N198" i="1"/>
  <c r="N271" i="1"/>
  <c r="N242" i="1"/>
  <c r="N365" i="1"/>
  <c r="N229" i="1"/>
  <c r="N228" i="1"/>
  <c r="N212" i="1"/>
  <c r="N199" i="1"/>
  <c r="N272" i="1"/>
  <c r="N243" i="1"/>
  <c r="N366" i="1"/>
  <c r="N213" i="1"/>
  <c r="N230" i="1"/>
  <c r="N245" i="1"/>
  <c r="N244" i="1"/>
  <c r="N214" i="1"/>
  <c r="N246" i="1"/>
  <c r="N337" i="1"/>
  <c r="M200" i="1"/>
  <c r="M186" i="1"/>
  <c r="M187" i="1"/>
  <c r="M24" i="1"/>
  <c r="M201" i="1"/>
  <c r="M34" i="1"/>
  <c r="M188" i="1"/>
  <c r="M202" i="1"/>
  <c r="M189" i="1"/>
  <c r="M49" i="1"/>
  <c r="M203" i="1"/>
  <c r="M190" i="1"/>
  <c r="M25" i="1"/>
  <c r="M191" i="1"/>
  <c r="M204" i="1"/>
  <c r="M35" i="1"/>
  <c r="M205" i="1"/>
  <c r="M26" i="1"/>
  <c r="M192" i="1"/>
  <c r="M206" i="1"/>
  <c r="M36" i="1"/>
  <c r="M27" i="1"/>
  <c r="M50" i="1"/>
  <c r="M193" i="1"/>
  <c r="M207" i="1"/>
  <c r="M37" i="1"/>
  <c r="M28" i="1"/>
  <c r="M51" i="1"/>
  <c r="M194" i="1"/>
  <c r="M29" i="1"/>
  <c r="M208" i="1"/>
  <c r="M38" i="1"/>
  <c r="M30" i="1"/>
  <c r="M52" i="1"/>
  <c r="M209" i="1"/>
  <c r="M39" i="1"/>
  <c r="M195" i="1"/>
  <c r="M40" i="1"/>
  <c r="M53" i="1"/>
  <c r="M31" i="1"/>
  <c r="M54" i="1"/>
  <c r="M210" i="1"/>
  <c r="M41" i="1"/>
  <c r="M32" i="1"/>
  <c r="M55" i="1"/>
  <c r="M33" i="1"/>
  <c r="M42" i="1"/>
  <c r="M56" i="1"/>
  <c r="M43" i="1"/>
  <c r="M57" i="1"/>
  <c r="M58" i="1"/>
  <c r="M44" i="1"/>
  <c r="M59" i="1"/>
  <c r="M196" i="1"/>
  <c r="M197" i="1"/>
  <c r="M211" i="1"/>
  <c r="M198" i="1"/>
  <c r="M212" i="1"/>
  <c r="M199" i="1"/>
  <c r="M213" i="1"/>
  <c r="M214" i="1"/>
  <c r="M45" i="1"/>
  <c r="M46" i="1"/>
  <c r="M60" i="1"/>
  <c r="M47" i="1"/>
  <c r="M61" i="1"/>
  <c r="M48" i="1"/>
  <c r="M62" i="1"/>
  <c r="M63" i="1"/>
  <c r="M185" i="1"/>
</calcChain>
</file>

<file path=xl/comments1.xml><?xml version="1.0" encoding="utf-8"?>
<comments xmlns="http://schemas.openxmlformats.org/spreadsheetml/2006/main">
  <authors>
    <author>milton</author>
  </authors>
  <commentList>
    <comment ref="B337" authorId="0" shapeId="0">
      <text>
        <r>
          <rPr>
            <b/>
            <sz val="9"/>
            <color indexed="81"/>
            <rFont val="Tahoma"/>
            <family val="2"/>
          </rPr>
          <t>milton:</t>
        </r>
        <r>
          <rPr>
            <sz val="9"/>
            <color indexed="81"/>
            <rFont val="Tahoma"/>
            <family val="2"/>
          </rPr>
          <t xml:space="preserve">
DESCRIPCION FACTURA</t>
        </r>
      </text>
    </comment>
  </commentList>
</comments>
</file>

<file path=xl/sharedStrings.xml><?xml version="1.0" encoding="utf-8"?>
<sst xmlns="http://schemas.openxmlformats.org/spreadsheetml/2006/main" count="8100" uniqueCount="1217">
  <si>
    <t>PRODUCTO</t>
  </si>
  <si>
    <r>
      <t xml:space="preserve"> Oxigeno Industrial B2 /</t>
    </r>
    <r>
      <rPr>
        <sz val="8"/>
        <color indexed="60"/>
        <rFont val="Arial"/>
        <family val="2"/>
      </rPr>
      <t xml:space="preserve"> 150BAR</t>
    </r>
  </si>
  <si>
    <r>
      <t xml:space="preserve"> Oxigeno Industriall B5 / </t>
    </r>
    <r>
      <rPr>
        <sz val="8"/>
        <color indexed="60"/>
        <rFont val="Arial"/>
        <family val="2"/>
      </rPr>
      <t>150BAR</t>
    </r>
  </si>
  <si>
    <r>
      <t xml:space="preserve"> Oxigeno Industrial B 7 / </t>
    </r>
    <r>
      <rPr>
        <sz val="8"/>
        <color indexed="60"/>
        <rFont val="Arial"/>
        <family val="2"/>
      </rPr>
      <t>150BAR</t>
    </r>
  </si>
  <si>
    <r>
      <t xml:space="preserve"> Oxigeno Industriall B10 / </t>
    </r>
    <r>
      <rPr>
        <sz val="8"/>
        <color indexed="60"/>
        <rFont val="Arial"/>
        <family val="2"/>
      </rPr>
      <t>150BAR</t>
    </r>
  </si>
  <si>
    <r>
      <t xml:space="preserve"> Oxigeno Industrial B14 / </t>
    </r>
    <r>
      <rPr>
        <sz val="8"/>
        <color indexed="60"/>
        <rFont val="Arial"/>
        <family val="2"/>
      </rPr>
      <t>150BAR</t>
    </r>
  </si>
  <si>
    <r>
      <t xml:space="preserve"> Oxigeno Industriall B16 / </t>
    </r>
    <r>
      <rPr>
        <sz val="8"/>
        <color indexed="60"/>
        <rFont val="Arial"/>
        <family val="2"/>
      </rPr>
      <t>150BAR</t>
    </r>
  </si>
  <si>
    <r>
      <t xml:space="preserve"> Oxigeno Industriall B20 /</t>
    </r>
    <r>
      <rPr>
        <sz val="8"/>
        <color indexed="60"/>
        <rFont val="Arial"/>
        <family val="2"/>
      </rPr>
      <t xml:space="preserve"> 150BAR</t>
    </r>
  </si>
  <si>
    <r>
      <t xml:space="preserve"> Oxigeno Industriall B30 / </t>
    </r>
    <r>
      <rPr>
        <sz val="8"/>
        <color indexed="60"/>
        <rFont val="Arial"/>
        <family val="2"/>
      </rPr>
      <t>150BAR</t>
    </r>
  </si>
  <si>
    <r>
      <t xml:space="preserve"> Oxigeno Industrial B40 /</t>
    </r>
    <r>
      <rPr>
        <sz val="8"/>
        <color indexed="60"/>
        <rFont val="Arial"/>
        <family val="2"/>
      </rPr>
      <t xml:space="preserve"> 150BAR</t>
    </r>
  </si>
  <si>
    <r>
      <t xml:space="preserve"> Oxigeno Industrial B50 / </t>
    </r>
    <r>
      <rPr>
        <sz val="8"/>
        <color indexed="60"/>
        <rFont val="Arial"/>
        <family val="2"/>
      </rPr>
      <t>150BAR</t>
    </r>
  </si>
  <si>
    <r>
      <t xml:space="preserve"> Oxigeno Industrial B2 / </t>
    </r>
    <r>
      <rPr>
        <sz val="8"/>
        <rFont val="Arial"/>
        <family val="2"/>
      </rPr>
      <t>200BAR</t>
    </r>
  </si>
  <si>
    <r>
      <t xml:space="preserve"> Oxigeno Industriall B5 / </t>
    </r>
    <r>
      <rPr>
        <sz val="8"/>
        <rFont val="Arial"/>
        <family val="2"/>
      </rPr>
      <t>200BAR</t>
    </r>
  </si>
  <si>
    <r>
      <t xml:space="preserve"> Oxigeno Industrial B 7 / </t>
    </r>
    <r>
      <rPr>
        <sz val="8"/>
        <rFont val="Arial"/>
        <family val="2"/>
      </rPr>
      <t>200BAR</t>
    </r>
  </si>
  <si>
    <r>
      <t xml:space="preserve"> Oxigeno Industriall B10 / </t>
    </r>
    <r>
      <rPr>
        <sz val="8"/>
        <rFont val="Arial"/>
        <family val="2"/>
      </rPr>
      <t>200BAR</t>
    </r>
  </si>
  <si>
    <r>
      <t xml:space="preserve"> Oxigeno Industrial B14 / </t>
    </r>
    <r>
      <rPr>
        <sz val="8"/>
        <rFont val="Arial"/>
        <family val="2"/>
      </rPr>
      <t>200BAR</t>
    </r>
  </si>
  <si>
    <r>
      <t xml:space="preserve"> Oxigeno Industriall B16 / </t>
    </r>
    <r>
      <rPr>
        <sz val="8"/>
        <rFont val="Arial"/>
        <family val="2"/>
      </rPr>
      <t>200BAR</t>
    </r>
  </si>
  <si>
    <r>
      <t xml:space="preserve"> Oxigeno Industriall B20 / </t>
    </r>
    <r>
      <rPr>
        <sz val="8"/>
        <rFont val="Arial"/>
        <family val="2"/>
      </rPr>
      <t>200BAR</t>
    </r>
  </si>
  <si>
    <r>
      <t xml:space="preserve"> Oxigeno Industriall B30 / </t>
    </r>
    <r>
      <rPr>
        <sz val="8"/>
        <rFont val="Arial"/>
        <family val="2"/>
      </rPr>
      <t>200BAR</t>
    </r>
  </si>
  <si>
    <r>
      <t xml:space="preserve"> Oxigeno Industrial B40 /</t>
    </r>
    <r>
      <rPr>
        <sz val="8"/>
        <rFont val="Arial"/>
        <family val="2"/>
      </rPr>
      <t xml:space="preserve"> 200BAR</t>
    </r>
  </si>
  <si>
    <r>
      <t xml:space="preserve"> Oxigeno Industrial B50 / </t>
    </r>
    <r>
      <rPr>
        <sz val="8"/>
        <rFont val="Arial"/>
        <family val="2"/>
      </rPr>
      <t>200BAR</t>
    </r>
  </si>
  <si>
    <r>
      <t xml:space="preserve"> Oxigeno Industrial B80 / </t>
    </r>
    <r>
      <rPr>
        <sz val="8"/>
        <rFont val="Arial"/>
        <family val="2"/>
      </rPr>
      <t>200BAR</t>
    </r>
  </si>
  <si>
    <r>
      <t xml:space="preserve"> Oxigeno Industrial 12*50 / </t>
    </r>
    <r>
      <rPr>
        <sz val="8"/>
        <rFont val="Arial"/>
        <family val="2"/>
      </rPr>
      <t>200BAR</t>
    </r>
  </si>
  <si>
    <r>
      <t xml:space="preserve"> Oxigeno Industrial 16*50 / </t>
    </r>
    <r>
      <rPr>
        <sz val="8"/>
        <rFont val="Arial"/>
        <family val="2"/>
      </rPr>
      <t>200BAR</t>
    </r>
  </si>
  <si>
    <r>
      <t xml:space="preserve"> Oxigeno Industrial 12*80 / </t>
    </r>
    <r>
      <rPr>
        <sz val="8"/>
        <rFont val="Arial"/>
        <family val="2"/>
      </rPr>
      <t>200BAR</t>
    </r>
  </si>
  <si>
    <r>
      <t xml:space="preserve"> Oxigeno Industrial 16*80 / </t>
    </r>
    <r>
      <rPr>
        <sz val="8"/>
        <rFont val="Arial"/>
        <family val="2"/>
      </rPr>
      <t>200BAR</t>
    </r>
  </si>
  <si>
    <r>
      <t xml:space="preserve"> Oxigeno Industrial B2 </t>
    </r>
    <r>
      <rPr>
        <sz val="8"/>
        <color indexed="10"/>
        <rFont val="Arial"/>
        <family val="2"/>
      </rPr>
      <t>/ 300BAR</t>
    </r>
  </si>
  <si>
    <r>
      <t xml:space="preserve"> Oxigeno Industriall B5</t>
    </r>
    <r>
      <rPr>
        <sz val="8"/>
        <color indexed="10"/>
        <rFont val="Arial"/>
        <family val="2"/>
      </rPr>
      <t xml:space="preserve"> / 300BAR</t>
    </r>
  </si>
  <si>
    <r>
      <t xml:space="preserve"> Oxigeno Industrial B7 </t>
    </r>
    <r>
      <rPr>
        <sz val="8"/>
        <color indexed="10"/>
        <rFont val="Arial"/>
        <family val="2"/>
      </rPr>
      <t>/ 300BAR</t>
    </r>
  </si>
  <si>
    <r>
      <t xml:space="preserve"> Oxigeno Industriall B10 </t>
    </r>
    <r>
      <rPr>
        <sz val="8"/>
        <color indexed="10"/>
        <rFont val="Arial"/>
        <family val="2"/>
      </rPr>
      <t>/ 300BAR</t>
    </r>
  </si>
  <si>
    <r>
      <t xml:space="preserve"> Oxigeno Industrial B14 </t>
    </r>
    <r>
      <rPr>
        <sz val="8"/>
        <color indexed="10"/>
        <rFont val="Arial"/>
        <family val="2"/>
      </rPr>
      <t>/ 300BAR</t>
    </r>
  </si>
  <si>
    <r>
      <t xml:space="preserve"> Oxigeno Industriall B16 </t>
    </r>
    <r>
      <rPr>
        <sz val="8"/>
        <color indexed="10"/>
        <rFont val="Arial"/>
        <family val="2"/>
      </rPr>
      <t>/ 300BAR</t>
    </r>
  </si>
  <si>
    <r>
      <t xml:space="preserve"> Oxigeno Industriall B20</t>
    </r>
    <r>
      <rPr>
        <sz val="8"/>
        <color indexed="10"/>
        <rFont val="Arial"/>
        <family val="2"/>
      </rPr>
      <t xml:space="preserve"> / 300BAR</t>
    </r>
  </si>
  <si>
    <r>
      <t xml:space="preserve"> Oxigeno Industriall B30 </t>
    </r>
    <r>
      <rPr>
        <sz val="8"/>
        <color indexed="10"/>
        <rFont val="Arial"/>
        <family val="2"/>
      </rPr>
      <t>/ 300BAR</t>
    </r>
  </si>
  <si>
    <r>
      <t xml:space="preserve"> Oxigeno Industrial B40</t>
    </r>
    <r>
      <rPr>
        <sz val="8"/>
        <color indexed="10"/>
        <rFont val="Arial"/>
        <family val="2"/>
      </rPr>
      <t xml:space="preserve"> / 300BAR</t>
    </r>
  </si>
  <si>
    <r>
      <t xml:space="preserve"> Oxigeno Industrial B50 </t>
    </r>
    <r>
      <rPr>
        <sz val="8"/>
        <color indexed="10"/>
        <rFont val="Arial"/>
        <family val="2"/>
      </rPr>
      <t>/ 300BAR</t>
    </r>
  </si>
  <si>
    <r>
      <t xml:space="preserve"> Oxigeno Industrial B80 </t>
    </r>
    <r>
      <rPr>
        <sz val="8"/>
        <color indexed="10"/>
        <rFont val="Arial"/>
        <family val="2"/>
      </rPr>
      <t>/ 300BAR</t>
    </r>
  </si>
  <si>
    <r>
      <t xml:space="preserve"> Oxigeno Industrial 12*50 </t>
    </r>
    <r>
      <rPr>
        <sz val="8"/>
        <color indexed="10"/>
        <rFont val="Arial"/>
        <family val="2"/>
      </rPr>
      <t>/ 300BAR</t>
    </r>
  </si>
  <si>
    <r>
      <t xml:space="preserve"> Oxigeno Industrial 16*50 </t>
    </r>
    <r>
      <rPr>
        <sz val="8"/>
        <color indexed="10"/>
        <rFont val="Arial"/>
        <family val="2"/>
      </rPr>
      <t>/ 300BAR</t>
    </r>
  </si>
  <si>
    <r>
      <t xml:space="preserve"> Oxigeno Industrial 12*80 </t>
    </r>
    <r>
      <rPr>
        <sz val="8"/>
        <color indexed="10"/>
        <rFont val="Arial"/>
        <family val="2"/>
      </rPr>
      <t>/ 300BAR</t>
    </r>
  </si>
  <si>
    <r>
      <t xml:space="preserve"> Oxigeno Industrial 16*80 </t>
    </r>
    <r>
      <rPr>
        <sz val="8"/>
        <color indexed="10"/>
        <rFont val="Arial"/>
        <family val="2"/>
      </rPr>
      <t>/ 300BAR</t>
    </r>
  </si>
  <si>
    <r>
      <t xml:space="preserve">Argón industrial B2 </t>
    </r>
    <r>
      <rPr>
        <sz val="8"/>
        <rFont val="Arial"/>
        <family val="2"/>
      </rPr>
      <t>/ 200BAR</t>
    </r>
  </si>
  <si>
    <r>
      <t>Argón industrial B5 /</t>
    </r>
    <r>
      <rPr>
        <sz val="8"/>
        <rFont val="Arial"/>
        <family val="2"/>
      </rPr>
      <t xml:space="preserve"> 200BAR</t>
    </r>
  </si>
  <si>
    <r>
      <t>Argón industrial B7 /</t>
    </r>
    <r>
      <rPr>
        <sz val="8"/>
        <rFont val="Arial"/>
        <family val="2"/>
      </rPr>
      <t xml:space="preserve"> 200BAR</t>
    </r>
  </si>
  <si>
    <r>
      <t xml:space="preserve">Argón industrial B10 / </t>
    </r>
    <r>
      <rPr>
        <sz val="8"/>
        <rFont val="Arial"/>
        <family val="2"/>
      </rPr>
      <t>200BAR</t>
    </r>
  </si>
  <si>
    <r>
      <t>Argón industrial B14 /</t>
    </r>
    <r>
      <rPr>
        <sz val="8"/>
        <rFont val="Arial"/>
        <family val="2"/>
      </rPr>
      <t xml:space="preserve"> 200BAR</t>
    </r>
  </si>
  <si>
    <r>
      <t xml:space="preserve">Argón industrial B16 / </t>
    </r>
    <r>
      <rPr>
        <sz val="8"/>
        <rFont val="Arial"/>
        <family val="2"/>
      </rPr>
      <t>200BAR</t>
    </r>
  </si>
  <si>
    <r>
      <t xml:space="preserve">Argón industrial B20 / </t>
    </r>
    <r>
      <rPr>
        <sz val="8"/>
        <rFont val="Arial"/>
        <family val="2"/>
      </rPr>
      <t>200BAR</t>
    </r>
  </si>
  <si>
    <r>
      <t xml:space="preserve">Argón industrial B25 / </t>
    </r>
    <r>
      <rPr>
        <sz val="8"/>
        <rFont val="Arial"/>
        <family val="2"/>
      </rPr>
      <t>200BAR</t>
    </r>
  </si>
  <si>
    <r>
      <t xml:space="preserve">Argón industrial B30 / </t>
    </r>
    <r>
      <rPr>
        <sz val="8"/>
        <rFont val="Arial"/>
        <family val="2"/>
      </rPr>
      <t>200BAR</t>
    </r>
  </si>
  <si>
    <r>
      <t xml:space="preserve">Argón industrial B40 / </t>
    </r>
    <r>
      <rPr>
        <sz val="8"/>
        <rFont val="Arial"/>
        <family val="2"/>
      </rPr>
      <t>200BAR</t>
    </r>
  </si>
  <si>
    <r>
      <t xml:space="preserve">Argón industrial B50 / </t>
    </r>
    <r>
      <rPr>
        <sz val="8"/>
        <rFont val="Arial"/>
        <family val="2"/>
      </rPr>
      <t>200BAR</t>
    </r>
  </si>
  <si>
    <r>
      <t xml:space="preserve">Argón industrial B80 / </t>
    </r>
    <r>
      <rPr>
        <sz val="8"/>
        <rFont val="Arial"/>
        <family val="2"/>
      </rPr>
      <t>200BAR</t>
    </r>
  </si>
  <si>
    <r>
      <t xml:space="preserve">Argón industrial 12*50 / </t>
    </r>
    <r>
      <rPr>
        <sz val="8"/>
        <rFont val="Arial"/>
        <family val="2"/>
      </rPr>
      <t>200BAR</t>
    </r>
  </si>
  <si>
    <r>
      <t>Argón industrial 16*50 /</t>
    </r>
    <r>
      <rPr>
        <sz val="8"/>
        <rFont val="Arial"/>
        <family val="2"/>
      </rPr>
      <t xml:space="preserve"> 200BAR</t>
    </r>
  </si>
  <si>
    <r>
      <t>Argón industrial 12*80 /</t>
    </r>
    <r>
      <rPr>
        <sz val="8"/>
        <rFont val="Arial"/>
        <family val="2"/>
      </rPr>
      <t xml:space="preserve"> 200BAR</t>
    </r>
  </si>
  <si>
    <r>
      <t>Argón industrial 16*80 /</t>
    </r>
    <r>
      <rPr>
        <sz val="8"/>
        <rFont val="Arial"/>
        <family val="2"/>
      </rPr>
      <t xml:space="preserve"> 200BAR</t>
    </r>
  </si>
  <si>
    <r>
      <t xml:space="preserve">Argón industrial B2 </t>
    </r>
    <r>
      <rPr>
        <sz val="8"/>
        <color indexed="10"/>
        <rFont val="Arial"/>
        <family val="2"/>
      </rPr>
      <t>/ 300BAR</t>
    </r>
  </si>
  <si>
    <r>
      <t>Argón industrial B5 /</t>
    </r>
    <r>
      <rPr>
        <sz val="8"/>
        <color indexed="10"/>
        <rFont val="Arial"/>
        <family val="2"/>
      </rPr>
      <t>300BAR</t>
    </r>
  </si>
  <si>
    <r>
      <t>Argón industrial B7 /</t>
    </r>
    <r>
      <rPr>
        <sz val="8"/>
        <color indexed="10"/>
        <rFont val="Arial"/>
        <family val="2"/>
      </rPr>
      <t xml:space="preserve"> 300BAR</t>
    </r>
  </si>
  <si>
    <r>
      <t xml:space="preserve">Argón industrial B10 / </t>
    </r>
    <r>
      <rPr>
        <sz val="8"/>
        <color indexed="10"/>
        <rFont val="Arial"/>
        <family val="2"/>
      </rPr>
      <t>300BAR</t>
    </r>
  </si>
  <si>
    <r>
      <t>Argón industrial B14 /</t>
    </r>
    <r>
      <rPr>
        <sz val="8"/>
        <color indexed="10"/>
        <rFont val="Arial"/>
        <family val="2"/>
      </rPr>
      <t xml:space="preserve"> 300BAR</t>
    </r>
  </si>
  <si>
    <r>
      <t xml:space="preserve">Argón industrial B16 / </t>
    </r>
    <r>
      <rPr>
        <sz val="8"/>
        <color indexed="10"/>
        <rFont val="Arial"/>
        <family val="2"/>
      </rPr>
      <t>300BAR</t>
    </r>
  </si>
  <si>
    <r>
      <t>Argón industrial B20 /</t>
    </r>
    <r>
      <rPr>
        <sz val="8"/>
        <color indexed="10"/>
        <rFont val="Arial"/>
        <family val="2"/>
      </rPr>
      <t>300BAR</t>
    </r>
  </si>
  <si>
    <r>
      <t xml:space="preserve">Argón industrial B30 / </t>
    </r>
    <r>
      <rPr>
        <sz val="8"/>
        <color indexed="10"/>
        <rFont val="Arial"/>
        <family val="2"/>
      </rPr>
      <t>300BAR</t>
    </r>
  </si>
  <si>
    <r>
      <t>Argón industrial B40 / 3</t>
    </r>
    <r>
      <rPr>
        <sz val="8"/>
        <color indexed="10"/>
        <rFont val="Arial"/>
        <family val="2"/>
      </rPr>
      <t>00BAR</t>
    </r>
  </si>
  <si>
    <r>
      <t xml:space="preserve">Argón industrial B50 / </t>
    </r>
    <r>
      <rPr>
        <sz val="8"/>
        <color indexed="10"/>
        <rFont val="Arial"/>
        <family val="2"/>
      </rPr>
      <t>300BAR</t>
    </r>
  </si>
  <si>
    <r>
      <t xml:space="preserve">Argón industrial B80 / </t>
    </r>
    <r>
      <rPr>
        <sz val="8"/>
        <color indexed="10"/>
        <rFont val="Arial"/>
        <family val="2"/>
      </rPr>
      <t>300BAR</t>
    </r>
  </si>
  <si>
    <r>
      <t xml:space="preserve">Argón industrial 12*50 / </t>
    </r>
    <r>
      <rPr>
        <sz val="8"/>
        <color indexed="10"/>
        <rFont val="Arial"/>
        <family val="2"/>
      </rPr>
      <t>300BAR</t>
    </r>
  </si>
  <si>
    <r>
      <t>Argón industrial 16*50 /</t>
    </r>
    <r>
      <rPr>
        <sz val="8"/>
        <color indexed="10"/>
        <rFont val="Arial"/>
        <family val="2"/>
      </rPr>
      <t xml:space="preserve"> 300BAR</t>
    </r>
  </si>
  <si>
    <r>
      <t>Argón industrial 12*80 /</t>
    </r>
    <r>
      <rPr>
        <sz val="8"/>
        <color indexed="10"/>
        <rFont val="Arial"/>
        <family val="2"/>
      </rPr>
      <t xml:space="preserve"> 300BAR</t>
    </r>
  </si>
  <si>
    <r>
      <t>Argón industrial 16*80 /</t>
    </r>
    <r>
      <rPr>
        <sz val="8"/>
        <color indexed="10"/>
        <rFont val="Arial"/>
        <family val="2"/>
      </rPr>
      <t xml:space="preserve"> 300BAR</t>
    </r>
  </si>
  <si>
    <t>QC 15 (Ar 85%, CO2 15%) B2 / 200BAR</t>
  </si>
  <si>
    <t>QC 15 (Ar 85%, CO2 15%) B5 / 200BAR</t>
  </si>
  <si>
    <t>QC 15 (Ar 85%, CO2 15%) B7 / 200BAR</t>
  </si>
  <si>
    <t>QC 15 (Ar 85%, CO2 15%) B10 / 200BAR</t>
  </si>
  <si>
    <t>QC 15 (Ar 85%, CO2 15%) B14 / 200BAR</t>
  </si>
  <si>
    <t>QC 15 (Ar 85%, CO2 15%) B16 / 200BAR</t>
  </si>
  <si>
    <t>QC 15 (Ar 85%, CO2 15%) B20 / 200BAR</t>
  </si>
  <si>
    <t>QC 15 (Ar 85%, CO2 15%) B30 / 200BAR</t>
  </si>
  <si>
    <t>QC 15 (Ar 85%, CO2 15%) B40 / 200BAR</t>
  </si>
  <si>
    <t>QC 15 (Ar 85%, CO2 15%) B50 / 200BAR</t>
  </si>
  <si>
    <t>QC 15 (Ar 85%, CO2 15%) B80 / 200BAR</t>
  </si>
  <si>
    <t>QC 15 (Ar 85%, CO2 15%) 12*50 / 200BAR</t>
  </si>
  <si>
    <t>QC 15 (Ar 85%, CO2 15%) 16*50 / 200BAR</t>
  </si>
  <si>
    <t>QC 15 (Ar 85%, CO2 15%) 12*80 / 200BAR</t>
  </si>
  <si>
    <t>QC 15 (Ar 85%, CO2 15%) 16*80 / 200BAR</t>
  </si>
  <si>
    <t>QC 15 (Ar 85%, CO2 15%) B2 / 300BAR</t>
  </si>
  <si>
    <t>QC 15 (Ar 85%, CO2 15%) B5 / 300BAR</t>
  </si>
  <si>
    <t>QC 15 (Ar 85%, CO2 15%) B7 / 300BAR</t>
  </si>
  <si>
    <t>QC 15 (Ar 85%, CO2 15%) B10 / 300BAR</t>
  </si>
  <si>
    <t>QC 15 (Ar 85%, CO2 15%) B14 / 300BAR</t>
  </si>
  <si>
    <t>QC 15 (Ar 85%, CO2 15%) B16 / 300BAR</t>
  </si>
  <si>
    <t>QC 15 (Ar 85%, CO2 15%) B20 / 300BAR</t>
  </si>
  <si>
    <t>QC 15 (Ar 85%, CO2 15%) B30 / 300BAR</t>
  </si>
  <si>
    <t>QC 15 (Ar 85%, CO2 15%) B40 / 300BAR</t>
  </si>
  <si>
    <t>QC 15 (Ar 85%, CO2 15%) B50 / 300BAR</t>
  </si>
  <si>
    <t>QC 15 (Ar 85%, CO2 15%) B80 / 300BAR</t>
  </si>
  <si>
    <t>QC 15 (Ar 85%, CO2 15%) 12*50 / 300BAR</t>
  </si>
  <si>
    <t>QC 15 (Ar 85%, CO2 15%) 16*50 / 300BAR</t>
  </si>
  <si>
    <t>QC 15 (Ar 85%, CO2 15%) 12*80 / 300BAR</t>
  </si>
  <si>
    <t>QC 15 (Ar 85%, CO2 15%) 16*80 / 300BAR</t>
  </si>
  <si>
    <t>QC 8 (Ar 92%, CO2 8%) B2 / 200BAR</t>
  </si>
  <si>
    <t>QC 8 (Ar 92%, CO2 8%) B5 / 200BAR</t>
  </si>
  <si>
    <t>QC 8 (Ar 92%, CO2 8%)  B7 / 200BAR</t>
  </si>
  <si>
    <t>QC 8 (Ar 92%, CO2 8%)  B10 / 200BAR</t>
  </si>
  <si>
    <t>QC 8 (Ar 92%, CO2 8%)  B14 / 200BAR</t>
  </si>
  <si>
    <t>QC 8 (Ar 92%, CO2 8%)  B16 / 200BAR</t>
  </si>
  <si>
    <t>QC 8 (Ar 92%, CO2 8%)  B20 / 200BAR</t>
  </si>
  <si>
    <t>QC 8 (Ar 92%, CO2 8%)  B30 / 200BAR</t>
  </si>
  <si>
    <t>QC 8 (Ar 92%, CO2 8%)  B40 / 200BAR</t>
  </si>
  <si>
    <t>QC 8 (Ar 92%, CO2 8%) B50 / 200BAR</t>
  </si>
  <si>
    <t>QC 8 (Ar 92%, CO2 8%)  B80 / 200BAR</t>
  </si>
  <si>
    <t>QC 8 (Ar 92%, CO2 8%)  12*50 / 200BAR</t>
  </si>
  <si>
    <t>QC 8 (Ar 92%, CO2 8%)  16*50 / 200BAR</t>
  </si>
  <si>
    <t>QC 8 (Ar 92%, CO2 8%) 12*80 / 200BAR</t>
  </si>
  <si>
    <t>QC 8 (Ar 92%, CO2 8%) 16*80 / 200BAR</t>
  </si>
  <si>
    <t>QC 8 (Ar 92%, CO2 8%) B2 / 300BAR</t>
  </si>
  <si>
    <t>QC 8 (Ar 92%, CO2 8%)  B5 / 300BAR</t>
  </si>
  <si>
    <t>QC 8 (Ar 92%, CO2 8%) B7 / 300BAR</t>
  </si>
  <si>
    <t>QC 8 (Ar 92%, CO2 8%) B10 / 300BAR</t>
  </si>
  <si>
    <t>QC 8 (Ar 92%, CO2 8%) B14 / 300BAR</t>
  </si>
  <si>
    <t>QC 8 (Ar 92%, CO2 8%)  B16 / 300BAR</t>
  </si>
  <si>
    <t>QC 8 (Ar 92%, CO2 8%) B20 / 300BAR</t>
  </si>
  <si>
    <t>QC 8 (Ar 92%, CO2 8%) B30 / 300BAR</t>
  </si>
  <si>
    <t>QC 8 (Ar 92%, CO2 8%) B40 / 300BAR</t>
  </si>
  <si>
    <t>QC 8 (Ar 92%, CO2 8%) B50 / 300BAR</t>
  </si>
  <si>
    <t>QC 8 (Ar 92%, CO2 8%) B80 / 300BAR</t>
  </si>
  <si>
    <t>QC 8 (Ar 92%, CO2 8%) 12*50 / 300BAR</t>
  </si>
  <si>
    <t>QC 8 (Ar 92%, CO2 8%)  16*50 / 300BAR</t>
  </si>
  <si>
    <t>QC 8 (Ar 92%, CO2 8%)  12*80 / 300BAR</t>
  </si>
  <si>
    <t>QC 8 (Ar 92%, CO2 8%) 16*80 / 300BAR</t>
  </si>
  <si>
    <t>QC 2 (Ar 98%, CO2 2%) B2 / 200BAR</t>
  </si>
  <si>
    <t>QC 2 (Ar 98%, CO2 2%) B5 / 200BAR</t>
  </si>
  <si>
    <t>QC 2 (Ar 98%, CO2 2%) B7 / 200BAR</t>
  </si>
  <si>
    <t>QC 2 (Ar 98%, CO2 2%) B10 / 200BAR</t>
  </si>
  <si>
    <t>QC 2 (Ar 98%, CO2 2%) B14 / 200BAR</t>
  </si>
  <si>
    <t>QC 2 (Ar 98%, CO2 2%) B16 / 200BAR</t>
  </si>
  <si>
    <t>QC 2 (Ar 98%, CO2 2%) B20 / 200BAR</t>
  </si>
  <si>
    <t>QC 2 (Ar 98%, CO2 2%) B30 / 200BAR</t>
  </si>
  <si>
    <t>QC 2 (Ar 98%, CO2 2%) B40 / 200BAR</t>
  </si>
  <si>
    <t>QC 2 (Ar 98%, CO2 2%) B50 / 200BAR</t>
  </si>
  <si>
    <t>QC 2 (Ar 98%, CO2 2%) B80 / 200BAR</t>
  </si>
  <si>
    <t>QC 2 (Ar 98%, CO2 2%) 12*50 / 200BAR</t>
  </si>
  <si>
    <t>QC 2 (Ar 98%, CO2 2%) 16*50 / 200BAR</t>
  </si>
  <si>
    <t>QC 2 (Ar 98%, CO2 2%) 12*80 / 200BAR</t>
  </si>
  <si>
    <t>QC 2 (Ar 98%, CO2 2%) 16*80 / 200BAR</t>
  </si>
  <si>
    <t>QC 2 (Ar 98%, CO2 2%) B2 / 300BAR</t>
  </si>
  <si>
    <t>QC 2 (Ar 98%, CO2 2%) B5 / 300BAR</t>
  </si>
  <si>
    <t>QC 2 (Ar 98%, CO2 2%) B7 / 300BAR</t>
  </si>
  <si>
    <t>QC 2 (Ar 98%, CO2 2%) B10 / 300BAR</t>
  </si>
  <si>
    <t>QC 2 (Ar 98%, CO2 2%) B14 / 300BAR</t>
  </si>
  <si>
    <t>QC 2 (Ar 98%, CO2 2%) B16 / 300BAR</t>
  </si>
  <si>
    <t>QC 2 (Ar 98%, CO2 2%) B20 / 300BAR</t>
  </si>
  <si>
    <t>QC 2 (Ar 98%, CO2 2%) B30 / 300BAR</t>
  </si>
  <si>
    <t>QC 2 (Ar 98%, CO2 2%) B40 / 300BAR</t>
  </si>
  <si>
    <t>QC 2 (Ar 98%, CO2 2%) B50 / 300BAR</t>
  </si>
  <si>
    <t>QC 2 (Ar 98%, CO2 2%) B80 / 300BAR</t>
  </si>
  <si>
    <t>QC 2 (Ar 98%, CO2 2%) 12*50 / 300BAR</t>
  </si>
  <si>
    <t>QC 2 (Ar 98%, CO2 2%) 16*50 / 300BAR</t>
  </si>
  <si>
    <t>QC 2 (Ar 98%, CO2 2%) 12*80 / 300BAR</t>
  </si>
  <si>
    <t>QC 2 (Ar 98%, CO2 2%) 16*80 / 300BAR</t>
  </si>
  <si>
    <t>AIRE COMPRIMIDO B2 / 200BAR</t>
  </si>
  <si>
    <t>AIRE COMPRIMIDO B5 / 200BAR</t>
  </si>
  <si>
    <t>AIRE COMPRIMIDO B7 / 200BAR</t>
  </si>
  <si>
    <t>AIRE COMPRIMIDO B10 / 200BAR</t>
  </si>
  <si>
    <t>AIRE COMPRIMIDO B14 / 200BAR</t>
  </si>
  <si>
    <t>AIRE COMPRIMIDO B16 / 200BAR</t>
  </si>
  <si>
    <t>AIRE COMPRIMIDO B20 / 200BAR</t>
  </si>
  <si>
    <t>AIRE COMPRIMIDO B30 / 200BAR</t>
  </si>
  <si>
    <t>AIRE COMPRIMIDO B40 / 200BAR</t>
  </si>
  <si>
    <t>AIRE COMPRIMIDO B50 / 200BAR</t>
  </si>
  <si>
    <t>AIRE COMPRIMIDO B80 / 200BAR</t>
  </si>
  <si>
    <t>AIRE COMPRIMIDO B2 / 300BAR</t>
  </si>
  <si>
    <t>AIRE COMPRIMIDO B5 / 300BAR</t>
  </si>
  <si>
    <t>AIRE COMPRIMIDO B7 / 300BAR</t>
  </si>
  <si>
    <t>AIRE COMPRIMIDO B10 / 300BAR</t>
  </si>
  <si>
    <t>AIRE COMPRIMIDO B14 / 300BAR</t>
  </si>
  <si>
    <t>AIRE COMPRIMIDO B16 / 300BAR</t>
  </si>
  <si>
    <t>AIRE COMPRIMIDO B20 / 300BAR</t>
  </si>
  <si>
    <t>AIRE COMPRIMIDO B30 / 300BAR</t>
  </si>
  <si>
    <t>AIRE COMPRIMIDO B40 / 300BAR</t>
  </si>
  <si>
    <t>AIRE COMPRIMIDO B50 / 300BAR</t>
  </si>
  <si>
    <t>AIRE COMPRIMIDO B80 / 300BAR</t>
  </si>
  <si>
    <t>Aire Sintético Comprimido (N2 + O2 20%) B2 / 200BAR</t>
  </si>
  <si>
    <t>Aire Sintético Comprimido (N2 + O2 20%)  B5 / 200BAR</t>
  </si>
  <si>
    <t xml:space="preserve">Aire Sintético Comprimido (N2 + O2 20%)  B7 / 200BAR </t>
  </si>
  <si>
    <t>Aire Sintético Comprimido (N2 + O2 20%)  B10 / 200BAR</t>
  </si>
  <si>
    <t xml:space="preserve">Aire Sintético Comprimido (N2 + O2 20%)  B14 / 200BAR </t>
  </si>
  <si>
    <t>Aire Sintético Comprimido (N2 + O2 20%) B16 / 200BAR</t>
  </si>
  <si>
    <t>Aire Sintético Comprimido (N2 + O2 20%) B20 / 200BAR</t>
  </si>
  <si>
    <t>Aire Sintético Comprimido (N2 + O2 20%) B30 / 200BAR</t>
  </si>
  <si>
    <t>Aire Sintético Comprimido  (N2 + O2 20%)  B40 / 200BAR</t>
  </si>
  <si>
    <t>Aire Sintético Comprimido (N2 + O2 20%)  B50 / 200BAR</t>
  </si>
  <si>
    <t>Aire Sintético Comprimido (N2 + O2 20%) B80 / 200BAR</t>
  </si>
  <si>
    <t>Aire Sintético Comprimido (N2 + O2 20%)  12*50 / 200BAR</t>
  </si>
  <si>
    <t>Aire Sintético Comprimido (N2 + O2 20%) 16*50 / 200BAR</t>
  </si>
  <si>
    <t>Aire Sintético Comprimido (N2 + O2 20%) 12*80 / 200BAR</t>
  </si>
  <si>
    <t>Aire Sintético Comprimido (N2 + O2 20%) 16*80 / 200BAR</t>
  </si>
  <si>
    <t>Aire Sintético Comprimido B2 / 300BAR</t>
  </si>
  <si>
    <t>Aire Sintético Comprimido B5 / 300BAR</t>
  </si>
  <si>
    <t>Aire Sintético Comprimido B7 / 300BAR</t>
  </si>
  <si>
    <t>Aire Sintético Comprimido B10 / 300BAR</t>
  </si>
  <si>
    <t>Aire Sintético Comprimido B14 / 300BAR</t>
  </si>
  <si>
    <t>Aire Sintético Comprimido B16 / 300BAR</t>
  </si>
  <si>
    <t>Aire Sintético Comprimido B20 / 300BAR</t>
  </si>
  <si>
    <t>Aire Sintético Comprimido B30 / 300BAR</t>
  </si>
  <si>
    <t>Aire Sintético Comprimido B40 / 300BAR</t>
  </si>
  <si>
    <t>Aire Sintético Comprimido B50 / 300BAR</t>
  </si>
  <si>
    <t>Aire Sintético Comprimido B80 / 300BAR</t>
  </si>
  <si>
    <t>Aire Sintético Comprimido 12*50 / 300BAR</t>
  </si>
  <si>
    <t>Aire Sintético Comprimido 16*50 / 300BAR</t>
  </si>
  <si>
    <t>Aire Sintético Comprimido 12*80 / 300BAR</t>
  </si>
  <si>
    <t>Aire Sintético Comprimido 16*80 / 300BAR</t>
  </si>
  <si>
    <t xml:space="preserve"> Nitrógeno Industrial B2 / 200BAR</t>
  </si>
  <si>
    <t xml:space="preserve"> Nitrógeno Industrial B5 / 200BAR</t>
  </si>
  <si>
    <t xml:space="preserve"> Nitrógeno Industrial B7 / 200BAR</t>
  </si>
  <si>
    <t xml:space="preserve"> Nitrógeno Industrial B10 / 200BAR</t>
  </si>
  <si>
    <t xml:space="preserve"> Nitrógeno Industrial B14 / 200BAR</t>
  </si>
  <si>
    <t xml:space="preserve"> Nitrógeno Industrial B16 / 200BAR</t>
  </si>
  <si>
    <t xml:space="preserve"> Nitrógeno Industrial B20 / 200BAR</t>
  </si>
  <si>
    <t xml:space="preserve"> Nitrógeno Industrial B30 / 200BAR</t>
  </si>
  <si>
    <t xml:space="preserve"> Nitrógeno Industrial B40 / 200BAR</t>
  </si>
  <si>
    <t xml:space="preserve"> Nitrógeno Industrial B50 / 200BAR</t>
  </si>
  <si>
    <t xml:space="preserve"> Nitrógeno Industrial B80 / 200BAR</t>
  </si>
  <si>
    <t xml:space="preserve"> Nitrógeno Industrial 12*50 / 200BAR</t>
  </si>
  <si>
    <t xml:space="preserve"> Nitrógeno Industrial 16*50 / 200BAR</t>
  </si>
  <si>
    <t xml:space="preserve"> Nitrógeno Industrial 20*50 / 200BAR</t>
  </si>
  <si>
    <t xml:space="preserve"> Nitrógeno Industrial 12*80 / 200BAR</t>
  </si>
  <si>
    <t xml:space="preserve"> Nitrógeno Industrial 16*80 / 200BAR</t>
  </si>
  <si>
    <t xml:space="preserve"> Nitrógeno Industrial B2 / 300BAR</t>
  </si>
  <si>
    <t xml:space="preserve"> Nitrógeno Industrial B5 / 300BAR</t>
  </si>
  <si>
    <t xml:space="preserve"> Nitrógeno Industrial B7 / 300BAR</t>
  </si>
  <si>
    <t xml:space="preserve"> Nitrógeno Industrial B10 / 300BAR</t>
  </si>
  <si>
    <t xml:space="preserve"> Nitrógeno Industrial B14 / 300BAR</t>
  </si>
  <si>
    <t xml:space="preserve"> Nitrógeno Industrial B16 / 300BAR</t>
  </si>
  <si>
    <t xml:space="preserve"> Nitrógeno Industrial B20 / 300BAR</t>
  </si>
  <si>
    <t xml:space="preserve"> Nitrógeno Industrial B30 / 300BAR</t>
  </si>
  <si>
    <t xml:space="preserve"> Nitrógeno Industrial B40 / 300BAR</t>
  </si>
  <si>
    <t xml:space="preserve"> Nitrógeno Industrial B50 / 300BAR</t>
  </si>
  <si>
    <t xml:space="preserve"> Nitrógeno Industrial B80 / 300BAR</t>
  </si>
  <si>
    <t xml:space="preserve"> Nitrógeno Industrial 12*50 / 300BAR</t>
  </si>
  <si>
    <t xml:space="preserve"> Nitrógeno Industrial 16*50 / 300BAR</t>
  </si>
  <si>
    <t xml:space="preserve"> Nitrógeno Industrial 20*50 / 300BAR</t>
  </si>
  <si>
    <t xml:space="preserve"> Nitrógeno Industrial 12*80 / 300BAR</t>
  </si>
  <si>
    <t xml:space="preserve"> Nitrógeno Industrial 16*80 / 300BAR</t>
  </si>
  <si>
    <t>Helio B5 / 200BAR</t>
  </si>
  <si>
    <t>Helio B7 / 200BAR</t>
  </si>
  <si>
    <t>Helio B10 / 200BAR</t>
  </si>
  <si>
    <t>Helio B14 / 200BAR</t>
  </si>
  <si>
    <t>Helio B20 / 200BAR</t>
  </si>
  <si>
    <t>Helio B30 / 200BAR</t>
  </si>
  <si>
    <t>Helio B40 / 200BAR</t>
  </si>
  <si>
    <t>Helio B50 / 200BAR</t>
  </si>
  <si>
    <t>Helio B5 / 300BAR</t>
  </si>
  <si>
    <t>Helio B7 / 300BAR</t>
  </si>
  <si>
    <t>Helio B10 / 300BAR</t>
  </si>
  <si>
    <t>Helio B14 / 300BAR</t>
  </si>
  <si>
    <t>Helio B20 / 300BAR</t>
  </si>
  <si>
    <t>Helio B30 / 300BAR</t>
  </si>
  <si>
    <t>Helio B40 / 300BAR</t>
  </si>
  <si>
    <t>Helio B50 / 300BAR</t>
  </si>
  <si>
    <t>MADURGAS (N2 + Etileno 4%) B40 / 150BAR</t>
  </si>
  <si>
    <t>MADURGAS (N2 + Etileno 4%) B50 / 150BAR</t>
  </si>
  <si>
    <t>MADURGAS (N2 + Etileno 4%) B40 / 200BAR</t>
  </si>
  <si>
    <t>MADURGAS (N2 + Etileno 4%) B50 / 200BAR</t>
  </si>
  <si>
    <t>MADURGAS (N2 + Etileno 4%) 12*50 / 200BAR</t>
  </si>
  <si>
    <t>MADURGAS (N2 + Etileno 4%) 16*50 / 200BAR</t>
  </si>
  <si>
    <t>MADURGAS (N2 + Etileno 4%) B40 / 300BAR</t>
  </si>
  <si>
    <t>MADURGAS (N2 + Etileno 4%) B50 / 300BAR</t>
  </si>
  <si>
    <t>MADURGAS (N2 + Etileno 4%) 12*50 / 300BAR</t>
  </si>
  <si>
    <t>MADURGAS (N2 + Etileno 4%) 16*50 / 300BAR</t>
  </si>
  <si>
    <t>NIDRO5 (N2 95% + H2 5%) B5 / 200BAR</t>
  </si>
  <si>
    <t>NIDRO5 (N2 95% + H2 5%) B7 / 200BAR</t>
  </si>
  <si>
    <t>NIDRO5 (N2 95% + H2 5%) B10 / 200BAR</t>
  </si>
  <si>
    <t>NIDRO5 (N2 95% + H2 5%) B14 / 200BAR</t>
  </si>
  <si>
    <t>NIDRO5 (N2 95% + H2 5%) B20 / 200BAR</t>
  </si>
  <si>
    <t>NIDRO5 (N2 95% + H2 5%) B30 / 200BAR zzz</t>
  </si>
  <si>
    <t>NIDRO5 (N2 95% + H2 5%) B40 / 200BAR</t>
  </si>
  <si>
    <t>NIDRO5 (N2 95% + H2 5%) B50 / 200BAR</t>
  </si>
  <si>
    <t>NIDRO5 (N2 95% + H2 5%) B5 / 300BAR</t>
  </si>
  <si>
    <t>NIDRO5 (N2 95% + H2 5%) B7 / 300BAR</t>
  </si>
  <si>
    <t>NIDRO5 (N2 95% + H2 5%) B10 / 300BAR</t>
  </si>
  <si>
    <t>NIDRO5 (N2 95% + H2 5%) B14 / 300BAR</t>
  </si>
  <si>
    <t>NIDRO5 (N2 95% + H2 5%) B20 / 300BAR</t>
  </si>
  <si>
    <t>NIDRO5 (N2 95% + H2 5%) B30 / 200BAR</t>
  </si>
  <si>
    <t>NIDRO5 (N2 95% + H2 5%) B40 / 300BAR</t>
  </si>
  <si>
    <t>HIDROGENO COMPRIMIDO B5 / 200BAR</t>
  </si>
  <si>
    <t>HIDROGENO COMPRIMIDO B7 / 200BAR</t>
  </si>
  <si>
    <t>HIDROGENO COMPRIMIDO B10 / 200BAR</t>
  </si>
  <si>
    <t>HIDROGENO COMPRIMIDO B14 / 200BAR</t>
  </si>
  <si>
    <t>HIDROGENO COMPRIMIDO B20 / 200BAR</t>
  </si>
  <si>
    <t>HIDROGENO COMPRIMIDO B30 / 200BAR</t>
  </si>
  <si>
    <t>HIDROGENO COMPRIMIDO B40 / 200BAR</t>
  </si>
  <si>
    <t>HIDROGENO COMPRIMIDO B50 / 200BAR</t>
  </si>
  <si>
    <t>HIDROGENO COMPRIMIDO B5 / 300BAR</t>
  </si>
  <si>
    <t>HIDROGENO COMPRIMIDO B7 / 300BAR</t>
  </si>
  <si>
    <t>HIDROGENO COMPRIMIDO B10 / 300BAR</t>
  </si>
  <si>
    <t>HIDROGENO COMPRIMIDO B14 / 300BAR</t>
  </si>
  <si>
    <t>HIDROGENO COMPRIMIDO B20 / 300BAR</t>
  </si>
  <si>
    <t>HIDROGENO COMPRIMIDO B40 / 300BAR</t>
  </si>
  <si>
    <t>HIDROGENO COMPRIMIDO B50 / 300BAR</t>
  </si>
  <si>
    <t>Hidrinac35 (Ar 65% + H2 35%) B5 / 200BAR</t>
  </si>
  <si>
    <t>Hidrinac35  (Ar 65% + H2 35%) B7 / 200BAR</t>
  </si>
  <si>
    <t>Hidrinac35  (Ar 65% + H2 35%) B10 / 200BAR</t>
  </si>
  <si>
    <t>Hidrinac35 (Ar 65% + H2 35%)  B14 / 200BAR</t>
  </si>
  <si>
    <t>Hidrinac35  (Ar 65% + H2 35%) B20 / 200BAR</t>
  </si>
  <si>
    <t>Hidrinac35 (Ar 65% + H2 35%)  B30 / 200BAR</t>
  </si>
  <si>
    <t>Hidrinac35  (Ar 65% + H2 35%) B40 / 200BAR</t>
  </si>
  <si>
    <t>Hidrinac35 (Ar 65% + H2 35%) B50 / 200BAR</t>
  </si>
  <si>
    <t>Hidrinac35 (Ar 65% + H2 35%) B5 / 300BAR</t>
  </si>
  <si>
    <t>Hidrinac35 (Ar 65% + H2 35%) B7 / 300BAR</t>
  </si>
  <si>
    <t>Hidrinac35  (Ar 65% + H2 35%) B10 / 300BAR</t>
  </si>
  <si>
    <t>Hidrinac35  (Ar 65% + H2 35%) B14 / 300BAR</t>
  </si>
  <si>
    <t>Hidrinac35  (Ar 65% + H2 35%) B20 / 300BAR</t>
  </si>
  <si>
    <t>Hidrinac35 (Ar 65% + H2 35%) B30 / 300BAR</t>
  </si>
  <si>
    <t>Hidrinac35  (Ar 65% + H2 35%) B40 / 300BAR</t>
  </si>
  <si>
    <t>Hidrinac35  (Ar 65% + H2 35%) B50 / 300BAR</t>
  </si>
  <si>
    <t>Argomet10  (Ar 90% + Metano 10%) B5 / 200BAR</t>
  </si>
  <si>
    <t>Argomet10 (Ar 90% + Metano 10%) B7 / 200BAR</t>
  </si>
  <si>
    <t>Argomet10 (Ar 90% + Metano 10%) B10 / 200BAR</t>
  </si>
  <si>
    <t>Argomet10 (Ar 90% + Metano 10%) B14 / 200BAR</t>
  </si>
  <si>
    <t>Argomet10 (Ar 90% + Metano 10%) B20 / 200BAR</t>
  </si>
  <si>
    <t>Argomet10 (Ar 90% + Metano 10%) B30 / 200BAR</t>
  </si>
  <si>
    <t>Argomet10 (Ar 90% + Metano 10%) B40 / 200BAR</t>
  </si>
  <si>
    <t>Argomet10 (Ar 90% + Metano 10%) B50 / 200BAR</t>
  </si>
  <si>
    <t>Argomet10 (Ar 90% + Metano 10%) B5 / 300BAR</t>
  </si>
  <si>
    <t>Argomet10 (Ar 90% + Metano 10%) B7 / 300BAR</t>
  </si>
  <si>
    <t>Argomet10 (Ar 90% + Metano 10%) B10 / 300BAR</t>
  </si>
  <si>
    <t>Argomet10 (Ar 90% + Metano 10%) B14 / 300BAR</t>
  </si>
  <si>
    <t>Argomet10 (Ar 90% + Metano 10%) B20 / 300BAR</t>
  </si>
  <si>
    <t>Argomet10 (Ar 90% + Metano 10%) B30 / 300BAR</t>
  </si>
  <si>
    <t>Argomet10 (Ar 90% + Metano 10%) B40 / 300BAR</t>
  </si>
  <si>
    <t>Argomet10 (Ar 90% + Metano 10%) B50 / 300BAR</t>
  </si>
  <si>
    <t>IG541 (Ar 40%, N2 52%, CO2 8%) B2 / 200BAR</t>
  </si>
  <si>
    <t>IG541 (Ar 40%, N2 52%, CO2 8%) B5 / 200BAR</t>
  </si>
  <si>
    <t>IG541 (Ar 40%, N2 52%, CO2 8%) B7 / 200BAR</t>
  </si>
  <si>
    <t>IG541 (Ar 40%, N2 52%, CO2 8%) B10 / 200BAR</t>
  </si>
  <si>
    <t>IG541 (Ar 40%, N2 52%, CO2 8%) B14 / 200BAR</t>
  </si>
  <si>
    <t>IG541 (Ar 40%, N2 52%, CO2 8%) B16 / 200BAR</t>
  </si>
  <si>
    <t>IG541 (Ar 40%, N2 52%, CO2 8%) B20 / 200BAR</t>
  </si>
  <si>
    <t>IG541 (Ar 40%, N2 52%, CO2 8%) B30 / 200BAR</t>
  </si>
  <si>
    <t>IG541 (Ar 40%, N2 52%, CO2 8%) B40 / 200BAR</t>
  </si>
  <si>
    <t>IG541 (Ar 40%, N2 52%, CO2 8%) B50 / 200BAR</t>
  </si>
  <si>
    <t>IG541 (Ar 40%, N2 52%, CO2 8%) B80 / 200BAR</t>
  </si>
  <si>
    <t>IG541 (Ar 40%, N2 52%, CO2 8%) 12*50 / 200BAR</t>
  </si>
  <si>
    <t>IG541 (Ar 40%, N2 52%, CO2 8%) 16*50 / 200BAR</t>
  </si>
  <si>
    <t>IG541 (Ar 40%, N2 52%, CO2 8%) 12*80 / 200BAR</t>
  </si>
  <si>
    <t>IG541 (Ar 40%, N2 52%, CO2 8%)16*80 / 200BAR</t>
  </si>
  <si>
    <t>IG541 (Ar 40%, N2 52%, CO2 8%) B2 / 300BAR</t>
  </si>
  <si>
    <t>IG541 (Ar 40%, N2 52%, CO2 8%) B5 / 300BAR</t>
  </si>
  <si>
    <t>IG541 (Ar 40%, N2 52%, CO2 8%) B7 / 300BAR</t>
  </si>
  <si>
    <t>IG541 (Ar 40%, N2 52%, CO2 8%) B10 / 300BAR</t>
  </si>
  <si>
    <t>IG541 (Ar 40%, N2 52%, CO2 8%) B14 / 300BAR</t>
  </si>
  <si>
    <t>IG541 (Ar 40%, N2 52%, CO2 8%) B16 / 300BAR</t>
  </si>
  <si>
    <t>IG541 (Ar 40%, N2 52%, CO2 8%) B20 / 300BAR</t>
  </si>
  <si>
    <t>IG541 (Ar 40%, N2 52%, CO2 8%) B30 / 300BAR</t>
  </si>
  <si>
    <t>IG541 (Ar 40%, N2 52%, CO2 8%) B40 / 300BAR</t>
  </si>
  <si>
    <t>IG541 (Ar 40%, N2 52%, CO2 8%) B50 / 300BAR</t>
  </si>
  <si>
    <t>IG541 (Ar 40%, N2 52%, CO2 8%) B80 / 300BAR</t>
  </si>
  <si>
    <t>IG541 (Ar 40%, N2 52%, CO2 8%) 12*50 / 300BAR</t>
  </si>
  <si>
    <t>IG541 (Ar 40%, N2 52%, CO2 8%) 16*50 / 300BAR</t>
  </si>
  <si>
    <t>IG541 (Ar 40%, N2 52%, CO2 8%) 12*80 / 300BAR</t>
  </si>
  <si>
    <t>IG541 (Ar 40%, N2 52%, CO2 8%) 16*80 / 300BAR</t>
  </si>
  <si>
    <t>OXIGENO</t>
  </si>
  <si>
    <t>C02</t>
  </si>
  <si>
    <t>ARGON</t>
  </si>
  <si>
    <t>AIRE</t>
  </si>
  <si>
    <t>NITROGENO</t>
  </si>
  <si>
    <t>METANO</t>
  </si>
  <si>
    <t>ETILENO</t>
  </si>
  <si>
    <t>PESO KG GASES COMPUESTOS</t>
  </si>
  <si>
    <t>HIDRÓGENO</t>
  </si>
  <si>
    <t>HELIO</t>
  </si>
  <si>
    <t xml:space="preserve"> Oxigeno Industrial B2 / 150BAR</t>
  </si>
  <si>
    <t xml:space="preserve"> Oxigeno Industriall B5 / 150BAR</t>
  </si>
  <si>
    <t xml:space="preserve"> Oxigeno Industrial B 7 / 150BAR</t>
  </si>
  <si>
    <t xml:space="preserve"> Oxigeno Industriall B10 / 150BAR</t>
  </si>
  <si>
    <t xml:space="preserve"> Oxigeno Industrial B14 / 150BAR</t>
  </si>
  <si>
    <t xml:space="preserve"> Oxigeno Industriall B16 / 150BAR</t>
  </si>
  <si>
    <t xml:space="preserve"> Oxigeno Industriall B20 / 150BAR</t>
  </si>
  <si>
    <t xml:space="preserve"> Oxigeno Industriall B30 / 150BAR</t>
  </si>
  <si>
    <t xml:space="preserve"> Oxigeno Industrial B40 / 150BAR</t>
  </si>
  <si>
    <t xml:space="preserve"> Oxigeno Industrial B50 / 150BAR</t>
  </si>
  <si>
    <t xml:space="preserve"> Oxigeno Industrial B2 / 200BAR</t>
  </si>
  <si>
    <t xml:space="preserve"> Oxigeno Industriall B5 / 200BAR</t>
  </si>
  <si>
    <t xml:space="preserve"> Oxigeno Industrial B 7 / 200BAR</t>
  </si>
  <si>
    <t xml:space="preserve"> Oxigeno Industriall B10 / 200BAR</t>
  </si>
  <si>
    <t xml:space="preserve"> Oxigeno Industrial B14 / 200BAR</t>
  </si>
  <si>
    <t xml:space="preserve"> Oxigeno Industriall B16 / 200BAR</t>
  </si>
  <si>
    <t xml:space="preserve"> Oxigeno Industriall B20 / 200BAR</t>
  </si>
  <si>
    <t xml:space="preserve"> Oxigeno Industriall B30 / 200BAR</t>
  </si>
  <si>
    <t xml:space="preserve"> Oxigeno Industrial B40 / 200BAR</t>
  </si>
  <si>
    <t xml:space="preserve"> Oxigeno Industrial B50 / 200BAR</t>
  </si>
  <si>
    <t xml:space="preserve"> Oxigeno Industrial B80 / 200BAR</t>
  </si>
  <si>
    <t xml:space="preserve"> Oxigeno Industrial 12</t>
  </si>
  <si>
    <t>50 / 200BAR</t>
  </si>
  <si>
    <t xml:space="preserve"> Oxigeno Industrial 16</t>
  </si>
  <si>
    <t>80 / 200BAR</t>
  </si>
  <si>
    <t xml:space="preserve"> Oxigeno Industrial B2 / 300BAR</t>
  </si>
  <si>
    <t xml:space="preserve"> Oxigeno Industriall B5 / 300BAR</t>
  </si>
  <si>
    <t xml:space="preserve"> Oxigeno Industrial B7 / 300BAR</t>
  </si>
  <si>
    <t xml:space="preserve"> Oxigeno Industriall B10 / 300BAR</t>
  </si>
  <si>
    <t xml:space="preserve"> Oxigeno Industrial B14 / 300BAR</t>
  </si>
  <si>
    <t xml:space="preserve"> Oxigeno Industriall B16 / 300BAR</t>
  </si>
  <si>
    <t xml:space="preserve"> Oxigeno Industriall B20 / 300BAR</t>
  </si>
  <si>
    <t xml:space="preserve"> Oxigeno Industriall B30 / 300BAR</t>
  </si>
  <si>
    <t xml:space="preserve"> Oxigeno Industrial B40 / 300BAR</t>
  </si>
  <si>
    <t xml:space="preserve"> Oxigeno Industrial B50 / 300BAR</t>
  </si>
  <si>
    <t xml:space="preserve"> Oxigeno Industrial B80 / 300BAR</t>
  </si>
  <si>
    <t>50 / 300BAR</t>
  </si>
  <si>
    <t>80 / 300BAR</t>
  </si>
  <si>
    <t>Argón industrial B2 / 200BAR</t>
  </si>
  <si>
    <t>Argón industrial B5 / 200BAR</t>
  </si>
  <si>
    <t>Argón industrial B7 / 200BAR</t>
  </si>
  <si>
    <t>Argón industrial B10 / 200BAR</t>
  </si>
  <si>
    <t>Argón industrial B14 / 200BAR</t>
  </si>
  <si>
    <t>Argón industrial B16 / 200BAR</t>
  </si>
  <si>
    <t>Argón industrial B20 / 200BAR</t>
  </si>
  <si>
    <t>Argón industrial B25 / 200BAR</t>
  </si>
  <si>
    <t>Argón industrial B30 / 200BAR</t>
  </si>
  <si>
    <t>Argón industrial B40 / 200BAR</t>
  </si>
  <si>
    <t>Argón industrial B50 / 200BAR</t>
  </si>
  <si>
    <t>Argón industrial B80 / 200BAR</t>
  </si>
  <si>
    <t>Argón industrial B2 / 300BAR</t>
  </si>
  <si>
    <t>Argón industrial B5 /300BAR</t>
  </si>
  <si>
    <t>Argón industrial B7 / 300BAR</t>
  </si>
  <si>
    <t>Argón industrial B10 / 300BAR</t>
  </si>
  <si>
    <t>Argón industrial B14 / 300BAR</t>
  </si>
  <si>
    <t>Argón industrial B16 / 300BAR</t>
  </si>
  <si>
    <t>Argón industrial B20 /300BAR</t>
  </si>
  <si>
    <t>Argón industrial B30 / 300BAR</t>
  </si>
  <si>
    <t>Argón industrial B40 / 300BAR</t>
  </si>
  <si>
    <t>Argón industrial B50 / 300BAR</t>
  </si>
  <si>
    <t>Argón industrial B80 / 300BAR</t>
  </si>
  <si>
    <t>Oxigeno Industrial 16*50 / 200BAR</t>
  </si>
  <si>
    <t>Oxigeno Industrial 12*80 / 200BAR</t>
  </si>
  <si>
    <t>Oxigeno Industrial 16*80 / 200BAR</t>
  </si>
  <si>
    <t>Oxigeno Industrial B2 / 150BAR</t>
  </si>
  <si>
    <t>Oxigeno Industrial B 7 / 150BAR</t>
  </si>
  <si>
    <t>Oxigeno Industrial B14 / 150BAR</t>
  </si>
  <si>
    <t>Oxigeno Industrial B40 / 150BAR</t>
  </si>
  <si>
    <t>Oxigeno Industrial B50 / 150BAR</t>
  </si>
  <si>
    <t>Oxigeno Industrial B2 / 200BAR</t>
  </si>
  <si>
    <t>Oxigeno Industrial B 7 / 200BAR</t>
  </si>
  <si>
    <t>Oxigeno Industrial B14 / 200BAR</t>
  </si>
  <si>
    <t>Oxigeno Industrial B40 / 200BAR</t>
  </si>
  <si>
    <t>Oxigeno Industrial B50 / 200BAR</t>
  </si>
  <si>
    <t>Oxigeno Industrial B80 / 200BAR</t>
  </si>
  <si>
    <t>Oxigeno Industrial 12*50 / 200BAR</t>
  </si>
  <si>
    <t>Oxigeno Industrial B2 / 300BAR</t>
  </si>
  <si>
    <t>Oxigeno Industrial B7 / 300BAR</t>
  </si>
  <si>
    <t>Oxigeno Industrial B14 / 300BAR</t>
  </si>
  <si>
    <t>Oxigeno Industrial B40 / 300BAR</t>
  </si>
  <si>
    <t>Oxigeno Industrial B50 / 300BAR</t>
  </si>
  <si>
    <t>Oxigeno Industrial B80 / 300BAR</t>
  </si>
  <si>
    <t>Oxigeno Industrial 12*50 / 300BAR</t>
  </si>
  <si>
    <t>Oxigeno Industrial 16*50 / 300BAR</t>
  </si>
  <si>
    <t>Oxigeno Industrial 12*80 / 300BAR</t>
  </si>
  <si>
    <t>Oxigeno Industrial 16*80 / 300BAR</t>
  </si>
  <si>
    <t>Argón industrial 12*50 / 200BAR</t>
  </si>
  <si>
    <t>Argón industrial 16*50 / 200BAR</t>
  </si>
  <si>
    <t>Argón industrial 12*50 / 300BAR</t>
  </si>
  <si>
    <t>Argón industrial 12*80 / 200BAR</t>
  </si>
  <si>
    <t>Argón industrial 16*50 / 300BAR</t>
  </si>
  <si>
    <t>Argón industrial 16*80 / 200BAR</t>
  </si>
  <si>
    <t>Argón industrial 12*80 / 300BAR</t>
  </si>
  <si>
    <t>Argón industrial 16*80 / 300BAR</t>
  </si>
  <si>
    <t>Aire Sintético Comprimido (N2 + O2 20%) B2 / 200BAR-OXIGENO-0,1072368</t>
  </si>
  <si>
    <t>Aire Sintético Comprimido B2 / 300BAR-OXIGENO-0,1608552</t>
  </si>
  <si>
    <t>Aire Sintético Comprimido (N2 + O2 20%)  B5 / 200BAR-OXIGENO-0,268092</t>
  </si>
  <si>
    <t>Aire Sintético Comprimido (N2 + O2 20%)  B7 / 200BAR -OXIGENO-0,3753288</t>
  </si>
  <si>
    <t>Aire Sintético Comprimido B5 / 300BAR-OXIGENO-0,402138</t>
  </si>
  <si>
    <t>Aire Sintético Comprimido (N2 + O2 20%)  B10 / 200BAR-OXIGENO-0,536184</t>
  </si>
  <si>
    <t>Aire Sintético Comprimido B7 / 300BAR-OXIGENO-0,5629932</t>
  </si>
  <si>
    <t>Aire Sintético Comprimido (N2 + O2 20%)  B14 / 200BAR -OXIGENO-0,7506576</t>
  </si>
  <si>
    <t>Aire Sintético Comprimido B10 / 300BAR-OXIGENO-0,804276</t>
  </si>
  <si>
    <t>Aire Sintético Comprimido (N2 + O2 20%) B16 / 200BAR-OXIGENO-0,8578944</t>
  </si>
  <si>
    <t>Aire Sintético Comprimido (N2 + O2 20%) B20 / 200BAR-OXIGENO-1,072368</t>
  </si>
  <si>
    <t>Aire Sintético Comprimido B14 / 300BAR-OXIGENO-1,1259864</t>
  </si>
  <si>
    <t>Aire Sintético Comprimido B16 / 300BAR-OXIGENO-1,2868416</t>
  </si>
  <si>
    <t>Aire Sintético Comprimido (N2 + O2 20%) B30 / 200BAR-OXIGENO-1,608552</t>
  </si>
  <si>
    <t>Aire Sintético Comprimido B20 / 300BAR-OXIGENO-1,608552</t>
  </si>
  <si>
    <t>Aire Sintético Comprimido  (N2 + O2 20%)  B40 / 200BAR-OXIGENO-2,144736</t>
  </si>
  <si>
    <t>Aire Sintético Comprimido B30 / 300BAR-OXIGENO-2,412828</t>
  </si>
  <si>
    <t>Aire Sintético Comprimido (N2 + O2 20%)  B50 / 200BAR-OXIGENO-2,68092</t>
  </si>
  <si>
    <t>Aire Sintético Comprimido B40 / 300BAR-OXIGENO-3,217104</t>
  </si>
  <si>
    <t>Aire Sintético Comprimido B50 / 300BAR-OXIGENO-4,02138</t>
  </si>
  <si>
    <t>Aire Sintético Comprimido (N2 + O2 20%) B80 / 200BAR-OXIGENO-4,289472</t>
  </si>
  <si>
    <t>Aire Sintético Comprimido B80 / 300BAR-OXIGENO-6,434208</t>
  </si>
  <si>
    <t>Aire Sintético Comprimido (N2 + O2 20%)  12*50 / 200BAR-OXIGENO-32,17104</t>
  </si>
  <si>
    <t>Aire Sintético Comprimido (N2 + O2 20%) 16*50 / 200BAR-OXIGENO-42,89472</t>
  </si>
  <si>
    <t>Aire Sintético Comprimido 12*50 / 300BAR-OXIGENO-48,25656</t>
  </si>
  <si>
    <t>Aire Sintético Comprimido (N2 + O2 20%) 12*80 / 200BAR-OXIGENO-51,473664</t>
  </si>
  <si>
    <t>Aire Sintético Comprimido 16*50 / 300BAR-OXIGENO-64,34208</t>
  </si>
  <si>
    <t>Aire Sintético Comprimido (N2 + O2 20%) 16*80 / 200BAR-OXIGENO-68,631552</t>
  </si>
  <si>
    <t>Aire Sintético Comprimido 12*80 / 300BAR-OXIGENO-77,210496</t>
  </si>
  <si>
    <t>Aire Sintético Comprimido 16*80 / 300BAR-OXIGENO-102,947328</t>
  </si>
  <si>
    <t>IG541 (Ar 40%, N2 52%, CO2 8%) B2 / 200BAR-NITROGENO-0,2809872</t>
  </si>
  <si>
    <t>Aire Sintético Comprimido (N2 + O2 20%) B2 / 200BAR-NITROGENO-0,375408</t>
  </si>
  <si>
    <t>IG541 (Ar 40%, N2 52%, CO2 8%) B2 / 300BAR-NITROGENO-0,4214808</t>
  </si>
  <si>
    <t>Aire Sintético Comprimido B2 / 300BAR-NITROGENO-0,5701509</t>
  </si>
  <si>
    <t>IG541 (Ar 40%, N2 52%, CO2 8%) B5 / 200BAR-NITROGENO-0,702468</t>
  </si>
  <si>
    <t>Aire Sintético Comprimido (N2 + O2 20%)  B5 / 200BAR-NITROGENO-0,93852</t>
  </si>
  <si>
    <t>IG541 (Ar 40%, N2 52%, CO2 8%) B7 / 200BAR-NITROGENO-0,9834552</t>
  </si>
  <si>
    <t>IG541 (Ar 40%, N2 52%, CO2 8%) B5 / 300BAR-NITROGENO-1,053702</t>
  </si>
  <si>
    <t>NIDRO5 (N2 95% + H2 5%) B5 / 200BAR-NITROGENO-1,0694625</t>
  </si>
  <si>
    <t>Aire Sintético Comprimido (N2 + O2 20%)  B7 / 200BAR -NITROGENO-1,313928</t>
  </si>
  <si>
    <t>IG541 (Ar 40%, N2 52%, CO2 8%) B10 / 200BAR-NITROGENO-1,404936</t>
  </si>
  <si>
    <t>Aire Sintético Comprimido B5 / 300BAR-NITROGENO-1,42537725</t>
  </si>
  <si>
    <t>IG541 (Ar 40%, N2 52%, CO2 8%) B7 / 300BAR-NITROGENO-1,4751828</t>
  </si>
  <si>
    <t>NIDRO5 (N2 95% + H2 5%) B7 / 200BAR-NITROGENO-1,4972475</t>
  </si>
  <si>
    <t>NIDRO5 (N2 95% + H2 5%) B5 / 300BAR-NITROGENO-1,60419375</t>
  </si>
  <si>
    <t>Aire Sintético Comprimido (N2 + O2 20%)  B10 / 200BAR-NITROGENO-1,87704</t>
  </si>
  <si>
    <t>IG541 (Ar 40%, N2 52%, CO2 8%) B14 / 200BAR-NITROGENO-1,9669104</t>
  </si>
  <si>
    <t>Aire Sintético Comprimido B7 / 300BAR-NITROGENO-1,99552815</t>
  </si>
  <si>
    <t>IG541 (Ar 40%, N2 52%, CO2 8%) B10 / 300BAR-NITROGENO-2,107404</t>
  </si>
  <si>
    <t>NIDRO5 (N2 95% + H2 5%) B10 / 200BAR-NITROGENO-2,138925</t>
  </si>
  <si>
    <t>NIDRO5 (N2 95% + H2 5%) B7 / 300BAR-NITROGENO-2,24587125</t>
  </si>
  <si>
    <t>IG541 (Ar 40%, N2 52%, CO2 8%) B16 / 200BAR-NITROGENO-2,2478976</t>
  </si>
  <si>
    <t>Aire Sintético Comprimido (N2 + O2 20%)  B14 / 200BAR -NITROGENO-2,627856</t>
  </si>
  <si>
    <t>IG541 (Ar 40%, N2 52%, CO2 8%) B20 / 200BAR-NITROGENO-2,809872</t>
  </si>
  <si>
    <t>Aire Sintético Comprimido B10 / 300BAR-NITROGENO-2,8507545</t>
  </si>
  <si>
    <t>IG541 (Ar 40%, N2 52%, CO2 8%) B14 / 300BAR-NITROGENO-2,9503656</t>
  </si>
  <si>
    <t>NIDRO5 (N2 95% + H2 5%) B14 / 200BAR-NITROGENO-2,994495</t>
  </si>
  <si>
    <t>Aire Sintético Comprimido (N2 + O2 20%) B16 / 200BAR-NITROGENO-3,003264</t>
  </si>
  <si>
    <t>NIDRO5 (N2 95% + H2 5%) B10 / 300BAR-NITROGENO-3,2083875</t>
  </si>
  <si>
    <t>IG541 (Ar 40%, N2 52%, CO2 8%) B16 / 300BAR-NITROGENO-3,3718464</t>
  </si>
  <si>
    <t>Aire Sintético Comprimido (N2 + O2 20%) B20 / 200BAR-NITROGENO-3,75408</t>
  </si>
  <si>
    <t>Aire Sintético Comprimido B14 / 300BAR-NITROGENO-3,9910563</t>
  </si>
  <si>
    <t>IG541 (Ar 40%, N2 52%, CO2 8%) B30 / 200BAR-NITROGENO-4,214808</t>
  </si>
  <si>
    <t>IG541 (Ar 40%, N2 52%, CO2 8%) B20 / 300BAR-NITROGENO-4,214808</t>
  </si>
  <si>
    <t>NIDRO5 (N2 95% + H2 5%) B20 / 200BAR-NITROGENO-4,27785</t>
  </si>
  <si>
    <t>NIDRO5 (N2 95% + H2 5%) B14 / 300BAR-NITROGENO-4,4917425</t>
  </si>
  <si>
    <t>Aire Sintético Comprimido B16 / 300BAR-NITROGENO-4,5612072</t>
  </si>
  <si>
    <t>IG541 (Ar 40%, N2 52%, CO2 8%) B40 / 200BAR-NITROGENO-5,619744</t>
  </si>
  <si>
    <t>Aire Sintético Comprimido (N2 + O2 20%) B30 / 200BAR-NITROGENO-5,63112</t>
  </si>
  <si>
    <t>Aire Sintético Comprimido B20 / 300BAR-NITROGENO-5,701509</t>
  </si>
  <si>
    <t>IG541 (Ar 40%, N2 52%, CO2 8%) B30 / 300BAR-NITROGENO-6,322212</t>
  </si>
  <si>
    <t>NIDRO5 (N2 95% + H2 5%) B20 / 300BAR-NITROGENO-6,416775</t>
  </si>
  <si>
    <t>NIDRO5 (N2 95% + H2 5%) B30 / 200BAR zzz-NITROGENO-6,416775</t>
  </si>
  <si>
    <t>MADURGAS (N2 + Etileno 4%) B40 / 150BAR-NITROGENO-6,552576</t>
  </si>
  <si>
    <t>IG541 (Ar 40%, N2 52%, CO2 8%) B50 / 200BAR-NITROGENO-7,02468</t>
  </si>
  <si>
    <t>Aire Sintético Comprimido  (N2 + O2 20%)  B40 / 200BAR-NITROGENO-7,50816</t>
  </si>
  <si>
    <t>MADURGAS (N2 + Etileno 4%) B50 / 150BAR-NITROGENO-8,19072</t>
  </si>
  <si>
    <t>IG541 (Ar 40%, N2 52%, CO2 8%) B40 / 300BAR-NITROGENO-8,429616</t>
  </si>
  <si>
    <t>Aire Sintético Comprimido B30 / 300BAR-NITROGENO-8,5522635</t>
  </si>
  <si>
    <t>NIDRO5 (N2 95% + H2 5%) B40 / 200BAR-NITROGENO-8,5557</t>
  </si>
  <si>
    <t>MADURGAS (N2 + Etileno 4%) B40 / 200BAR-NITROGENO-8,736768</t>
  </si>
  <si>
    <t>Aire Sintético Comprimido (N2 + O2 20%)  B50 / 200BAR-NITROGENO-9,3852</t>
  </si>
  <si>
    <t>NIDRO5 (N2 95% + H2 5%) B30 / 200BAR-NITROGENO-9,6251625</t>
  </si>
  <si>
    <t>IG541 (Ar 40%, N2 52%, CO2 8%) B50 / 300BAR-NITROGENO-10,53702</t>
  </si>
  <si>
    <t>NIDRO5 (N2 95% + H2 5%) B50 / 200BAR-NITROGENO-10,694625</t>
  </si>
  <si>
    <t>MADURGAS (N2 + Etileno 4%) B50 / 200BAR-NITROGENO-10,92096</t>
  </si>
  <si>
    <t>IG541 (Ar 40%, N2 52%, CO2 8%) B80 / 200BAR-NITROGENO-11,239488</t>
  </si>
  <si>
    <t>Aire Sintético Comprimido B40 / 300BAR-NITROGENO-11,403018</t>
  </si>
  <si>
    <t>MADURGAS (N2 + Etileno 4%) B40 / 300BAR-NITROGENO-13,105152</t>
  </si>
  <si>
    <t>Aire Sintético Comprimido B50 / 300BAR-NITROGENO-14,2537725</t>
  </si>
  <si>
    <t>Aire Sintético Comprimido (N2 + O2 20%) B80 / 200BAR-NITROGENO-15,01632</t>
  </si>
  <si>
    <t>NIDRO5 (N2 95% + H2 5%) B40 / 300BAR-NITROGENO-16,0419375</t>
  </si>
  <si>
    <t>MADURGAS (N2 + Etileno 4%) B50 / 300BAR-NITROGENO-16,38144</t>
  </si>
  <si>
    <t>IG541 (Ar 40%, N2 52%, CO2 8%) B80 / 300BAR-NITROGENO-16,859232</t>
  </si>
  <si>
    <t>Aire Sintético Comprimido B80 / 300BAR-NITROGENO-22,806036</t>
  </si>
  <si>
    <t>IG541 (Ar 40%, N2 52%, CO2 8%) 12*50 / 200BAR-NITROGENO-84,29616</t>
  </si>
  <si>
    <t>IG541 (Ar 40%, N2 52%, CO2 8%) 16*50 / 200BAR-NITROGENO-112,39488</t>
  </si>
  <si>
    <t>Aire Sintético Comprimido (N2 + O2 20%)  12*50 / 200BAR-NITROGENO-112,6224</t>
  </si>
  <si>
    <t>IG541 (Ar 40%, N2 52%, CO2 8%) 12*50 / 300BAR-NITROGENO-126,44424</t>
  </si>
  <si>
    <t>MADURGAS (N2 + Etileno 4%) 12*50 / 200BAR-NITROGENO-131,05152</t>
  </si>
  <si>
    <t>IG541 (Ar 40%, N2 52%, CO2 8%) 12*80 / 200BAR-NITROGENO-134,873856</t>
  </si>
  <si>
    <t>Aire Sintético Comprimido (N2 + O2 20%) 16*50 / 200BAR-NITROGENO-150,1632</t>
  </si>
  <si>
    <t>IG541 (Ar 40%, N2 52%, CO2 8%) 16*50 / 300BAR-NITROGENO-168,59232</t>
  </si>
  <si>
    <t>Aire Sintético Comprimido 12*50 / 300BAR-NITROGENO-171,04527</t>
  </si>
  <si>
    <t>MADURGAS (N2 + Etileno 4%) 16*50 / 200BAR-NITROGENO-174,73536</t>
  </si>
  <si>
    <t>IG541 (Ar 40%, N2 52%, CO2 8%)16*80 / 200BAR-NITROGENO-179,831808</t>
  </si>
  <si>
    <t>Aire Sintético Comprimido (N2 + O2 20%) 12*80 / 200BAR-NITROGENO-180,19584</t>
  </si>
  <si>
    <t>MADURGAS (N2 + Etileno 4%) 12*50 / 300BAR-NITROGENO-196,57728</t>
  </si>
  <si>
    <t>IG541 (Ar 40%, N2 52%, CO2 8%) 12*80 / 300BAR-NITROGENO-202,310784</t>
  </si>
  <si>
    <t>Aire Sintético Comprimido 16*50 / 300BAR-NITROGENO-228,06036</t>
  </si>
  <si>
    <t>Aire Sintético Comprimido (N2 + O2 20%) 16*80 / 200BAR-NITROGENO-240,26112</t>
  </si>
  <si>
    <t>MADURGAS (N2 + Etileno 4%) 16*50 / 300BAR-NITROGENO-262,10304</t>
  </si>
  <si>
    <t>IG541 (Ar 40%, N2 52%, CO2 8%) 16*80 / 300BAR-NITROGENO-269,747712</t>
  </si>
  <si>
    <t>Aire Sintético Comprimido 12*80 / 300BAR-NITROGENO-273,672432</t>
  </si>
  <si>
    <t>Aire Sintético Comprimido 16*80 / 300BAR-NITROGENO-364,896576</t>
  </si>
  <si>
    <t>IG541 (Ar 40%, N2 52%, CO2 8%) B2 / 200BAR-ARGON-0,308256</t>
  </si>
  <si>
    <t>QC 15 (Ar 85%, CO2 15%) B2 / 200BAR-ARGON-0,655044</t>
  </si>
  <si>
    <t>QC 8 (Ar 92%, CO2 8%) B2 / 200BAR-ARGON-0,684112</t>
  </si>
  <si>
    <t>QC 2 (Ar 98%, CO2 2%) B2 / 200BAR-ARGON-0,7022288</t>
  </si>
  <si>
    <t>Argón industrial B2 / 200BAR-ARGON-0,7098</t>
  </si>
  <si>
    <t>IG541 (Ar 40%, N2 52%, CO2 8%) B5 / 200BAR-ARGON-0,77064</t>
  </si>
  <si>
    <t>QC 15 (Ar 85%, CO2 15%) B2 / 300BAR-ARGON-0,982566</t>
  </si>
  <si>
    <t>IG541 (Ar 40%, N2 52%, CO2 8%) B2 / 300BAR-ARGON-0,982566</t>
  </si>
  <si>
    <t>QC 8 (Ar 92%, CO2 8%) B2 / 300BAR-ARGON-1,026168</t>
  </si>
  <si>
    <t>QC 2 (Ar 98%, CO2 2%) B2 / 300BAR-ARGON-1,059968</t>
  </si>
  <si>
    <t>Argón industrial B2 / 300BAR-ARGON-1,0647</t>
  </si>
  <si>
    <t>IG541 (Ar 40%, N2 52%, CO2 8%) B7 / 200BAR-ARGON-1,078896</t>
  </si>
  <si>
    <t>Hidrinac35 (Ar 65% + H2 35%) B5 / 200BAR-ARGON-1,153425</t>
  </si>
  <si>
    <t>IG541 (Ar 40%, N2 52%, CO2 8%) B10 / 200BAR-ARGON-1,54128</t>
  </si>
  <si>
    <t>Argomet10  (Ar 90% + Metano 10%) B5 / 200BAR-ARGON-1,59705</t>
  </si>
  <si>
    <t>Hidrinac35  (Ar 65% + H2 35%) B7 / 200BAR-ARGON-1,614795</t>
  </si>
  <si>
    <t>QC 15 (Ar 85%, CO2 15%) B5 / 200BAR-ARGON-1,63761</t>
  </si>
  <si>
    <t>QC 8 (Ar 92%, CO2 8%) B5 / 200BAR-ARGON-1,71028</t>
  </si>
  <si>
    <t>Hidrinac35 (Ar 65% + H2 35%) B5 / 300BAR-ARGON-1,7301375</t>
  </si>
  <si>
    <t>QC 2 (Ar 98%, CO2 2%) B5 / 200BAR-ARGON-1,755572</t>
  </si>
  <si>
    <t>Argón industrial B5 / 200BAR-ARGON-1,7745</t>
  </si>
  <si>
    <t>IG541 (Ar 40%, N2 52%, CO2 8%) B14 / 200BAR-ARGON-2,157792</t>
  </si>
  <si>
    <t>Argomet10 (Ar 90% + Metano 10%) B7 / 200BAR-ARGON-2,23587</t>
  </si>
  <si>
    <t>QC 15 (Ar 85%, CO2 15%) B7 / 200BAR-ARGON-2,292654</t>
  </si>
  <si>
    <t>Hidrinac35  (Ar 65% + H2 35%) B10 / 200BAR-ARGON-2,30685</t>
  </si>
  <si>
    <t>QC 8 (Ar 92%, CO2 8%)  B7 / 200BAR-ARGON-2,394392</t>
  </si>
  <si>
    <t>Argomet10 (Ar 90% + Metano 10%) B5 / 300BAR-ARGON-2,395575</t>
  </si>
  <si>
    <t>Hidrinac35 (Ar 65% + H2 35%) B7 / 300BAR-ARGON-2,4221925</t>
  </si>
  <si>
    <t>QC 15 (Ar 85%, CO2 15%) B5 / 300BAR-ARGON-2,456415</t>
  </si>
  <si>
    <t>IG541 (Ar 40%, N2 52%, CO2 8%) B5 / 300BAR-ARGON-2,456415</t>
  </si>
  <si>
    <t>QC 2 (Ar 98%, CO2 2%) B7 / 200BAR-ARGON-2,4578008</t>
  </si>
  <si>
    <t>IG541 (Ar 40%, N2 52%, CO2 8%) B16 / 200BAR-ARGON-2,466048</t>
  </si>
  <si>
    <t>Argón industrial B7 / 200BAR-ARGON-2,4843</t>
  </si>
  <si>
    <t>QC 8 (Ar 92%, CO2 8%)  B5 / 300BAR-ARGON-2,56542</t>
  </si>
  <si>
    <t>QC 2 (Ar 98%, CO2 2%) B5 / 300BAR-ARGON-2,64992</t>
  </si>
  <si>
    <t>Argón industrial B5 /300BAR-ARGON-2,66175</t>
  </si>
  <si>
    <t>IG541 (Ar 40%, N2 52%, CO2 8%) B20 / 200BAR-ARGON-3,08256</t>
  </si>
  <si>
    <t>Argomet10 (Ar 90% + Metano 10%) B10 / 200BAR-ARGON-3,1941</t>
  </si>
  <si>
    <t>Hidrinac35 (Ar 65% + H2 35%)  B14 / 200BAR-ARGON-3,22959</t>
  </si>
  <si>
    <t>QC 15 (Ar 85%, CO2 15%) B10 / 200BAR-ARGON-3,27522</t>
  </si>
  <si>
    <t>Argomet10 (Ar 90% + Metano 10%) B7 / 300BAR-ARGON-3,353805</t>
  </si>
  <si>
    <t>QC 8 (Ar 92%, CO2 8%)  B10 / 200BAR-ARGON-3,42056</t>
  </si>
  <si>
    <t>QC 15 (Ar 85%, CO2 15%) B7 / 300BAR-ARGON-3,438981</t>
  </si>
  <si>
    <t>IG541 (Ar 40%, N2 52%, CO2 8%) B7 / 300BAR-ARGON-3,438981</t>
  </si>
  <si>
    <t>Hidrinac35  (Ar 65% + H2 35%) B10 / 300BAR-ARGON-3,460275</t>
  </si>
  <si>
    <t>QC 2 (Ar 98%, CO2 2%) B10 / 200BAR-ARGON-3,511144</t>
  </si>
  <si>
    <t>Argón industrial B10 / 200BAR-ARGON-3,549</t>
  </si>
  <si>
    <t>QC 8 (Ar 92%, CO2 8%) B7 / 300BAR-ARGON-3,591588</t>
  </si>
  <si>
    <t>QC 2 (Ar 98%, CO2 2%) B7 / 300BAR-ARGON-3,709888</t>
  </si>
  <si>
    <t>Argón industrial B7 / 300BAR-ARGON-3,72645</t>
  </si>
  <si>
    <t>Argomet10 (Ar 90% + Metano 10%) B14 / 200BAR-ARGON-4,47174</t>
  </si>
  <si>
    <t>QC 15 (Ar 85%, CO2 15%) B14 / 200BAR-ARGON-4,585308</t>
  </si>
  <si>
    <t>Hidrinac35  (Ar 65% + H2 35%) B20 / 200BAR-ARGON-4,6137</t>
  </si>
  <si>
    <t>IG541 (Ar 40%, N2 52%, CO2 8%) B30 / 200BAR-ARGON-4,62384</t>
  </si>
  <si>
    <t>QC 8 (Ar 92%, CO2 8%)  B14 / 200BAR-ARGON-4,788784</t>
  </si>
  <si>
    <t>Argomet10 (Ar 90% + Metano 10%) B10 / 300BAR-ARGON-4,79115</t>
  </si>
  <si>
    <t>Hidrinac35  (Ar 65% + H2 35%) B14 / 300BAR-ARGON-4,844385</t>
  </si>
  <si>
    <t>QC 15 (Ar 85%, CO2 15%) B10 / 300BAR-ARGON-4,91283</t>
  </si>
  <si>
    <t>IG541 (Ar 40%, N2 52%, CO2 8%) B10 / 300BAR-ARGON-4,91283</t>
  </si>
  <si>
    <t>QC 2 (Ar 98%, CO2 2%) B14 / 200BAR-ARGON-4,9156016</t>
  </si>
  <si>
    <t>Argón industrial B14 / 200BAR-ARGON-4,9686</t>
  </si>
  <si>
    <t>QC 8 (Ar 92%, CO2 8%) B10 / 300BAR-ARGON-5,13084</t>
  </si>
  <si>
    <t>QC 15 (Ar 85%, CO2 15%) B16 / 200BAR-ARGON-5,240352</t>
  </si>
  <si>
    <t>QC 2 (Ar 98%, CO2 2%) B10 / 300BAR-ARGON-5,29984</t>
  </si>
  <si>
    <t>Argón industrial B10 / 300BAR-ARGON-5,3235</t>
  </si>
  <si>
    <t>QC 8 (Ar 92%, CO2 8%)  B16 / 200BAR-ARGON-5,472896</t>
  </si>
  <si>
    <t>QC 2 (Ar 98%, CO2 2%) B16 / 200BAR-ARGON-5,6178304</t>
  </si>
  <si>
    <t>Argón industrial B16 / 200BAR-ARGON-5,6784</t>
  </si>
  <si>
    <t>IG541 (Ar 40%, N2 52%, CO2 8%) B40 / 200BAR-ARGON-6,16512</t>
  </si>
  <si>
    <t>Argomet10 (Ar 90% + Metano 10%) B20 / 200BAR-ARGON-6,3882</t>
  </si>
  <si>
    <t>QC 15 (Ar 85%, CO2 15%) B20 / 200BAR-ARGON-6,55044</t>
  </si>
  <si>
    <t>Argomet10 (Ar 90% + Metano 10%) B14 / 300BAR-ARGON-6,70761</t>
  </si>
  <si>
    <t>QC 8 (Ar 92%, CO2 8%)  B20 / 200BAR-ARGON-6,84112</t>
  </si>
  <si>
    <t>QC 15 (Ar 85%, CO2 15%) B14 / 300BAR-ARGON-6,877962</t>
  </si>
  <si>
    <t>IG541 (Ar 40%, N2 52%, CO2 8%) B14 / 300BAR-ARGON-6,877962</t>
  </si>
  <si>
    <t>Hidrinac35 (Ar 65% + H2 35%)  B30 / 200BAR-ARGON-6,92055</t>
  </si>
  <si>
    <t>Hidrinac35  (Ar 65% + H2 35%) B20 / 300BAR-ARGON-6,92055</t>
  </si>
  <si>
    <t>QC 2 (Ar 98%, CO2 2%) B20 / 200BAR-ARGON-7,022288</t>
  </si>
  <si>
    <t>Argón industrial B20 / 200BAR-ARGON-7,098</t>
  </si>
  <si>
    <t>QC 8 (Ar 92%, CO2 8%) B14 / 300BAR-ARGON-7,183176</t>
  </si>
  <si>
    <t>QC 2 (Ar 98%, CO2 2%) B14 / 300BAR-ARGON-7,419776</t>
  </si>
  <si>
    <t>Argón industrial B14 / 300BAR-ARGON-7,4529</t>
  </si>
  <si>
    <t>IG541 (Ar 40%, N2 52%, CO2 8%) B50 / 200BAR-ARGON-7,7064</t>
  </si>
  <si>
    <t>QC 15 (Ar 85%, CO2 15%) B16 / 300BAR-ARGON-7,860528</t>
  </si>
  <si>
    <t>IG541 (Ar 40%, N2 52%, CO2 8%) B16 / 300BAR-ARGON-7,860528</t>
  </si>
  <si>
    <t>QC 8 (Ar 92%, CO2 8%)  B16 / 300BAR-ARGON-8,209344</t>
  </si>
  <si>
    <t>QC 2 (Ar 98%, CO2 2%) B16 / 300BAR-ARGON-8,479744</t>
  </si>
  <si>
    <t>Argón industrial B16 / 300BAR-ARGON-8,5176</t>
  </si>
  <si>
    <t>Argón industrial B25 / 200BAR-ARGON-8,8725</t>
  </si>
  <si>
    <t>Hidrinac35  (Ar 65% + H2 35%) B40 / 200BAR-ARGON-9,2274</t>
  </si>
  <si>
    <t>Argomet10 (Ar 90% + Metano 10%) B30 / 200BAR-ARGON-9,5823</t>
  </si>
  <si>
    <t>Argomet10 (Ar 90% + Metano 10%) B20 / 300BAR-ARGON-9,5823</t>
  </si>
  <si>
    <t>QC 15 (Ar 85%, CO2 15%) B30 / 200BAR-ARGON-9,82566</t>
  </si>
  <si>
    <t>QC 15 (Ar 85%, CO2 15%) B20 / 300BAR-ARGON-9,82566</t>
  </si>
  <si>
    <t>IG541 (Ar 40%, N2 52%, CO2 8%) B20 / 300BAR-ARGON-9,82566</t>
  </si>
  <si>
    <t>QC 8 (Ar 92%, CO2 8%)  B30 / 200BAR-ARGON-10,26168</t>
  </si>
  <si>
    <t>QC 8 (Ar 92%, CO2 8%) B20 / 300BAR-ARGON-10,26168</t>
  </si>
  <si>
    <t>Hidrinac35 (Ar 65% + H2 35%) B30 / 300BAR-ARGON-10,380825</t>
  </si>
  <si>
    <t>QC 2 (Ar 98%, CO2 2%) B30 / 200BAR-ARGON-10,533432</t>
  </si>
  <si>
    <t>QC 2 (Ar 98%, CO2 2%) B20 / 300BAR-ARGON-10,59968</t>
  </si>
  <si>
    <t>Argón industrial B30 / 200BAR-ARGON-10,647</t>
  </si>
  <si>
    <t>Argón industrial B20 /300BAR-ARGON-10,647</t>
  </si>
  <si>
    <t>Hidrinac35 (Ar 65% + H2 35%) B50 / 200BAR-ARGON-11,53425</t>
  </si>
  <si>
    <t>IG541 (Ar 40%, N2 52%, CO2 8%) B80 / 200BAR-ARGON-12,33024</t>
  </si>
  <si>
    <t>Argomet10 (Ar 90% + Metano 10%) B40 / 200BAR-ARGON-12,7764</t>
  </si>
  <si>
    <t>QC 15 (Ar 85%, CO2 15%) B40 / 200BAR-ARGON-13,10088</t>
  </si>
  <si>
    <t>QC 8 (Ar 92%, CO2 8%)  B40 / 200BAR-ARGON-13,68224</t>
  </si>
  <si>
    <t>Hidrinac35  (Ar 65% + H2 35%) B40 / 300BAR-ARGON-13,8411</t>
  </si>
  <si>
    <t>QC 2 (Ar 98%, CO2 2%) B40 / 200BAR-ARGON-14,044576</t>
  </si>
  <si>
    <t>Argón industrial B40 / 200BAR-ARGON-14,196</t>
  </si>
  <si>
    <t>Argomet10 (Ar 90% + Metano 10%) B30 / 300BAR-ARGON-14,37345</t>
  </si>
  <si>
    <t>QC 15 (Ar 85%, CO2 15%) B30 / 300BAR-ARGON-14,73849</t>
  </si>
  <si>
    <t>IG541 (Ar 40%, N2 52%, CO2 8%) B30 / 300BAR-ARGON-14,73849</t>
  </si>
  <si>
    <t>QC 8 (Ar 92%, CO2 8%) B30 / 300BAR-ARGON-15,39252</t>
  </si>
  <si>
    <t>QC 2 (Ar 98%, CO2 2%) B30 / 300BAR-ARGON-15,89952</t>
  </si>
  <si>
    <t>Argón industrial B30 / 300BAR-ARGON-15,9705</t>
  </si>
  <si>
    <t>Argomet10 (Ar 90% + Metano 10%) B50 / 200BAR-ARGON-15,9705</t>
  </si>
  <si>
    <t>QC 15 (Ar 85%, CO2 15%) B50 / 200BAR-ARGON-16,3761</t>
  </si>
  <si>
    <t>QC 8 (Ar 92%, CO2 8%) B50 / 200BAR-ARGON-17,1028</t>
  </si>
  <si>
    <t>Hidrinac35  (Ar 65% + H2 35%) B50 / 300BAR-ARGON-17,301375</t>
  </si>
  <si>
    <t>QC 2 (Ar 98%, CO2 2%) B50 / 200BAR-ARGON-17,55572</t>
  </si>
  <si>
    <t>Argón industrial B50 / 200BAR-ARGON-17,745</t>
  </si>
  <si>
    <t>Argomet10 (Ar 90% + Metano 10%) B40 / 300BAR-ARGON-19,1646</t>
  </si>
  <si>
    <t>QC 15 (Ar 85%, CO2 15%) B40 / 300BAR-ARGON-19,65132</t>
  </si>
  <si>
    <t>IG541 (Ar 40%, N2 52%, CO2 8%) B40 / 300BAR-ARGON-19,65132</t>
  </si>
  <si>
    <t>QC 8 (Ar 92%, CO2 8%) B40 / 300BAR-ARGON-20,52336</t>
  </si>
  <si>
    <t>QC 2 (Ar 98%, CO2 2%) B40 / 300BAR-ARGON-21,19936</t>
  </si>
  <si>
    <t>Argón industrial B40 / 300BAR-ARGON-21,294</t>
  </si>
  <si>
    <t>Argomet10 (Ar 90% + Metano 10%) B50 / 300BAR-ARGON-23,95575</t>
  </si>
  <si>
    <t>QC 15 (Ar 85%, CO2 15%) B50 / 300BAR-ARGON-24,56415</t>
  </si>
  <si>
    <t>IG541 (Ar 40%, N2 52%, CO2 8%) B50 / 300BAR-ARGON-24,56415</t>
  </si>
  <si>
    <t>QC 8 (Ar 92%, CO2 8%) B50 / 300BAR-ARGON-25,6542</t>
  </si>
  <si>
    <t>QC 15 (Ar 85%, CO2 15%) B80 / 200BAR-ARGON-26,20176</t>
  </si>
  <si>
    <t>QC 2 (Ar 98%, CO2 2%) B50 / 300BAR-ARGON-26,4992</t>
  </si>
  <si>
    <t>Argón industrial B50 / 300BAR-ARGON-26,6175</t>
  </si>
  <si>
    <t>QC 8 (Ar 92%, CO2 8%)  B80 / 200BAR-ARGON-27,36448</t>
  </si>
  <si>
    <t>QC 2 (Ar 98%, CO2 2%) B80 / 200BAR-ARGON-28,089152</t>
  </si>
  <si>
    <t>Argón industrial B80 / 200BAR-ARGON-28,392</t>
  </si>
  <si>
    <t>QC 15 (Ar 85%, CO2 15%) B80 / 300BAR-ARGON-39,30264</t>
  </si>
  <si>
    <t>IG541 (Ar 40%, N2 52%, CO2 8%) B80 / 300BAR-ARGON-39,30264</t>
  </si>
  <si>
    <t>QC 8 (Ar 92%, CO2 8%) B80 / 300BAR-ARGON-41,04672</t>
  </si>
  <si>
    <t>QC 2 (Ar 98%, CO2 2%) B80 / 300BAR-ARGON-42,39872</t>
  </si>
  <si>
    <t>Argón industrial B80 / 300BAR-ARGON-42,588</t>
  </si>
  <si>
    <t>IG541 (Ar 40%, N2 52%, CO2 8%) 12*50 / 200BAR-ARGON-92,4768</t>
  </si>
  <si>
    <t>IG541 (Ar 40%, N2 52%, CO2 8%) 16*50 / 200BAR-ARGON-123,3024</t>
  </si>
  <si>
    <t>IG541 (Ar 40%, N2 52%, CO2 8%) 12*80 / 200BAR-ARGON-147,96288</t>
  </si>
  <si>
    <t>QC 15 (Ar 85%, CO2 15%) 12*50 / 200BAR-ARGON-196,5132</t>
  </si>
  <si>
    <t>IG541 (Ar 40%, N2 52%, CO2 8%)16*80 / 200BAR-ARGON-197,28384</t>
  </si>
  <si>
    <t>QC 8 (Ar 92%, CO2 8%)  12*50 / 200BAR-ARGON-205,2336</t>
  </si>
  <si>
    <t>QC 2 (Ar 98%, CO2 2%) 12*50 / 200BAR-ARGON-210,66864</t>
  </si>
  <si>
    <t>Argón industrial 12*50 / 200BAR-ARGON-212,94</t>
  </si>
  <si>
    <t>QC 15 (Ar 85%, CO2 15%) 16*50 / 200BAR-ARGON-262,0176</t>
  </si>
  <si>
    <t>QC 8 (Ar 92%, CO2 8%)  16*50 / 200BAR-ARGON-273,6448</t>
  </si>
  <si>
    <t>QC 2 (Ar 98%, CO2 2%) 16*50 / 200BAR-ARGON-280,89152</t>
  </si>
  <si>
    <t>Argón industrial 16*50 / 200BAR-ARGON-283,92</t>
  </si>
  <si>
    <t>QC 15 (Ar 85%, CO2 15%) 12*50 / 300BAR-ARGON-294,7698</t>
  </si>
  <si>
    <t>IG541 (Ar 40%, N2 52%, CO2 8%) 12*50 / 300BAR-ARGON-294,7698</t>
  </si>
  <si>
    <t>QC 8 (Ar 92%, CO2 8%) 12*50 / 300BAR-ARGON-307,8504</t>
  </si>
  <si>
    <t>QC 15 (Ar 85%, CO2 15%) 12*80 / 200BAR-ARGON-314,42112</t>
  </si>
  <si>
    <t>QC 2 (Ar 98%, CO2 2%) 12*50 / 300BAR-ARGON-317,9904</t>
  </si>
  <si>
    <t>Argón industrial 12*50 / 300BAR-ARGON-319,41</t>
  </si>
  <si>
    <t>QC 8 (Ar 92%, CO2 8%) 12*80 / 200BAR-ARGON-328,37376</t>
  </si>
  <si>
    <t>QC 2 (Ar 98%, CO2 2%) 12*80 / 200BAR-ARGON-337,069824</t>
  </si>
  <si>
    <t>Argón industrial 12*80 / 200BAR-ARGON-340,704</t>
  </si>
  <si>
    <t>QC 15 (Ar 85%, CO2 15%) 16*50 / 300BAR-ARGON-393,0264</t>
  </si>
  <si>
    <t>IG541 (Ar 40%, N2 52%, CO2 8%) 16*50 / 300BAR-ARGON-393,0264</t>
  </si>
  <si>
    <t>QC 8 (Ar 92%, CO2 8%)  16*50 / 300BAR-ARGON-410,4672</t>
  </si>
  <si>
    <t>QC 15 (Ar 85%, CO2 15%) 16*80 / 200BAR-ARGON-419,22816</t>
  </si>
  <si>
    <t>QC 2 (Ar 98%, CO2 2%) 16*50 / 300BAR-ARGON-423,9872</t>
  </si>
  <si>
    <t>Argón industrial 16*50 / 300BAR-ARGON-425,88</t>
  </si>
  <si>
    <t>QC 8 (Ar 92%, CO2 8%) 16*80 / 200BAR-ARGON-437,83168</t>
  </si>
  <si>
    <t>QC 2 (Ar 98%, CO2 2%) 16*80 / 200BAR-ARGON-449,426432</t>
  </si>
  <si>
    <t>Argón industrial 16*80 / 200BAR-ARGON-454,272</t>
  </si>
  <si>
    <t>QC 15 (Ar 85%, CO2 15%) 12*80 / 300BAR-ARGON-471,63168</t>
  </si>
  <si>
    <t>IG541 (Ar 40%, N2 52%, CO2 8%) 12*80 / 300BAR-ARGON-471,63168</t>
  </si>
  <si>
    <t>QC 8 (Ar 92%, CO2 8%)  12*80 / 300BAR-ARGON-492,56064</t>
  </si>
  <si>
    <t>QC 2 (Ar 98%, CO2 2%) 12*80 / 300BAR-ARGON-508,78464</t>
  </si>
  <si>
    <t>Argón industrial 12*80 / 300BAR-ARGON-511,056</t>
  </si>
  <si>
    <t>QC 15 (Ar 85%, CO2 15%) 16*80 / 300BAR-ARGON-628,84224</t>
  </si>
  <si>
    <t>IG541 (Ar 40%, N2 52%, CO2 8%) 16*80 / 300BAR-ARGON-628,84224</t>
  </si>
  <si>
    <t>QC 8 (Ar 92%, CO2 8%) 16*80 / 300BAR-ARGON-656,74752</t>
  </si>
  <si>
    <t>QC 2 (Ar 98%, CO2 2%) 16*80 / 300BAR-ARGON-678,37952</t>
  </si>
  <si>
    <t>Argón industrial 16*80 / 300BAR-ARGON-681,408</t>
  </si>
  <si>
    <t>QC 2 (Ar 98%, CO2 2%) B2 / 200BAR-CO2-0,0156456</t>
  </si>
  <si>
    <t>QC 2 (Ar 98%, CO2 2%) B2 / 300BAR-CO2-0,023616</t>
  </si>
  <si>
    <t>QC 2 (Ar 98%, CO2 2%) B5 / 200BAR-CO2-0,039114</t>
  </si>
  <si>
    <t>QC 2 (Ar 98%, CO2 2%) B7 / 200BAR-CO2-0,0547596</t>
  </si>
  <si>
    <t>QC 2 (Ar 98%, CO2 2%) B5 / 300BAR-CO2-0,05904</t>
  </si>
  <si>
    <t>QC 8 (Ar 92%, CO2 8%) B2 / 200BAR-CO2-0,064944</t>
  </si>
  <si>
    <t>IG541 (Ar 40%, N2 52%, CO2 8%) B2 / 200BAR-CO2-0,0673056</t>
  </si>
  <si>
    <t>QC 2 (Ar 98%, CO2 2%) B10 / 200BAR-CO2-0,078228</t>
  </si>
  <si>
    <t>QC 2 (Ar 98%, CO2 2%) B7 / 300BAR-CO2-0,082656</t>
  </si>
  <si>
    <t>QC 8 (Ar 92%, CO2 8%) B2 / 300BAR-CO2-0,097416</t>
  </si>
  <si>
    <t>QC 2 (Ar 98%, CO2 2%) B14 / 200BAR-CO2-0,1095192</t>
  </si>
  <si>
    <t>QC 2 (Ar 98%, CO2 2%) B10 / 300BAR-CO2-0,11808</t>
  </si>
  <si>
    <t>QC 2 (Ar 98%, CO2 2%) B16 / 200BAR-CO2-0,1251648</t>
  </si>
  <si>
    <t>QC 15 (Ar 85%, CO2 15%) B2 / 200BAR-CO2-0,126198</t>
  </si>
  <si>
    <t>QC 2 (Ar 98%, CO2 2%) B20 / 200BAR-CO2-0,156456</t>
  </si>
  <si>
    <t>QC 8 (Ar 92%, CO2 8%) B5 / 200BAR-CO2-0,16236</t>
  </si>
  <si>
    <t>QC 2 (Ar 98%, CO2 2%) B14 / 300BAR-CO2-0,165312</t>
  </si>
  <si>
    <t>IG541 (Ar 40%, N2 52%, CO2 8%) B5 / 200BAR-CO2-0,168264</t>
  </si>
  <si>
    <t>QC 2 (Ar 98%, CO2 2%) B16 / 300BAR-CO2-0,188928</t>
  </si>
  <si>
    <t>QC 15 (Ar 85%, CO2 15%) B2 / 300BAR-CO2-0,189297</t>
  </si>
  <si>
    <t>IG541 (Ar 40%, N2 52%, CO2 8%) B2 / 300BAR-CO2-0,189297</t>
  </si>
  <si>
    <t>QC 8 (Ar 92%, CO2 8%)  B7 / 200BAR-CO2-0,227304</t>
  </si>
  <si>
    <t>QC 2 (Ar 98%, CO2 2%) B30 / 200BAR-CO2-0,234684</t>
  </si>
  <si>
    <t>IG541 (Ar 40%, N2 52%, CO2 8%) B7 / 200BAR-CO2-0,2355696</t>
  </si>
  <si>
    <t>QC 2 (Ar 98%, CO2 2%) B20 / 300BAR-CO2-0,23616</t>
  </si>
  <si>
    <t>QC 8 (Ar 92%, CO2 8%)  B5 / 300BAR-CO2-0,24354</t>
  </si>
  <si>
    <t>QC 2 (Ar 98%, CO2 2%) B40 / 200BAR-CO2-0,312912</t>
  </si>
  <si>
    <t>QC 15 (Ar 85%, CO2 15%) B5 / 200BAR-CO2-0,315495</t>
  </si>
  <si>
    <t>QC 8 (Ar 92%, CO2 8%)  B10 / 200BAR-CO2-0,32472</t>
  </si>
  <si>
    <t>IG541 (Ar 40%, N2 52%, CO2 8%) B10 / 200BAR-CO2-0,336528</t>
  </si>
  <si>
    <t>QC 8 (Ar 92%, CO2 8%) B7 / 300BAR-CO2-0,340956</t>
  </si>
  <si>
    <t>QC 2 (Ar 98%, CO2 2%) B30 / 300BAR-CO2-0,35424</t>
  </si>
  <si>
    <t>QC 2 (Ar 98%, CO2 2%) B50 / 200BAR-CO2-0,39114</t>
  </si>
  <si>
    <t>QC 15 (Ar 85%, CO2 15%) B7 / 200BAR-CO2-0,441693</t>
  </si>
  <si>
    <t>QC 8 (Ar 92%, CO2 8%)  B14 / 200BAR-CO2-0,454608</t>
  </si>
  <si>
    <t>IG541 (Ar 40%, N2 52%, CO2 8%) B14 / 200BAR-CO2-0,4711392</t>
  </si>
  <si>
    <t>QC 2 (Ar 98%, CO2 2%) B40 / 300BAR-CO2-0,47232</t>
  </si>
  <si>
    <t>QC 15 (Ar 85%, CO2 15%) B5 / 300BAR-CO2-0,4732425</t>
  </si>
  <si>
    <t>IG541 (Ar 40%, N2 52%, CO2 8%) B5 / 300BAR-CO2-0,4732425</t>
  </si>
  <si>
    <t>QC 8 (Ar 92%, CO2 8%) B10 / 300BAR-CO2-0,48708</t>
  </si>
  <si>
    <t>QC 8 (Ar 92%, CO2 8%)  B16 / 200BAR-CO2-0,519552</t>
  </si>
  <si>
    <t>IG541 (Ar 40%, N2 52%, CO2 8%) B16 / 200BAR-CO2-0,5384448</t>
  </si>
  <si>
    <t>QC 2 (Ar 98%, CO2 2%) B50 / 300BAR-CO2-0,5904</t>
  </si>
  <si>
    <t>QC 2 (Ar 98%, CO2 2%) B80 / 200BAR-CO2-0,625824</t>
  </si>
  <si>
    <t>QC 15 (Ar 85%, CO2 15%) B10 / 200BAR-CO2-0,63099</t>
  </si>
  <si>
    <t>QC 8 (Ar 92%, CO2 8%)  B20 / 200BAR-CO2-0,64944</t>
  </si>
  <si>
    <t>QC 15 (Ar 85%, CO2 15%) B7 / 300BAR-CO2-0,6625395</t>
  </si>
  <si>
    <t>IG541 (Ar 40%, N2 52%, CO2 8%) B7 / 300BAR-CO2-0,6625395</t>
  </si>
  <si>
    <t>IG541 (Ar 40%, N2 52%, CO2 8%) B20 / 200BAR-CO2-0,673056</t>
  </si>
  <si>
    <t>QC 8 (Ar 92%, CO2 8%) B14 / 300BAR-CO2-0,681912</t>
  </si>
  <si>
    <t>QC 8 (Ar 92%, CO2 8%)  B16 / 300BAR-CO2-0,779328</t>
  </si>
  <si>
    <t>QC 15 (Ar 85%, CO2 15%) B14 / 200BAR-CO2-0,883386</t>
  </si>
  <si>
    <t>QC 2 (Ar 98%, CO2 2%) B80 / 300BAR-CO2-0,94464</t>
  </si>
  <si>
    <t>QC 15 (Ar 85%, CO2 15%) B10 / 300BAR-CO2-0,946485</t>
  </si>
  <si>
    <t>IG541 (Ar 40%, N2 52%, CO2 8%) B10 / 300BAR-CO2-0,946485</t>
  </si>
  <si>
    <t>QC 8 (Ar 92%, CO2 8%)  B30 / 200BAR-CO2-0,97416</t>
  </si>
  <si>
    <t>QC 8 (Ar 92%, CO2 8%) B20 / 300BAR-CO2-0,97416</t>
  </si>
  <si>
    <t>QC 15 (Ar 85%, CO2 15%) B16 / 200BAR-CO2-1,009584</t>
  </si>
  <si>
    <t>IG541 (Ar 40%, N2 52%, CO2 8%) B30 / 200BAR-CO2-1,009584</t>
  </si>
  <si>
    <t>QC 15 (Ar 85%, CO2 15%) B20 / 200BAR-CO2-1,26198</t>
  </si>
  <si>
    <t>QC 8 (Ar 92%, CO2 8%)  B40 / 200BAR-CO2-1,29888</t>
  </si>
  <si>
    <t>QC 15 (Ar 85%, CO2 15%) B14 / 300BAR-CO2-1,325079</t>
  </si>
  <si>
    <t>IG541 (Ar 40%, N2 52%, CO2 8%) B14 / 300BAR-CO2-1,325079</t>
  </si>
  <si>
    <t>IG541 (Ar 40%, N2 52%, CO2 8%) B40 / 200BAR-CO2-1,346112</t>
  </si>
  <si>
    <t>QC 8 (Ar 92%, CO2 8%) B30 / 300BAR-CO2-1,46124</t>
  </si>
  <si>
    <t>QC 15 (Ar 85%, CO2 15%) B16 / 300BAR-CO2-1,514376</t>
  </si>
  <si>
    <t>IG541 (Ar 40%, N2 52%, CO2 8%) B16 / 300BAR-CO2-1,514376</t>
  </si>
  <si>
    <t>QC 8 (Ar 92%, CO2 8%) B50 / 200BAR-CO2-1,6236</t>
  </si>
  <si>
    <t>IG541 (Ar 40%, N2 52%, CO2 8%) B50 / 200BAR-CO2-1,68264</t>
  </si>
  <si>
    <t>QC 15 (Ar 85%, CO2 15%) B30 / 200BAR-CO2-1,89297</t>
  </si>
  <si>
    <t>QC 15 (Ar 85%, CO2 15%) B20 / 300BAR-CO2-1,89297</t>
  </si>
  <si>
    <t>IG541 (Ar 40%, N2 52%, CO2 8%) B20 / 300BAR-CO2-1,89297</t>
  </si>
  <si>
    <t>QC 8 (Ar 92%, CO2 8%) B40 / 300BAR-CO2-1,94832</t>
  </si>
  <si>
    <t>QC 8 (Ar 92%, CO2 8%) B50 / 300BAR-CO2-2,4354</t>
  </si>
  <si>
    <t>QC 15 (Ar 85%, CO2 15%) B40 / 200BAR-CO2-2,52396</t>
  </si>
  <si>
    <t>QC 8 (Ar 92%, CO2 8%)  B80 / 200BAR-CO2-2,59776</t>
  </si>
  <si>
    <t>IG541 (Ar 40%, N2 52%, CO2 8%) B80 / 200BAR-CO2-2,692224</t>
  </si>
  <si>
    <t>QC 15 (Ar 85%, CO2 15%) B30 / 300BAR-CO2-2,839455</t>
  </si>
  <si>
    <t>IG541 (Ar 40%, N2 52%, CO2 8%) B30 / 300BAR-CO2-2,839455</t>
  </si>
  <si>
    <t>QC 15 (Ar 85%, CO2 15%) B50 / 200BAR-CO2-3,15495</t>
  </si>
  <si>
    <t>QC 15 (Ar 85%, CO2 15%) B40 / 300BAR-CO2-3,78594</t>
  </si>
  <si>
    <t>IG541 (Ar 40%, N2 52%, CO2 8%) B40 / 300BAR-CO2-3,78594</t>
  </si>
  <si>
    <t>QC 8 (Ar 92%, CO2 8%) B80 / 300BAR-CO2-3,89664</t>
  </si>
  <si>
    <t>QC 2 (Ar 98%, CO2 2%) 12*50 / 200BAR-CO2-4,69368</t>
  </si>
  <si>
    <t>QC 15 (Ar 85%, CO2 15%) B50 / 300BAR-CO2-4,732425</t>
  </si>
  <si>
    <t>IG541 (Ar 40%, N2 52%, CO2 8%) B50 / 300BAR-CO2-4,732425</t>
  </si>
  <si>
    <t>QC 15 (Ar 85%, CO2 15%) B80 / 200BAR-CO2-5,04792</t>
  </si>
  <si>
    <t>QC 2 (Ar 98%, CO2 2%) 16*50 / 200BAR-CO2-6,25824</t>
  </si>
  <si>
    <t>QC 2 (Ar 98%, CO2 2%) 12*50 / 300BAR-CO2-7,0848</t>
  </si>
  <si>
    <t>QC 2 (Ar 98%, CO2 2%) 12*80 / 200BAR-CO2-7,509888</t>
  </si>
  <si>
    <t>QC 15 (Ar 85%, CO2 15%) B80 / 300BAR-CO2-7,57188</t>
  </si>
  <si>
    <t>IG541 (Ar 40%, N2 52%, CO2 8%) B80 / 300BAR-CO2-7,57188</t>
  </si>
  <si>
    <t>QC 2 (Ar 98%, CO2 2%) 16*50 / 300BAR-CO2-9,4464</t>
  </si>
  <si>
    <t>QC 2 (Ar 98%, CO2 2%) 16*80 / 200BAR-CO2-10,013184</t>
  </si>
  <si>
    <t>QC 2 (Ar 98%, CO2 2%) 12*80 / 300BAR-CO2-11,33568</t>
  </si>
  <si>
    <t>QC 2 (Ar 98%, CO2 2%) 16*80 / 300BAR-CO2-15,11424</t>
  </si>
  <si>
    <t>QC 8 (Ar 92%, CO2 8%)  12*50 / 200BAR-CO2-19,4832</t>
  </si>
  <si>
    <t>IG541 (Ar 40%, N2 52%, CO2 8%) 12*50 / 200BAR-CO2-20,19168</t>
  </si>
  <si>
    <t>QC 8 (Ar 92%, CO2 8%)  16*50 / 200BAR-CO2-25,9776</t>
  </si>
  <si>
    <t>IG541 (Ar 40%, N2 52%, CO2 8%) 16*50 / 200BAR-CO2-26,92224</t>
  </si>
  <si>
    <t>QC 8 (Ar 92%, CO2 8%) 12*50 / 300BAR-CO2-29,2248</t>
  </si>
  <si>
    <t>QC 8 (Ar 92%, CO2 8%) 12*80 / 200BAR-CO2-31,17312</t>
  </si>
  <si>
    <t>IG541 (Ar 40%, N2 52%, CO2 8%) 12*80 / 200BAR-CO2-32,306688</t>
  </si>
  <si>
    <t>QC 15 (Ar 85%, CO2 15%) 12*50 / 200BAR-CO2-37,8594</t>
  </si>
  <si>
    <t>QC 8 (Ar 92%, CO2 8%)  16*50 / 300BAR-CO2-38,9664</t>
  </si>
  <si>
    <t>QC 8 (Ar 92%, CO2 8%) 16*80 / 200BAR-CO2-41,56416</t>
  </si>
  <si>
    <t>IG541 (Ar 40%, N2 52%, CO2 8%)16*80 / 200BAR-CO2-43,075584</t>
  </si>
  <si>
    <t>QC 8 (Ar 92%, CO2 8%)  12*80 / 300BAR-CO2-46,75968</t>
  </si>
  <si>
    <t>QC 15 (Ar 85%, CO2 15%) 16*50 / 200BAR-CO2-50,4792</t>
  </si>
  <si>
    <t>QC 15 (Ar 85%, CO2 15%) 12*50 / 300BAR-CO2-56,7891</t>
  </si>
  <si>
    <t>IG541 (Ar 40%, N2 52%, CO2 8%) 12*50 / 300BAR-CO2-56,7891</t>
  </si>
  <si>
    <t>QC 15 (Ar 85%, CO2 15%) 12*80 / 200BAR-CO2-60,57504</t>
  </si>
  <si>
    <t>QC 8 (Ar 92%, CO2 8%) 16*80 / 300BAR-CO2-62,34624</t>
  </si>
  <si>
    <t>QC 15 (Ar 85%, CO2 15%) 16*50 / 300BAR-CO2-75,7188</t>
  </si>
  <si>
    <t>IG541 (Ar 40%, N2 52%, CO2 8%) 16*50 / 300BAR-CO2-75,7188</t>
  </si>
  <si>
    <t>QC 15 (Ar 85%, CO2 15%) 16*80 / 200BAR-CO2-80,76672</t>
  </si>
  <si>
    <t>QC 15 (Ar 85%, CO2 15%) 12*80 / 300BAR-CO2-90,86256</t>
  </si>
  <si>
    <t>IG541 (Ar 40%, N2 52%, CO2 8%) 12*80 / 300BAR-CO2-90,86256</t>
  </si>
  <si>
    <t>QC 15 (Ar 85%, CO2 15%) 16*80 / 300BAR-CO2-121,15008</t>
  </si>
  <si>
    <t>IG541 (Ar 40%, N2 52%, CO2 8%) 16*80 / 300BAR-CO2-121,15008</t>
  </si>
  <si>
    <t>Argomet10  (Ar 90% + Metano 10%) B5 / 200BAR-METANO-0,068985</t>
  </si>
  <si>
    <t>Argomet10 (Ar 90% + Metano 10%) B7 / 200BAR-METANO-0,096579</t>
  </si>
  <si>
    <t>Argomet10 (Ar 90% + Metano 10%) B5 / 300BAR-METANO-0,1034775</t>
  </si>
  <si>
    <t>Argomet10 (Ar 90% + Metano 10%) B10 / 200BAR-METANO-0,13797</t>
  </si>
  <si>
    <t>Argomet10 (Ar 90% + Metano 10%) B7 / 300BAR-METANO-0,1448685</t>
  </si>
  <si>
    <t>Argomet10 (Ar 90% + Metano 10%) B14 / 200BAR-METANO-0,193158</t>
  </si>
  <si>
    <t>Argomet10 (Ar 90% + Metano 10%) B10 / 300BAR-METANO-0,206955</t>
  </si>
  <si>
    <t>Argomet10 (Ar 90% + Metano 10%) B20 / 200BAR-METANO-0,27594</t>
  </si>
  <si>
    <t>Argomet10 (Ar 90% + Metano 10%) B14 / 300BAR-METANO-0,289737</t>
  </si>
  <si>
    <t>Argomet10 (Ar 90% + Metano 10%) B30 / 200BAR-METANO-0,41391</t>
  </si>
  <si>
    <t>Argomet10 (Ar 90% + Metano 10%) B20 / 300BAR-METANO-0,41391</t>
  </si>
  <si>
    <t>Argomet10 (Ar 90% + Metano 10%) B40 / 200BAR-METANO-0,55188</t>
  </si>
  <si>
    <t>Argomet10 (Ar 90% + Metano 10%) B30 / 300BAR-METANO-0,620865</t>
  </si>
  <si>
    <t>Argomet10 (Ar 90% + Metano 10%) B50 / 200BAR-METANO-0,68985</t>
  </si>
  <si>
    <t>Argomet10 (Ar 90% + Metano 10%) B40 / 300BAR-METANO-0,82782</t>
  </si>
  <si>
    <t>Argomet10 (Ar 90% + Metano 10%) B50 / 300BAR-METANO-1,034775</t>
  </si>
  <si>
    <t>MADURGAS (N2 + Etileno 4%) B40 / 150BAR-ETILENO-0,2714112</t>
  </si>
  <si>
    <t>MADURGAS (N2 + Etileno 4%) B50 / 150BAR-ETILENO-0,339264</t>
  </si>
  <si>
    <t>MADURGAS (N2 + Etileno 4%) B40 / 200BAR-ETILENO-0,3618816</t>
  </si>
  <si>
    <t>MADURGAS (N2 + Etileno 4%) B50 / 200BAR-ETILENO-0,452352</t>
  </si>
  <si>
    <t>MADURGAS (N2 + Etileno 4%) B40 / 300BAR-ETILENO-0,5428224</t>
  </si>
  <si>
    <t>MADURGAS (N2 + Etileno 4%) B50 / 300BAR-ETILENO-0,678528</t>
  </si>
  <si>
    <t>MADURGAS (N2 + Etileno 4%) 12*50 / 200BAR-ETILENO-5,428224</t>
  </si>
  <si>
    <t>MADURGAS (N2 + Etileno 4%) 16*50 / 200BAR-ETILENO-7,237632</t>
  </si>
  <si>
    <t>MADURGAS (N2 + Etileno 4%) 12*50 / 300BAR-ETILENO-8,142336</t>
  </si>
  <si>
    <t>MADURGAS (N2 + Etileno 4%) 16*50 / 300BAR-ETILENO-10,856448</t>
  </si>
  <si>
    <t>Helio B5 / 200BAR-HELIO-0,15197</t>
  </si>
  <si>
    <t>Helio B7 / 200BAR-HELIO-0,212758</t>
  </si>
  <si>
    <t>Helio B5 / 300BAR-HELIO-0,227955</t>
  </si>
  <si>
    <t>Helio B10 / 200BAR-HELIO-0,30394</t>
  </si>
  <si>
    <t>Helio B7 / 300BAR-HELIO-0,319137</t>
  </si>
  <si>
    <t>Helio B14 / 200BAR-HELIO-0,425516</t>
  </si>
  <si>
    <t>Helio B10 / 300BAR-HELIO-0,45591</t>
  </si>
  <si>
    <t>Helio B20 / 200BAR-HELIO-0,60788</t>
  </si>
  <si>
    <t>Helio B14 / 300BAR-HELIO-0,638274</t>
  </si>
  <si>
    <t>Helio B30 / 200BAR-HELIO-0,91182</t>
  </si>
  <si>
    <t>Helio B20 / 300BAR-HELIO-0,91182</t>
  </si>
  <si>
    <t>Helio B40 / 200BAR-HELIO-1,21576</t>
  </si>
  <si>
    <t>Helio B30 / 300BAR-HELIO-1,36773</t>
  </si>
  <si>
    <t>Helio B50 / 200BAR-HELIO-1,5197</t>
  </si>
  <si>
    <t>Helio B40 / 300BAR-HELIO-1,82364</t>
  </si>
  <si>
    <t>Helio B50 / 300BAR-HELIO-2,27955</t>
  </si>
  <si>
    <t>NIDRO5 (N2 95% + H2 5%) B5 / 200BAR-HIDROGENO-0,003895</t>
  </si>
  <si>
    <t>NIDRO5 (N2 95% + H2 5%) B7 / 200BAR-HIDROGENO-0,005453</t>
  </si>
  <si>
    <t>NIDRO5 (N2 95% + H2 5%) B5 / 300BAR-HIDROGENO-0,0058425</t>
  </si>
  <si>
    <t>NIDRO5 (N2 95% + H2 5%) B10 / 200BAR-HIDROGENO-0,00779</t>
  </si>
  <si>
    <t>NIDRO5 (N2 95% + H2 5%) B7 / 300BAR-HIDROGENO-0,0081795</t>
  </si>
  <si>
    <t>NIDRO5 (N2 95% + H2 5%) B14 / 200BAR-HIDROGENO-0,010906</t>
  </si>
  <si>
    <t>NIDRO5 (N2 95% + H2 5%) B10 / 300BAR-HIDROGENO-0,011685</t>
  </si>
  <si>
    <t>NIDRO5 (N2 95% + H2 5%) B20 / 200BAR-HIDROGENO-0,01558</t>
  </si>
  <si>
    <t>NIDRO5 (N2 95% + H2 5%) B14 / 300BAR-HIDROGENO-0,016359</t>
  </si>
  <si>
    <t>NIDRO5 (N2 95% + H2 5%) B20 / 300BAR-HIDROGENO-0,02337</t>
  </si>
  <si>
    <t>NIDRO5 (N2 95% + H2 5%) B30 / 200BAR zzz-HIDROGENO-0,02337</t>
  </si>
  <si>
    <t>Hidrinac35 (Ar 65% + H2 35%) B5 / 200BAR-HIDROGENO-0,030135</t>
  </si>
  <si>
    <t>NIDRO5 (N2 95% + H2 5%) B40 / 200BAR-HIDROGENO-0,03116</t>
  </si>
  <si>
    <t>NIDRO5 (N2 95% + H2 5%) B30 / 200BAR-HIDROGENO-0,035055</t>
  </si>
  <si>
    <t>NIDRO5 (N2 95% + H2 5%) B50 / 200BAR-HIDROGENO-0,03895</t>
  </si>
  <si>
    <t>Hidrinac35  (Ar 65% + H2 35%) B7 / 200BAR-HIDROGENO-0,042189</t>
  </si>
  <si>
    <t>Hidrinac35 (Ar 65% + H2 35%) B5 / 300BAR-HIDROGENO-0,0452025</t>
  </si>
  <si>
    <t>NIDRO5 (N2 95% + H2 5%) B40 / 300BAR-HIDROGENO-0,058425</t>
  </si>
  <si>
    <t>Hidrinac35  (Ar 65% + H2 35%) B10 / 200BAR-HIDROGENO-0,06027</t>
  </si>
  <si>
    <t>Hidrinac35 (Ar 65% + H2 35%) B7 / 300BAR-HIDROGENO-0,0632835</t>
  </si>
  <si>
    <t>HIDROGENO COMPRIMIDO B5 / 200BAR-HIDROGENO-0,07216</t>
  </si>
  <si>
    <t>Hidrinac35 (Ar 65% + H2 35%)  B14 / 200BAR-HIDROGENO-0,084378</t>
  </si>
  <si>
    <t>Hidrinac35  (Ar 65% + H2 35%) B10 / 300BAR-HIDROGENO-0,090405</t>
  </si>
  <si>
    <t>HIDROGENO COMPRIMIDO B7 / 200BAR-HIDROGENO-0,101024</t>
  </si>
  <si>
    <t>HIDROGENO COMPRIMIDO B5 / 300BAR-HIDROGENO-0,1066</t>
  </si>
  <si>
    <t>Hidrinac35  (Ar 65% + H2 35%) B20 / 200BAR-HIDROGENO-0,12054</t>
  </si>
  <si>
    <t>Hidrinac35  (Ar 65% + H2 35%) B14 / 300BAR-HIDROGENO-0,126567</t>
  </si>
  <si>
    <t>HIDROGENO COMPRIMIDO B10 / 200BAR-HIDROGENO-0,14432</t>
  </si>
  <si>
    <t>HIDROGENO COMPRIMIDO B7 / 300BAR-HIDROGENO-0,14924</t>
  </si>
  <si>
    <t>Hidrinac35 (Ar 65% + H2 35%)  B30 / 200BAR-HIDROGENO-0,18081</t>
  </si>
  <si>
    <t>Hidrinac35  (Ar 65% + H2 35%) B20 / 300BAR-HIDROGENO-0,18081</t>
  </si>
  <si>
    <t>HIDROGENO COMPRIMIDO B14 / 200BAR-HIDROGENO-0,202048</t>
  </si>
  <si>
    <t>HIDROGENO COMPRIMIDO B10 / 300BAR-HIDROGENO-0,2132</t>
  </si>
  <si>
    <t>Hidrinac35  (Ar 65% + H2 35%) B40 / 200BAR-HIDROGENO-0,24108</t>
  </si>
  <si>
    <t>Hidrinac35 (Ar 65% + H2 35%) B30 / 300BAR-HIDROGENO-0,271215</t>
  </si>
  <si>
    <t>HIDROGENO COMPRIMIDO B20 / 200BAR-HIDROGENO-0,28864</t>
  </si>
  <si>
    <t>HIDROGENO COMPRIMIDO B14 / 300BAR-HIDROGENO-0,29848</t>
  </si>
  <si>
    <t>Hidrinac35 (Ar 65% + H2 35%) B50 / 200BAR-HIDROGENO-0,30135</t>
  </si>
  <si>
    <t>Hidrinac35  (Ar 65% + H2 35%) B40 / 300BAR-HIDROGENO-0,36162</t>
  </si>
  <si>
    <t>HIDROGENO COMPRIMIDO B20 / 300BAR-HIDROGENO-0,4264</t>
  </si>
  <si>
    <t>HIDROGENO COMPRIMIDO B30 / 200BAR-HIDROGENO-0,43296</t>
  </si>
  <si>
    <t>Hidrinac35  (Ar 65% + H2 35%) B50 / 300BAR-HIDROGENO-0,452025</t>
  </si>
  <si>
    <t>HIDROGENO COMPRIMIDO B40 / 200BAR-HIDROGENO-0,57728</t>
  </si>
  <si>
    <t>HIDROGENO COMPRIMIDO B30 / 200BAR-HIDROGENO-0,6396</t>
  </si>
  <si>
    <t>HIDROGENO COMPRIMIDO B50 / 200BAR-HIDROGENO-0,7216</t>
  </si>
  <si>
    <t>HIDROGENO COMPRIMIDO B40 / 300BAR-HIDROGENO-0,8528</t>
  </si>
  <si>
    <t>HIDROGENO COMPRIMIDO B50 / 300BAR-HIDROGENO-1,066</t>
  </si>
  <si>
    <t>AIRE COMPRIMIDO B2 / 200BAR-AIRE-0,512028</t>
  </si>
  <si>
    <t>AIRE COMPRIMIDO B2 / 300BAR-AIRE-0,768042</t>
  </si>
  <si>
    <t>AIRE COMPRIMIDO B5 / 200BAR-AIRE-1,28007</t>
  </si>
  <si>
    <t>AIRE COMPRIMIDO B7 / 200BAR-AIRE-1,792098</t>
  </si>
  <si>
    <t>AIRE COMPRIMIDO B5 / 300BAR-AIRE-1,920105</t>
  </si>
  <si>
    <t>AIRE COMPRIMIDO B10 / 200BAR-AIRE-2,56014</t>
  </si>
  <si>
    <t>AIRE COMPRIMIDO B7 / 300BAR-AIRE-2,688147</t>
  </si>
  <si>
    <t>AIRE COMPRIMIDO B14 / 200BAR-AIRE-3,584196</t>
  </si>
  <si>
    <t>AIRE COMPRIMIDO B10 / 300BAR-AIRE-3,84021</t>
  </si>
  <si>
    <t>AIRE COMPRIMIDO B16 / 200BAR-AIRE-4,096224</t>
  </si>
  <si>
    <t>AIRE COMPRIMIDO B20 / 200BAR-AIRE-5,12028</t>
  </si>
  <si>
    <t>AIRE COMPRIMIDO B14 / 300BAR-AIRE-5,376294</t>
  </si>
  <si>
    <t>AIRE COMPRIMIDO B16 / 300BAR-AIRE-6,144336</t>
  </si>
  <si>
    <t>AIRE COMPRIMIDO B20 / 300BAR-AIRE-7,68042</t>
  </si>
  <si>
    <t>AIRE COMPRIMIDO B30 / 200BAR-AIRE-7,68042</t>
  </si>
  <si>
    <t>AIRE COMPRIMIDO B40 / 200BAR-AIRE-10,24056</t>
  </si>
  <si>
    <t>AIRE COMPRIMIDO B30 / 300BAR-AIRE-11,52063</t>
  </si>
  <si>
    <t>AIRE COMPRIMIDO B50 / 200BAR-AIRE-12,8007</t>
  </si>
  <si>
    <t>AIRE COMPRIMIDO B40 / 300BAR-AIRE-15,36084</t>
  </si>
  <si>
    <t>AIRE COMPRIMIDO B50 / 300BAR-AIRE-19,20105</t>
  </si>
  <si>
    <t>AIRE COMPRIMIDO B80 / 200BAR-AIRE-20,48112</t>
  </si>
  <si>
    <t>AIRE COMPRIMIDO B80 / 300BAR-AIRE-30,72168</t>
  </si>
  <si>
    <t>Nitrógeno Industrial 12*50 / 200BAR-NITROGENO-133,668</t>
  </si>
  <si>
    <t>Nitrógeno Industrial B2 / 200BAR</t>
  </si>
  <si>
    <t>Nitrógeno Industrial B5 / 200BAR</t>
  </si>
  <si>
    <t>Nitrógeno Industrial B7 / 200BAR</t>
  </si>
  <si>
    <t>Nitrógeno Industrial B10 / 200BAR</t>
  </si>
  <si>
    <t>Nitrógeno Industrial B14 / 200BAR</t>
  </si>
  <si>
    <t>Nitrógeno Industrial B16 / 200BAR</t>
  </si>
  <si>
    <t>Nitrógeno Industrial B20 / 200BAR</t>
  </si>
  <si>
    <t>Nitrógeno Industrial B30 / 200BAR</t>
  </si>
  <si>
    <t>Nitrógeno Industrial B40 / 200BAR</t>
  </si>
  <si>
    <t>Nitrógeno Industrial B50 / 200BAR</t>
  </si>
  <si>
    <t>Nitrógeno Industrial B80 / 200BAR</t>
  </si>
  <si>
    <t>Nitrógeno Industrial 12*50 / 200BAR</t>
  </si>
  <si>
    <t>Nitrógeno Industrial 16*50 / 200BAR</t>
  </si>
  <si>
    <t>Nitrógeno Industrial 20*50 / 200BAR</t>
  </si>
  <si>
    <t>Nitrógeno Industrial 12*80 / 200BAR</t>
  </si>
  <si>
    <t>Nitrógeno Industrial 16*80 / 200BAR</t>
  </si>
  <si>
    <t>Nitrógeno Industrial B2 / 300BAR</t>
  </si>
  <si>
    <t>Nitrógeno Industrial B5 / 300BAR</t>
  </si>
  <si>
    <t>Nitrógeno Industrial B7 / 300BAR</t>
  </si>
  <si>
    <t>Nitrógeno Industrial B10 / 300BAR</t>
  </si>
  <si>
    <t>Nitrógeno Industrial B14 / 300BAR</t>
  </si>
  <si>
    <t>Nitrógeno Industrial B16 / 300BAR</t>
  </si>
  <si>
    <t>Nitrógeno Industrial B20 / 300BAR</t>
  </si>
  <si>
    <t>Nitrógeno Industrial B30 / 300BAR</t>
  </si>
  <si>
    <t>Nitrógeno Industrial B40 / 300BAR</t>
  </si>
  <si>
    <t>Nitrógeno Industrial B50 / 300BAR</t>
  </si>
  <si>
    <t>Nitrógeno Industrial B80 / 300BAR</t>
  </si>
  <si>
    <t>Nitrógeno Industrial 12*50 / 300BAR</t>
  </si>
  <si>
    <t>Nitrógeno Industrial 16*50 / 300BAR</t>
  </si>
  <si>
    <t>Nitrógeno Industrial 20*50 / 300BAR</t>
  </si>
  <si>
    <t>Nitrógeno Industrial 12*80 / 300BAR</t>
  </si>
  <si>
    <t>Nitrógeno Industrial 16*80 / 300BAR</t>
  </si>
  <si>
    <t>Nitrógeno Industrial 12*50 / 300BAR-NITROGENO-200,502</t>
  </si>
  <si>
    <t>Nitrógeno Industrial 12*80 / 200BAR-NITROGENO-213,8688</t>
  </si>
  <si>
    <t>Nitrógeno Industrial 12*80 / 300BAR-NITROGENO-320,8032</t>
  </si>
  <si>
    <t>Nitrógeno Industrial 16*50 / 200BAR-NITROGENO-178,224</t>
  </si>
  <si>
    <t>Nitrógeno Industrial 16*50 / 300BAR-NITROGENO-267,336</t>
  </si>
  <si>
    <t>Nitrógeno Industrial 16*80 / 200BAR-NITROGENO-285,1584</t>
  </si>
  <si>
    <t>Nitrógeno Industrial 16*80 / 300BAR-NITROGENO-427,7376</t>
  </si>
  <si>
    <t>Nitrógeno Industrial 20*50 / 200BAR-NITROGENO-222,78</t>
  </si>
  <si>
    <t>Nitrógeno Industrial 20*50 / 300BAR-NITROGENO-334,17</t>
  </si>
  <si>
    <t>Nitrógeno Industrial B10 / 200BAR-NITROGENO-2,2278</t>
  </si>
  <si>
    <t>Nitrógeno Industrial B10 / 300BAR-NITROGENO-3,3417</t>
  </si>
  <si>
    <t>Nitrógeno Industrial B14 / 200BAR-NITROGENO-3,11892</t>
  </si>
  <si>
    <t>Nitrógeno Industrial B14 / 300BAR-NITROGENO-4,67838</t>
  </si>
  <si>
    <t>Nitrógeno Industrial B16 / 200BAR-NITROGENO-3,56448</t>
  </si>
  <si>
    <t>Nitrógeno Industrial B16 / 300BAR-NITROGENO-5,34672</t>
  </si>
  <si>
    <t>Nitrógeno Industrial B2 / 200BAR-NITROGENO-0,44556</t>
  </si>
  <si>
    <t>Nitrógeno Industrial B2 / 300BAR-NITROGENO-0,66834</t>
  </si>
  <si>
    <t>Nitrógeno Industrial B20 / 200BAR-NITROGENO-4,4556</t>
  </si>
  <si>
    <t>Nitrógeno Industrial B20 / 300BAR-NITROGENO-6,6834</t>
  </si>
  <si>
    <t>Nitrógeno Industrial B30 / 200BAR-NITROGENO-6,6834</t>
  </si>
  <si>
    <t>Nitrógeno Industrial B30 / 300BAR-NITROGENO-10,0251</t>
  </si>
  <si>
    <t>Nitrógeno Industrial B40 / 200BAR-NITROGENO-8,9112</t>
  </si>
  <si>
    <t>Nitrógeno Industrial B40 / 300BAR-NITROGENO-13,3668</t>
  </si>
  <si>
    <t>Nitrógeno Industrial B5 / 200BAR-NITROGENO-1,1139</t>
  </si>
  <si>
    <t>Nitrógeno Industrial B5 / 300BAR-NITROGENO-1,67085</t>
  </si>
  <si>
    <t>Nitrógeno Industrial B50 / 200BAR-NITROGENO-11,139</t>
  </si>
  <si>
    <t>Nitrógeno Industrial B50 / 300BAR-NITROGENO-16,7085</t>
  </si>
  <si>
    <t>Nitrógeno Industrial B7 / 200BAR-NITROGENO-1,55946</t>
  </si>
  <si>
    <t>Nitrógeno Industrial B7 / 300BAR-NITROGENO-2,33919</t>
  </si>
  <si>
    <t>Nitrógeno Industrial B80 / 200BAR-NITROGENO-17,8224</t>
  </si>
  <si>
    <t>Nitrógeno Industrial B80 / 300BAR-NITROGENO-26,7336</t>
  </si>
  <si>
    <t>Oxigeno Industrial 12*50 / 200BAR-OXIGENO-150,9864</t>
  </si>
  <si>
    <t>Oxigeno Industrial 12*50 / 300BAR-OXIGENO-227,904</t>
  </si>
  <si>
    <t>Oxigeno Industrial 12*80 / 200BAR-OXIGENO-241,57824</t>
  </si>
  <si>
    <t>Oxigeno Industrial 12*80 / 300BAR-OXIGENO-364,6464</t>
  </si>
  <si>
    <t>Oxigeno Industrial 16*50 / 200BAR-OXIGENO-201,3152</t>
  </si>
  <si>
    <t>Oxigeno Industrial 16*50 / 300BAR-OXIGENO-303,872</t>
  </si>
  <si>
    <t>Oxigeno Industrial 16*80 / 200BAR-OXIGENO-322,10432</t>
  </si>
  <si>
    <t>Oxigeno Industrial 16*80 / 300BAR-OXIGENO-486,1952</t>
  </si>
  <si>
    <t>Oxigeno Industrial B 7 / 150BAR-OXIGENO-1,32944</t>
  </si>
  <si>
    <t>Oxigeno Industrial B 7 / 200BAR-OXIGENO-1,761508</t>
  </si>
  <si>
    <t>Oxigeno Industrial B14 / 150BAR-OXIGENO-2,65888</t>
  </si>
  <si>
    <t>Oxigeno Industrial B14 / 200BAR-OXIGENO-3,523016</t>
  </si>
  <si>
    <t>Oxigeno Industrial B14 / 300BAR-OXIGENO-5,31776</t>
  </si>
  <si>
    <t>Oxigeno Industrial B2 / 150BAR-OXIGENO-0,37984</t>
  </si>
  <si>
    <t>Oxigeno Industrial B2 / 200BAR-OXIGENO-0,503288</t>
  </si>
  <si>
    <t>Oxigeno Industrial B2 / 300BAR-OXIGENO-0,75968</t>
  </si>
  <si>
    <t>Oxigeno Industrial B40 / 150BAR-OXIGENO-7,5968</t>
  </si>
  <si>
    <t>Oxigeno Industrial B40 / 200BAR-OXIGENO-10,06576</t>
  </si>
  <si>
    <t>Oxigeno Industrial B40 / 300BAR-OXIGENO-15,1936</t>
  </si>
  <si>
    <t>Oxigeno Industrial B50 / 150BAR-OXIGENO-9,496</t>
  </si>
  <si>
    <t>Oxigeno Industrial B50 / 200BAR-OXIGENO-12,5822</t>
  </si>
  <si>
    <t>Oxigeno Industrial B50 / 300BAR-OXIGENO-18,992</t>
  </si>
  <si>
    <t>Oxigeno Industrial B7 / 300BAR-OXIGENO-2,65888</t>
  </si>
  <si>
    <t>Oxigeno Industrial B80 / 200BAR-OXIGENO-20,13152</t>
  </si>
  <si>
    <t>Oxigeno Industrial B80 / 300BAR-OXIGENO-30,3872</t>
  </si>
  <si>
    <t>Oxigeno Industriall B10 / 150BAR-OXIGENO-1,8992</t>
  </si>
  <si>
    <t>Oxigeno Industriall B10 / 200BAR-OXIGENO-2,51644</t>
  </si>
  <si>
    <t>Oxigeno Industriall B10 / 300BAR-OXIGENO-3,7984</t>
  </si>
  <si>
    <t>Oxigeno Industriall B16 / 150BAR-OXIGENO-3,03872</t>
  </si>
  <si>
    <t>Oxigeno Industriall B16 / 200BAR-OXIGENO-4,026304</t>
  </si>
  <si>
    <t>Oxigeno Industriall B16 / 300BAR-OXIGENO-6,07744</t>
  </si>
  <si>
    <t>Oxigeno Industriall B20 / 150BAR-OXIGENO-3,7984</t>
  </si>
  <si>
    <t>Oxigeno Industriall B20 / 200BAR-OXIGENO-5,03288</t>
  </si>
  <si>
    <t>Oxigeno Industriall B20 / 300BAR-OXIGENO-7,5968</t>
  </si>
  <si>
    <t>Oxigeno Industriall B30 / 150BAR-OXIGENO-5,6976</t>
  </si>
  <si>
    <t>Oxigeno Industriall B30 / 200BAR-OXIGENO-7,54932</t>
  </si>
  <si>
    <t>Oxigeno Industriall B30 / 300BAR-OXIGENO-11,3952</t>
  </si>
  <si>
    <t>Oxigeno Industriall B5 / 150BAR-OXIGENO-0,9496</t>
  </si>
  <si>
    <t>Oxigeno Industriall B5 / 200BAR-OXIGENO-1,25822</t>
  </si>
  <si>
    <t>Oxigeno Industriall B5 / 300BAR-OXIGENO-1,8992</t>
  </si>
  <si>
    <t>Oxigeno Industrial B10 / 150BAR-OXIGENO-1,8992</t>
  </si>
  <si>
    <t>Oxigeno Industrial B10 / 200BAR-OXIGENO-2,51644</t>
  </si>
  <si>
    <t>Oxigeno Industrial B10 / 300BAR-OXIGENO-3,7984</t>
  </si>
  <si>
    <t>Oxigeno Industrial B16 / 150BAR-OXIGENO-3,03872</t>
  </si>
  <si>
    <t>Oxigeno Industrial B16 / 200BAR-OXIGENO-4,026304</t>
  </si>
  <si>
    <t>Oxigeno Industrial B16 / 300BAR-OXIGENO-6,07744</t>
  </si>
  <si>
    <t>Oxigeno Industrial B20 / 150BAR-OXIGENO-3,7984</t>
  </si>
  <si>
    <t>Oxigeno Industrial B20 / 200BAR-OXIGENO-5,03288</t>
  </si>
  <si>
    <t>Oxigeno Industrial B20 / 300BAR-OXIGENO-7,5968</t>
  </si>
  <si>
    <t>Oxigeno Industrial B30 / 150BAR-OXIGENO-5,6976</t>
  </si>
  <si>
    <t>Oxigeno Industrial B30 / 200BAR-OXIGENO-7,54932</t>
  </si>
  <si>
    <t>Oxigeno Industrial B30 / 300BAR-OXIGENO-11,3952</t>
  </si>
  <si>
    <t>Oxigeno Industrial B5 / 150BAR-OXIGENO-0,9496</t>
  </si>
  <si>
    <t>Oxigeno Industrial B5 / 200BAR-OXIGENO-1,25822</t>
  </si>
  <si>
    <t>Oxigeno Industrial B5 / 300BAR-OXIGENO-1,8992</t>
  </si>
  <si>
    <t>Oxigeno Industrial B10 / 150BAR</t>
  </si>
  <si>
    <t>Oxigeno Industrial B10 / 200BAR</t>
  </si>
  <si>
    <t>Oxigeno Industrial B10 / 300BAR</t>
  </si>
  <si>
    <t>Oxigeno Industrial B16 / 150BAR</t>
  </si>
  <si>
    <t>Oxigeno Industrial B16 / 200BAR</t>
  </si>
  <si>
    <t>Oxigeno Industrial B16 / 300BAR</t>
  </si>
  <si>
    <t>Oxigeno Industrial B20 / 150BAR</t>
  </si>
  <si>
    <t>Oxigeno Industrial B20 / 200BAR</t>
  </si>
  <si>
    <t>Oxigeno Industrial B20 / 300BAR</t>
  </si>
  <si>
    <t>Oxigeno Industrial B30 / 150BAR</t>
  </si>
  <si>
    <t>Oxigeno Industrial B30 / 200BAR</t>
  </si>
  <si>
    <t>Oxigeno Industrial B30 / 300BAR</t>
  </si>
  <si>
    <t>Oxigeno Industrial B5 / 150BAR</t>
  </si>
  <si>
    <t>Oxigeno Industrial B5 / 200BAR</t>
  </si>
  <si>
    <t>Oxigeno Industrial B5 / 300BAR</t>
  </si>
  <si>
    <t>HIDROGENO</t>
  </si>
  <si>
    <t>CO2</t>
  </si>
  <si>
    <t>NULL</t>
  </si>
  <si>
    <t>RESPONSABLE PROBERTON</t>
  </si>
  <si>
    <t>QC 8 (Ar 92%, CO2 8%)  B7 / 200BAR</t>
  </si>
  <si>
    <t>QC 8 (Ar 92%, CO2 8%)  B10 / 200BAR</t>
  </si>
  <si>
    <t>QC 8 (Ar 92%, CO2 8%)  B14 / 200BAR</t>
  </si>
  <si>
    <t>QC 8 (Ar 92%, CO2 8%)  B16 / 200BAR</t>
  </si>
  <si>
    <t>QC 8 (Ar 92%, CO2 8%)  B20 / 200BAR</t>
  </si>
  <si>
    <t>QC 8 (Ar 92%, CO2 8%)  B30 / 200BAR</t>
  </si>
  <si>
    <t>QC 8 (Ar 92%, CO2 8%)  B40 / 200BAR</t>
  </si>
  <si>
    <t>QC 8 (Ar 92%, CO2 8%)  B80 / 200BAR</t>
  </si>
  <si>
    <t>QC 8 (Ar 92%, CO2 8%)  12*50 / 200BAR</t>
  </si>
  <si>
    <t>QC 8 (Ar 92%, CO2 8%)  16*50 / 200BAR</t>
  </si>
  <si>
    <t>QC 8 (Ar 92%, CO2 8%)  B5 / 300BAR</t>
  </si>
  <si>
    <t>QC 8 (Ar 92%, CO2 8%)  B16 / 300BAR</t>
  </si>
  <si>
    <t>QC 8 (Ar 92%, CO2 8%)  16*50 / 300BAR</t>
  </si>
  <si>
    <t>QC 8 (Ar 92%, CO2 8%)  12*80 / 300BAR</t>
  </si>
  <si>
    <t>Aire Sintético Comprimido (N2 + O2 20%)  B5 / 200BAR</t>
  </si>
  <si>
    <t>Aire Sintético Comprimido (N2 + O2 20%)  B7 / 200BAR</t>
  </si>
  <si>
    <t>Aire Sintético Comprimido (N2 + O2 20%)  B10 / 200BAR</t>
  </si>
  <si>
    <t>Aire Sintético Comprimido (N2 + O2 20%)  B14 / 200BAR</t>
  </si>
  <si>
    <t>Aire Sintético Comprimido  (N2 + O2 20%)  B40 / 200BAR</t>
  </si>
  <si>
    <t>Aire Sintético Comprimido (N2 + O2 20%)  B50 / 200BAR</t>
  </si>
  <si>
    <t>Aire Sintético Comprimido (N2 + O2 20%)  12*50 / 200BAR</t>
  </si>
  <si>
    <t>Hidrinac35  (Ar 65% + H2 35%) B7 / 200BAR</t>
  </si>
  <si>
    <t>Hidrinac35  (Ar 65% + H2 35%) B10 / 200BAR</t>
  </si>
  <si>
    <t>Hidrinac35 (Ar 65% + H2 35%)  B14 / 200BAR</t>
  </si>
  <si>
    <t>Hidrinac35  (Ar 65% + H2 35%) B20 / 200BAR</t>
  </si>
  <si>
    <t>Hidrinac35 (Ar 65% + H2 35%)  B30 / 200BAR</t>
  </si>
  <si>
    <t>Hidrinac35  (Ar 65% + H2 35%) B40 / 200BAR</t>
  </si>
  <si>
    <t>Hidrinac35  (Ar 65% + H2 35%) B10 / 300BAR</t>
  </si>
  <si>
    <t>Hidrinac35  (Ar 65% + H2 35%) B14 / 300BAR</t>
  </si>
  <si>
    <t>Hidrinac35  (Ar 65% + H2 35%) B20 / 300BAR</t>
  </si>
  <si>
    <t>Hidrinac35  (Ar 65% + H2 35%) B40 / 300BAR</t>
  </si>
  <si>
    <t>Hidrinac35  (Ar 65% + H2 35%) B50 / 300BAR</t>
  </si>
  <si>
    <t>Argomet10  (Ar 90% + Metano 10%) B5 / 200BAR</t>
  </si>
  <si>
    <t>GAS REFRIGERANTE134a B12</t>
  </si>
  <si>
    <t>GAS REFRIGERANTE404a B10</t>
  </si>
  <si>
    <t>Acetileno Industrial B2</t>
  </si>
  <si>
    <t>Acetileno Industrial B3</t>
  </si>
  <si>
    <t>Acetileno Industrial B5</t>
  </si>
  <si>
    <t>Acetileno Industrial B7</t>
  </si>
  <si>
    <t>Acetileno Industrial B10</t>
  </si>
  <si>
    <t>Acetileno Industrial B14</t>
  </si>
  <si>
    <t>Acetileno Industrial B20</t>
  </si>
  <si>
    <t>Acetileno Industrial B33</t>
  </si>
  <si>
    <t>Acetileno Industrial B40</t>
  </si>
  <si>
    <t>Acetileno Industrial B50</t>
  </si>
  <si>
    <t>Argón Liquido - LAR</t>
  </si>
  <si>
    <t>Oxigeno Liquido - LOX</t>
  </si>
  <si>
    <t>Nitrogeno Liquido - LIN</t>
  </si>
  <si>
    <t>Helio Liquido</t>
  </si>
  <si>
    <t>Dióxido Carbono Liquido 211 - LCO2</t>
  </si>
  <si>
    <t>Dióxido Carbono Liquido 258 - LCO2</t>
  </si>
  <si>
    <t>Dióxido Carbono 2 Kg.</t>
  </si>
  <si>
    <t>Dióxido Carbono 4 Kg.</t>
  </si>
  <si>
    <t>Dióxido Carbono 6 Kg.</t>
  </si>
  <si>
    <t>Dióxido Carbono 8 Kg.</t>
  </si>
  <si>
    <t>Dióxido Carbono 10 Kg.</t>
  </si>
  <si>
    <t>Dióxido Carbono 12 Kg.</t>
  </si>
  <si>
    <t>Dióxido Carbono 20 Kg.</t>
  </si>
  <si>
    <t>Dióxido Carbono 25 Kg.</t>
  </si>
  <si>
    <t>Dióxido Carbono 30 Kg.</t>
  </si>
  <si>
    <t>Dióxido Carbono 35 Kg.</t>
  </si>
  <si>
    <t>Dióxido Carbono 45 Kg.</t>
  </si>
  <si>
    <t>Dióxido Carbono 50 Kg.</t>
  </si>
  <si>
    <t>Dióxido Carbono 12*45</t>
  </si>
  <si>
    <t>Dióxido Carbono 16*30</t>
  </si>
  <si>
    <t>OXIDO NITROSO B2</t>
  </si>
  <si>
    <t>OXIDO NITROSO B4</t>
  </si>
  <si>
    <t>OXIDO NITROSO B6</t>
  </si>
  <si>
    <t>OXIDO NITROSO B8</t>
  </si>
  <si>
    <t>OXIDO NITROSO B10</t>
  </si>
  <si>
    <t>OXIDO NITROSO B12</t>
  </si>
  <si>
    <t>OXIDO NITROSO B20</t>
  </si>
  <si>
    <t>OXIDO NITROSO B25</t>
  </si>
  <si>
    <t>OXIDO NITROSO B30</t>
  </si>
  <si>
    <t>OXIDO NITROSO B35</t>
  </si>
  <si>
    <t>ETILENO PURO B50 / 18,5KG LIQUIDO</t>
  </si>
  <si>
    <t>EXTINTOR CO1 2KG</t>
  </si>
  <si>
    <t>EXTINTOR CO2 3,5KG</t>
  </si>
  <si>
    <t>EXTINTOR CO2 5KG</t>
  </si>
  <si>
    <t>EXTINTOR CO2 10KG</t>
  </si>
  <si>
    <t>HIDROGENO COMPRIMIDO B30 / 300BAR</t>
  </si>
  <si>
    <t>NIDRO5 (N2 95% + H2 5%) B30 / 300BAR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</si>
</sst>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7" formatCode="0.00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5" tint="-0.249977111117893"/>
      <name val="Arial"/>
      <family val="2"/>
    </font>
    <font>
      <sz val="8"/>
      <color indexed="6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10"/>
      <color theme="0"/>
      <name val="Arial"/>
      <family val="2"/>
    </font>
    <font>
      <sz val="11"/>
      <name val="Calibri"/>
      <family val="2"/>
      <scheme val="minor"/>
    </font>
    <font>
      <sz val="9"/>
      <color theme="5" tint="-0.249977111117893"/>
      <name val="Arial"/>
      <family val="2"/>
    </font>
    <font>
      <sz val="9"/>
      <color theme="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10"/>
      <color theme="1"/>
      <name val="Arial Unicode MS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2" xfId="0" applyFont="1" applyBorder="1"/>
    <xf numFmtId="0" fontId="2" fillId="0" borderId="0" xfId="0" applyFont="1" applyBorder="1"/>
    <xf numFmtId="0" fontId="2" fillId="0" borderId="2" xfId="0" applyFont="1" applyBorder="1"/>
    <xf numFmtId="0" fontId="6" fillId="0" borderId="2" xfId="0" applyFont="1" applyBorder="1"/>
    <xf numFmtId="0" fontId="6" fillId="0" borderId="0" xfId="0" applyFont="1" applyBorder="1"/>
    <xf numFmtId="0" fontId="2" fillId="3" borderId="2" xfId="0" applyFont="1" applyFill="1" applyBorder="1"/>
    <xf numFmtId="0" fontId="6" fillId="3" borderId="2" xfId="0" applyFont="1" applyFill="1" applyBorder="1"/>
    <xf numFmtId="0" fontId="6" fillId="0" borderId="1" xfId="0" applyFont="1" applyBorder="1"/>
    <xf numFmtId="0" fontId="3" fillId="0" borderId="0" xfId="0" applyFont="1" applyBorder="1"/>
    <xf numFmtId="0" fontId="2" fillId="3" borderId="0" xfId="0" applyFont="1" applyFill="1" applyBorder="1"/>
    <xf numFmtId="0" fontId="6" fillId="3" borderId="0" xfId="0" applyFont="1" applyFill="1" applyBorder="1"/>
    <xf numFmtId="0" fontId="2" fillId="0" borderId="0" xfId="0" applyFont="1" applyBorder="1" applyAlignment="1">
      <alignment vertical="center"/>
    </xf>
    <xf numFmtId="2" fontId="10" fillId="4" borderId="3" xfId="0" applyNumberFormat="1" applyFont="1" applyFill="1" applyBorder="1" applyAlignment="1">
      <alignment horizontal="right" vertical="center"/>
    </xf>
    <xf numFmtId="2" fontId="10" fillId="5" borderId="4" xfId="0" applyNumberFormat="1" applyFont="1" applyFill="1" applyBorder="1" applyAlignment="1">
      <alignment horizontal="right" vertical="center"/>
    </xf>
    <xf numFmtId="2" fontId="10" fillId="6" borderId="0" xfId="0" applyNumberFormat="1" applyFont="1" applyFill="1" applyBorder="1" applyAlignment="1">
      <alignment horizontal="right" vertical="center"/>
    </xf>
    <xf numFmtId="2" fontId="10" fillId="2" borderId="0" xfId="0" applyNumberFormat="1" applyFont="1" applyFill="1" applyBorder="1" applyAlignment="1">
      <alignment horizontal="right" vertical="center"/>
    </xf>
    <xf numFmtId="2" fontId="10" fillId="7" borderId="0" xfId="0" applyNumberFormat="1" applyFont="1" applyFill="1" applyBorder="1" applyAlignment="1">
      <alignment horizontal="right" vertical="center"/>
    </xf>
    <xf numFmtId="2" fontId="11" fillId="8" borderId="0" xfId="0" applyNumberFormat="1" applyFont="1" applyFill="1" applyBorder="1" applyAlignment="1">
      <alignment horizontal="right" vertical="center"/>
    </xf>
    <xf numFmtId="2" fontId="10" fillId="9" borderId="0" xfId="0" applyNumberFormat="1" applyFont="1" applyFill="1" applyBorder="1" applyAlignment="1">
      <alignment horizontal="right" vertical="center"/>
    </xf>
    <xf numFmtId="2" fontId="0" fillId="4" borderId="2" xfId="0" applyNumberFormat="1" applyFill="1" applyBorder="1" applyAlignment="1">
      <alignment horizontal="right"/>
    </xf>
    <xf numFmtId="2" fontId="0" fillId="5" borderId="2" xfId="0" applyNumberFormat="1" applyFill="1" applyBorder="1" applyAlignment="1">
      <alignment horizontal="right"/>
    </xf>
    <xf numFmtId="2" fontId="0" fillId="6" borderId="0" xfId="0" applyNumberFormat="1" applyFill="1" applyBorder="1" applyAlignment="1">
      <alignment horizontal="right"/>
    </xf>
    <xf numFmtId="2" fontId="0" fillId="2" borderId="0" xfId="0" applyNumberFormat="1" applyFill="1" applyBorder="1" applyAlignment="1">
      <alignment horizontal="right"/>
    </xf>
    <xf numFmtId="2" fontId="0" fillId="7" borderId="0" xfId="0" applyNumberFormat="1" applyFill="1" applyBorder="1" applyAlignment="1">
      <alignment horizontal="right"/>
    </xf>
    <xf numFmtId="2" fontId="1" fillId="8" borderId="0" xfId="0" applyNumberFormat="1" applyFont="1" applyFill="1" applyBorder="1" applyAlignment="1">
      <alignment horizontal="right"/>
    </xf>
    <xf numFmtId="2" fontId="13" fillId="9" borderId="0" xfId="0" applyNumberFormat="1" applyFont="1" applyFill="1" applyBorder="1" applyAlignment="1">
      <alignment horizontal="right"/>
    </xf>
    <xf numFmtId="2" fontId="6" fillId="7" borderId="0" xfId="0" applyNumberFormat="1" applyFont="1" applyFill="1" applyBorder="1" applyAlignment="1">
      <alignment horizontal="right"/>
    </xf>
    <xf numFmtId="2" fontId="12" fillId="8" borderId="0" xfId="0" applyNumberFormat="1" applyFont="1" applyFill="1" applyBorder="1" applyAlignment="1">
      <alignment horizontal="right"/>
    </xf>
    <xf numFmtId="2" fontId="2" fillId="9" borderId="0" xfId="0" applyNumberFormat="1" applyFont="1" applyFill="1" applyBorder="1" applyAlignment="1">
      <alignment horizontal="right"/>
    </xf>
    <xf numFmtId="2" fontId="6" fillId="4" borderId="0" xfId="0" applyNumberFormat="1" applyFont="1" applyFill="1" applyBorder="1" applyAlignment="1">
      <alignment horizontal="right"/>
    </xf>
    <xf numFmtId="2" fontId="0" fillId="5" borderId="0" xfId="0" applyNumberFormat="1" applyFill="1" applyBorder="1" applyAlignment="1">
      <alignment horizontal="right"/>
    </xf>
    <xf numFmtId="2" fontId="0" fillId="4" borderId="0" xfId="0" applyNumberFormat="1" applyFill="1" applyAlignment="1">
      <alignment horizontal="right"/>
    </xf>
    <xf numFmtId="2" fontId="0" fillId="6" borderId="0" xfId="0" applyNumberFormat="1" applyFill="1" applyAlignment="1">
      <alignment horizontal="right"/>
    </xf>
    <xf numFmtId="2" fontId="0" fillId="2" borderId="0" xfId="0" applyNumberFormat="1" applyFill="1" applyAlignment="1">
      <alignment horizontal="right"/>
    </xf>
    <xf numFmtId="2" fontId="1" fillId="8" borderId="0" xfId="0" applyNumberFormat="1" applyFont="1" applyFill="1" applyAlignment="1">
      <alignment horizontal="right"/>
    </xf>
    <xf numFmtId="2" fontId="13" fillId="9" borderId="0" xfId="0" applyNumberFormat="1" applyFont="1" applyFill="1" applyAlignment="1">
      <alignment horizontal="right"/>
    </xf>
    <xf numFmtId="2" fontId="12" fillId="8" borderId="0" xfId="0" applyNumberFormat="1" applyFont="1" applyFill="1" applyAlignment="1">
      <alignment horizontal="right"/>
    </xf>
    <xf numFmtId="2" fontId="2" fillId="9" borderId="0" xfId="0" applyNumberFormat="1" applyFont="1" applyFill="1" applyAlignment="1">
      <alignment horizontal="right"/>
    </xf>
    <xf numFmtId="2" fontId="6" fillId="6" borderId="0" xfId="0" applyNumberFormat="1" applyFont="1" applyFill="1" applyBorder="1" applyAlignment="1">
      <alignment horizontal="right"/>
    </xf>
    <xf numFmtId="2" fontId="6" fillId="2" borderId="0" xfId="0" applyNumberFormat="1" applyFont="1" applyFill="1" applyBorder="1" applyAlignment="1">
      <alignment horizontal="right"/>
    </xf>
    <xf numFmtId="2" fontId="2" fillId="5" borderId="2" xfId="0" applyNumberFormat="1" applyFont="1" applyFill="1" applyBorder="1" applyAlignment="1">
      <alignment horizontal="right"/>
    </xf>
    <xf numFmtId="2" fontId="0" fillId="4" borderId="0" xfId="0" applyNumberFormat="1" applyFill="1" applyBorder="1" applyAlignment="1">
      <alignment horizontal="right"/>
    </xf>
    <xf numFmtId="2" fontId="2" fillId="6" borderId="2" xfId="0" applyNumberFormat="1" applyFont="1" applyFill="1" applyBorder="1" applyAlignment="1">
      <alignment horizontal="right"/>
    </xf>
    <xf numFmtId="2" fontId="0" fillId="6" borderId="2" xfId="0" applyNumberFormat="1" applyFill="1" applyBorder="1" applyAlignment="1">
      <alignment horizontal="right"/>
    </xf>
    <xf numFmtId="2" fontId="0" fillId="7" borderId="0" xfId="0" applyNumberFormat="1" applyFill="1" applyAlignment="1">
      <alignment horizontal="right"/>
    </xf>
    <xf numFmtId="2" fontId="15" fillId="8" borderId="0" xfId="0" applyNumberFormat="1" applyFont="1" applyFill="1" applyBorder="1" applyAlignment="1">
      <alignment horizontal="right"/>
    </xf>
    <xf numFmtId="2" fontId="16" fillId="9" borderId="0" xfId="0" applyNumberFormat="1" applyFont="1" applyFill="1" applyAlignment="1">
      <alignment horizontal="right"/>
    </xf>
    <xf numFmtId="2" fontId="3" fillId="4" borderId="0" xfId="0" applyNumberFormat="1" applyFont="1" applyFill="1" applyBorder="1" applyAlignment="1">
      <alignment horizontal="right"/>
    </xf>
    <xf numFmtId="2" fontId="6" fillId="5" borderId="0" xfId="0" applyNumberFormat="1" applyFont="1" applyFill="1" applyBorder="1" applyAlignment="1">
      <alignment horizontal="right"/>
    </xf>
    <xf numFmtId="2" fontId="6" fillId="5" borderId="2" xfId="0" applyNumberFormat="1" applyFont="1" applyFill="1" applyBorder="1" applyAlignment="1">
      <alignment horizontal="right"/>
    </xf>
    <xf numFmtId="2" fontId="6" fillId="6" borderId="2" xfId="0" applyNumberFormat="1" applyFont="1" applyFill="1" applyBorder="1" applyAlignment="1">
      <alignment horizontal="right"/>
    </xf>
    <xf numFmtId="2" fontId="2" fillId="4" borderId="0" xfId="0" applyNumberFormat="1" applyFont="1" applyFill="1" applyBorder="1" applyAlignment="1">
      <alignment horizontal="right"/>
    </xf>
    <xf numFmtId="2" fontId="6" fillId="5" borderId="6" xfId="0" applyNumberFormat="1" applyFont="1" applyFill="1" applyBorder="1" applyAlignment="1">
      <alignment horizontal="right"/>
    </xf>
    <xf numFmtId="2" fontId="6" fillId="6" borderId="5" xfId="0" applyNumberFormat="1" applyFont="1" applyFill="1" applyBorder="1" applyAlignment="1">
      <alignment horizontal="right"/>
    </xf>
    <xf numFmtId="2" fontId="6" fillId="4" borderId="0" xfId="0" applyNumberFormat="1" applyFont="1" applyFill="1" applyAlignment="1">
      <alignment horizontal="right"/>
    </xf>
    <xf numFmtId="2" fontId="2" fillId="7" borderId="0" xfId="0" applyNumberFormat="1" applyFont="1" applyFill="1" applyBorder="1" applyAlignment="1">
      <alignment horizontal="right"/>
    </xf>
    <xf numFmtId="2" fontId="6" fillId="2" borderId="0" xfId="0" applyNumberFormat="1" applyFont="1" applyFill="1" applyAlignment="1">
      <alignment horizontal="right"/>
    </xf>
    <xf numFmtId="2" fontId="6" fillId="7" borderId="0" xfId="0" applyNumberFormat="1" applyFont="1" applyFill="1" applyAlignment="1">
      <alignment horizontal="right"/>
    </xf>
    <xf numFmtId="2" fontId="2" fillId="2" borderId="0" xfId="0" applyNumberFormat="1" applyFont="1" applyFill="1" applyBorder="1" applyAlignment="1">
      <alignment horizontal="right"/>
    </xf>
    <xf numFmtId="2" fontId="0" fillId="2" borderId="2" xfId="0" applyNumberFormat="1" applyFill="1" applyBorder="1" applyAlignment="1">
      <alignment horizontal="right"/>
    </xf>
    <xf numFmtId="2" fontId="0" fillId="7" borderId="2" xfId="0" applyNumberFormat="1" applyFill="1" applyBorder="1" applyAlignment="1">
      <alignment horizontal="right"/>
    </xf>
    <xf numFmtId="2" fontId="6" fillId="7" borderId="2" xfId="0" applyNumberFormat="1" applyFont="1" applyFill="1" applyBorder="1" applyAlignment="1">
      <alignment horizontal="right"/>
    </xf>
    <xf numFmtId="2" fontId="6" fillId="4" borderId="2" xfId="0" applyNumberFormat="1" applyFont="1" applyFill="1" applyBorder="1" applyAlignment="1">
      <alignment horizontal="right"/>
    </xf>
    <xf numFmtId="2" fontId="2" fillId="5" borderId="0" xfId="0" applyNumberFormat="1" applyFont="1" applyFill="1" applyBorder="1" applyAlignment="1">
      <alignment horizontal="right"/>
    </xf>
    <xf numFmtId="2" fontId="2" fillId="6" borderId="0" xfId="0" applyNumberFormat="1" applyFont="1" applyFill="1" applyBorder="1" applyAlignment="1">
      <alignment horizontal="right"/>
    </xf>
    <xf numFmtId="2" fontId="10" fillId="5" borderId="2" xfId="0" applyNumberFormat="1" applyFont="1" applyFill="1" applyBorder="1" applyAlignment="1">
      <alignment horizontal="right" vertical="center"/>
    </xf>
    <xf numFmtId="2" fontId="0" fillId="5" borderId="0" xfId="0" applyNumberFormat="1" applyFill="1" applyAlignment="1">
      <alignment horizontal="right"/>
    </xf>
    <xf numFmtId="2" fontId="2" fillId="2" borderId="0" xfId="0" applyNumberFormat="1" applyFont="1" applyFill="1" applyAlignment="1">
      <alignment horizontal="right"/>
    </xf>
    <xf numFmtId="2" fontId="2" fillId="7" borderId="0" xfId="0" applyNumberFormat="1" applyFont="1" applyFill="1" applyAlignment="1">
      <alignment horizontal="right"/>
    </xf>
    <xf numFmtId="2" fontId="2" fillId="9" borderId="2" xfId="0" applyNumberFormat="1" applyFont="1" applyFill="1" applyBorder="1" applyAlignment="1">
      <alignment horizontal="right"/>
    </xf>
    <xf numFmtId="2" fontId="2" fillId="7" borderId="2" xfId="0" applyNumberFormat="1" applyFont="1" applyFill="1" applyBorder="1" applyAlignment="1">
      <alignment horizontal="right"/>
    </xf>
    <xf numFmtId="2" fontId="13" fillId="9" borderId="2" xfId="0" applyNumberFormat="1" applyFont="1" applyFill="1" applyBorder="1" applyAlignment="1">
      <alignment horizontal="right"/>
    </xf>
    <xf numFmtId="2" fontId="3" fillId="4" borderId="2" xfId="0" applyNumberFormat="1" applyFont="1" applyFill="1" applyBorder="1" applyAlignment="1">
      <alignment horizontal="right"/>
    </xf>
    <xf numFmtId="2" fontId="2" fillId="4" borderId="2" xfId="0" applyNumberFormat="1" applyFont="1" applyFill="1" applyBorder="1" applyAlignment="1">
      <alignment horizontal="right"/>
    </xf>
    <xf numFmtId="2" fontId="10" fillId="5" borderId="0" xfId="0" applyNumberFormat="1" applyFont="1" applyFill="1" applyBorder="1" applyAlignment="1">
      <alignment horizontal="right" vertical="center"/>
    </xf>
    <xf numFmtId="2" fontId="10" fillId="6" borderId="2" xfId="0" applyNumberFormat="1" applyFont="1" applyFill="1" applyBorder="1" applyAlignment="1">
      <alignment horizontal="right" vertical="center"/>
    </xf>
    <xf numFmtId="2" fontId="17" fillId="7" borderId="2" xfId="0" applyNumberFormat="1" applyFont="1" applyFill="1" applyBorder="1" applyAlignment="1">
      <alignment horizontal="right"/>
    </xf>
    <xf numFmtId="2" fontId="14" fillId="7" borderId="2" xfId="0" applyNumberFormat="1" applyFont="1" applyFill="1" applyBorder="1" applyAlignment="1">
      <alignment horizontal="right"/>
    </xf>
    <xf numFmtId="2" fontId="16" fillId="7" borderId="2" xfId="0" applyNumberFormat="1" applyFont="1" applyFill="1" applyBorder="1" applyAlignment="1">
      <alignment horizontal="right"/>
    </xf>
    <xf numFmtId="2" fontId="3" fillId="7" borderId="2" xfId="0" applyNumberFormat="1" applyFont="1" applyFill="1" applyBorder="1" applyAlignment="1">
      <alignment horizontal="right"/>
    </xf>
    <xf numFmtId="0" fontId="0" fillId="9" borderId="0" xfId="0" applyFill="1"/>
    <xf numFmtId="0" fontId="0" fillId="10" borderId="0" xfId="0" applyFill="1"/>
    <xf numFmtId="0" fontId="0" fillId="11" borderId="0" xfId="0" applyFill="1"/>
    <xf numFmtId="2" fontId="16" fillId="9" borderId="0" xfId="0" applyNumberFormat="1" applyFont="1" applyFill="1" applyBorder="1" applyAlignment="1">
      <alignment horizontal="right"/>
    </xf>
    <xf numFmtId="164" fontId="0" fillId="0" borderId="0" xfId="0" applyNumberFormat="1"/>
    <xf numFmtId="167" fontId="0" fillId="0" borderId="0" xfId="0" applyNumberFormat="1"/>
    <xf numFmtId="0" fontId="0" fillId="0" borderId="0" xfId="0" applyAlignment="1">
      <alignment vertical="center"/>
    </xf>
    <xf numFmtId="0" fontId="18" fillId="0" borderId="0" xfId="0" applyFont="1" applyAlignment="1">
      <alignment vertic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66"/>
  <sheetViews>
    <sheetView topLeftCell="C181" workbookViewId="0">
      <selection activeCell="M185" sqref="M185"/>
    </sheetView>
  </sheetViews>
  <sheetFormatPr baseColWidth="10" defaultRowHeight="15"/>
  <cols>
    <col min="1" max="1" width="9.140625"/>
    <col min="2" max="2" width="51" bestFit="1" customWidth="1"/>
    <col min="3" max="3" width="14.140625" style="33" customWidth="1"/>
    <col min="4" max="4" width="11.140625" style="68" bestFit="1" customWidth="1"/>
    <col min="5" max="5" width="11.140625" style="68" customWidth="1"/>
    <col min="6" max="6" width="19.28515625" style="34" customWidth="1"/>
    <col min="7" max="7" width="6.85546875" style="35" customWidth="1"/>
    <col min="8" max="8" width="7.7109375" style="46" customWidth="1"/>
    <col min="9" max="9" width="7.42578125" style="36" customWidth="1"/>
    <col min="10" max="10" width="13.28515625" style="37" customWidth="1"/>
    <col min="11" max="11" width="13.140625" customWidth="1"/>
    <col min="13" max="13" width="20.140625" customWidth="1"/>
  </cols>
  <sheetData>
    <row r="1" spans="1:13" ht="15.75" thickBot="1">
      <c r="A1">
        <v>1</v>
      </c>
      <c r="B1" s="1" t="s">
        <v>0</v>
      </c>
      <c r="C1" s="14" t="s">
        <v>372</v>
      </c>
      <c r="D1" s="15" t="s">
        <v>373</v>
      </c>
      <c r="E1" s="76"/>
      <c r="F1" s="17" t="s">
        <v>364</v>
      </c>
      <c r="G1" s="17" t="s">
        <v>365</v>
      </c>
      <c r="H1" s="17" t="s">
        <v>366</v>
      </c>
      <c r="I1" s="19" t="s">
        <v>367</v>
      </c>
      <c r="J1" s="17" t="s">
        <v>368</v>
      </c>
      <c r="K1" t="s">
        <v>369</v>
      </c>
      <c r="L1" t="s">
        <v>370</v>
      </c>
    </row>
    <row r="2" spans="1:13">
      <c r="A2">
        <v>188</v>
      </c>
      <c r="B2" s="3" t="s">
        <v>162</v>
      </c>
      <c r="C2" s="21"/>
      <c r="D2" s="22"/>
      <c r="E2" s="32"/>
      <c r="F2" s="23"/>
      <c r="G2" s="24"/>
      <c r="H2" s="25"/>
      <c r="I2" s="26">
        <v>0.51202800000000004</v>
      </c>
      <c r="J2" s="27"/>
      <c r="M2" t="str">
        <f>CONCATENATE(B2,"-AIRE-",I2)</f>
        <v>AIRE COMPRIMIDO B2 / 200BAR-AIRE-0,512028</v>
      </c>
    </row>
    <row r="3" spans="1:13">
      <c r="A3">
        <v>201</v>
      </c>
      <c r="B3" s="6" t="s">
        <v>173</v>
      </c>
      <c r="C3" s="21"/>
      <c r="D3" s="22"/>
      <c r="E3" s="32"/>
      <c r="F3" s="23"/>
      <c r="G3" s="41"/>
      <c r="H3" s="25"/>
      <c r="I3" s="26">
        <v>0.76804199999999989</v>
      </c>
      <c r="J3" s="27"/>
      <c r="M3" t="str">
        <f t="shared" ref="M3:M23" si="0">CONCATENATE(B3,"-AIRE-",I3)</f>
        <v>AIRE COMPRIMIDO B2 / 300BAR-AIRE-0,768042</v>
      </c>
    </row>
    <row r="4" spans="1:13">
      <c r="A4">
        <v>189</v>
      </c>
      <c r="B4" s="4" t="s">
        <v>163</v>
      </c>
      <c r="C4" s="21"/>
      <c r="D4" s="22"/>
      <c r="E4" s="32"/>
      <c r="F4" s="23"/>
      <c r="G4" s="24"/>
      <c r="H4" s="25"/>
      <c r="I4" s="26">
        <v>1.2800699999999998</v>
      </c>
      <c r="J4" s="27"/>
      <c r="M4" t="str">
        <f t="shared" si="0"/>
        <v>AIRE COMPRIMIDO B5 / 200BAR-AIRE-1,28007</v>
      </c>
    </row>
    <row r="5" spans="1:13">
      <c r="A5">
        <v>190</v>
      </c>
      <c r="B5" s="4" t="s">
        <v>164</v>
      </c>
      <c r="C5" s="21"/>
      <c r="D5" s="22"/>
      <c r="E5" s="32"/>
      <c r="F5" s="23"/>
      <c r="G5" s="24"/>
      <c r="H5" s="25"/>
      <c r="I5" s="26">
        <v>1.792098</v>
      </c>
      <c r="J5" s="27"/>
      <c r="M5" t="str">
        <f t="shared" si="0"/>
        <v>AIRE COMPRIMIDO B7 / 200BAR-AIRE-1,792098</v>
      </c>
    </row>
    <row r="6" spans="1:13">
      <c r="A6">
        <v>202</v>
      </c>
      <c r="B6" s="5" t="s">
        <v>174</v>
      </c>
      <c r="C6" s="21"/>
      <c r="D6" s="22"/>
      <c r="E6" s="32"/>
      <c r="F6" s="23"/>
      <c r="G6" s="41"/>
      <c r="H6" s="25"/>
      <c r="I6" s="26">
        <v>1.9201049999999997</v>
      </c>
      <c r="J6" s="27"/>
      <c r="M6" t="str">
        <f t="shared" si="0"/>
        <v>AIRE COMPRIMIDO B5 / 300BAR-AIRE-1,920105</v>
      </c>
    </row>
    <row r="7" spans="1:13">
      <c r="A7">
        <v>191</v>
      </c>
      <c r="B7" s="4" t="s">
        <v>165</v>
      </c>
      <c r="C7" s="21"/>
      <c r="D7" s="22"/>
      <c r="E7" s="32"/>
      <c r="F7" s="23"/>
      <c r="G7" s="24"/>
      <c r="H7" s="25"/>
      <c r="I7" s="26">
        <v>2.5601399999999996</v>
      </c>
      <c r="J7" s="27"/>
      <c r="M7" t="str">
        <f t="shared" si="0"/>
        <v>AIRE COMPRIMIDO B10 / 200BAR-AIRE-2,56014</v>
      </c>
    </row>
    <row r="8" spans="1:13">
      <c r="A8">
        <v>203</v>
      </c>
      <c r="B8" s="5" t="s">
        <v>175</v>
      </c>
      <c r="C8" s="21"/>
      <c r="D8" s="22"/>
      <c r="E8" s="32"/>
      <c r="F8" s="23"/>
      <c r="G8" s="41"/>
      <c r="H8" s="25"/>
      <c r="I8" s="26">
        <v>2.6881469999999994</v>
      </c>
      <c r="J8" s="27"/>
      <c r="M8" t="str">
        <f t="shared" si="0"/>
        <v>AIRE COMPRIMIDO B7 / 300BAR-AIRE-2,688147</v>
      </c>
    </row>
    <row r="9" spans="1:13">
      <c r="A9">
        <v>192</v>
      </c>
      <c r="B9" s="4" t="s">
        <v>166</v>
      </c>
      <c r="C9" s="21"/>
      <c r="D9" s="22"/>
      <c r="E9" s="32"/>
      <c r="F9" s="23"/>
      <c r="G9" s="24"/>
      <c r="H9" s="25"/>
      <c r="I9" s="26">
        <v>3.5841959999999999</v>
      </c>
      <c r="J9" s="27"/>
      <c r="M9" t="str">
        <f t="shared" si="0"/>
        <v>AIRE COMPRIMIDO B14 / 200BAR-AIRE-3,584196</v>
      </c>
    </row>
    <row r="10" spans="1:13">
      <c r="A10">
        <v>204</v>
      </c>
      <c r="B10" s="5" t="s">
        <v>176</v>
      </c>
      <c r="C10" s="21"/>
      <c r="D10" s="22"/>
      <c r="E10" s="32"/>
      <c r="F10" s="23"/>
      <c r="G10" s="41"/>
      <c r="H10" s="25"/>
      <c r="I10" s="26">
        <v>3.8402099999999995</v>
      </c>
      <c r="J10" s="27"/>
      <c r="M10" t="str">
        <f t="shared" si="0"/>
        <v>AIRE COMPRIMIDO B10 / 300BAR-AIRE-3,84021</v>
      </c>
    </row>
    <row r="11" spans="1:13">
      <c r="A11">
        <v>193</v>
      </c>
      <c r="B11" s="4" t="s">
        <v>167</v>
      </c>
      <c r="C11" s="43"/>
      <c r="D11" s="32"/>
      <c r="E11" s="32"/>
      <c r="F11" s="23"/>
      <c r="G11" s="24"/>
      <c r="H11" s="25"/>
      <c r="I11" s="26">
        <v>4.0962240000000003</v>
      </c>
      <c r="J11" s="27"/>
      <c r="M11" t="str">
        <f t="shared" si="0"/>
        <v>AIRE COMPRIMIDO B16 / 200BAR-AIRE-4,096224</v>
      </c>
    </row>
    <row r="12" spans="1:13">
      <c r="A12">
        <v>194</v>
      </c>
      <c r="B12" s="4" t="s">
        <v>168</v>
      </c>
      <c r="C12" s="43"/>
      <c r="D12" s="32"/>
      <c r="E12" s="32"/>
      <c r="F12" s="23"/>
      <c r="G12" s="24"/>
      <c r="H12" s="25"/>
      <c r="I12" s="26">
        <v>5.1202799999999993</v>
      </c>
      <c r="J12" s="27"/>
      <c r="M12" t="str">
        <f t="shared" si="0"/>
        <v>AIRE COMPRIMIDO B20 / 200BAR-AIRE-5,12028</v>
      </c>
    </row>
    <row r="13" spans="1:13">
      <c r="A13">
        <v>205</v>
      </c>
      <c r="B13" s="5" t="s">
        <v>177</v>
      </c>
      <c r="C13" s="21"/>
      <c r="D13" s="22"/>
      <c r="E13" s="32"/>
      <c r="F13" s="23"/>
      <c r="G13" s="41"/>
      <c r="H13" s="25"/>
      <c r="I13" s="26">
        <v>5.3762939999999988</v>
      </c>
      <c r="J13" s="27"/>
      <c r="M13" t="str">
        <f t="shared" si="0"/>
        <v>AIRE COMPRIMIDO B14 / 300BAR-AIRE-5,376294</v>
      </c>
    </row>
    <row r="14" spans="1:13">
      <c r="A14">
        <v>206</v>
      </c>
      <c r="B14" s="6" t="s">
        <v>178</v>
      </c>
      <c r="C14" s="21"/>
      <c r="D14" s="22"/>
      <c r="E14" s="32"/>
      <c r="F14" s="23"/>
      <c r="G14" s="41"/>
      <c r="H14" s="25"/>
      <c r="I14" s="26">
        <v>6.1443359999999991</v>
      </c>
      <c r="J14" s="27"/>
      <c r="M14" t="str">
        <f t="shared" si="0"/>
        <v>AIRE COMPRIMIDO B16 / 300BAR-AIRE-6,144336</v>
      </c>
    </row>
    <row r="15" spans="1:13">
      <c r="A15">
        <v>207</v>
      </c>
      <c r="B15" s="6" t="s">
        <v>179</v>
      </c>
      <c r="C15" s="21"/>
      <c r="D15" s="22"/>
      <c r="E15" s="32"/>
      <c r="F15" s="23"/>
      <c r="G15" s="41"/>
      <c r="H15" s="25"/>
      <c r="I15" s="26">
        <v>7.6804199999999989</v>
      </c>
      <c r="J15" s="27"/>
      <c r="M15" t="str">
        <f t="shared" si="0"/>
        <v>AIRE COMPRIMIDO B20 / 300BAR-AIRE-7,68042</v>
      </c>
    </row>
    <row r="16" spans="1:13">
      <c r="A16">
        <v>195</v>
      </c>
      <c r="B16" s="4" t="s">
        <v>169</v>
      </c>
      <c r="C16" s="21"/>
      <c r="D16" s="22"/>
      <c r="E16" s="32"/>
      <c r="F16" s="23"/>
      <c r="G16" s="24"/>
      <c r="H16" s="25"/>
      <c r="I16" s="26">
        <v>7.6804199999999998</v>
      </c>
      <c r="J16" s="27"/>
      <c r="M16" t="str">
        <f t="shared" si="0"/>
        <v>AIRE COMPRIMIDO B30 / 200BAR-AIRE-7,68042</v>
      </c>
    </row>
    <row r="17" spans="1:13">
      <c r="A17">
        <v>196</v>
      </c>
      <c r="B17" s="4" t="s">
        <v>170</v>
      </c>
      <c r="C17" s="21"/>
      <c r="D17" s="22"/>
      <c r="E17" s="32"/>
      <c r="F17" s="23"/>
      <c r="G17" s="24"/>
      <c r="H17" s="25"/>
      <c r="I17" s="36">
        <v>10.240559999999999</v>
      </c>
      <c r="M17" t="str">
        <f t="shared" si="0"/>
        <v>AIRE COMPRIMIDO B40 / 200BAR-AIRE-10,24056</v>
      </c>
    </row>
    <row r="18" spans="1:13">
      <c r="A18">
        <v>208</v>
      </c>
      <c r="B18" s="5" t="s">
        <v>180</v>
      </c>
      <c r="C18" s="21"/>
      <c r="D18" s="22"/>
      <c r="E18" s="32"/>
      <c r="F18" s="23"/>
      <c r="G18" s="41"/>
      <c r="H18" s="25"/>
      <c r="I18" s="26">
        <v>11.520629999999999</v>
      </c>
      <c r="J18" s="27"/>
      <c r="M18" t="str">
        <f t="shared" si="0"/>
        <v>AIRE COMPRIMIDO B30 / 300BAR-AIRE-11,52063</v>
      </c>
    </row>
    <row r="19" spans="1:13">
      <c r="A19">
        <v>197</v>
      </c>
      <c r="B19" s="4" t="s">
        <v>171</v>
      </c>
      <c r="C19" s="21"/>
      <c r="D19" s="22"/>
      <c r="E19" s="32"/>
      <c r="F19" s="23"/>
      <c r="G19" s="24"/>
      <c r="H19" s="25"/>
      <c r="I19" s="36">
        <v>12.800699999999999</v>
      </c>
      <c r="M19" t="str">
        <f t="shared" si="0"/>
        <v>AIRE COMPRIMIDO B50 / 200BAR-AIRE-12,8007</v>
      </c>
    </row>
    <row r="20" spans="1:13">
      <c r="A20">
        <v>209</v>
      </c>
      <c r="B20" s="5" t="s">
        <v>181</v>
      </c>
      <c r="C20" s="64"/>
      <c r="D20" s="22"/>
      <c r="E20" s="32"/>
      <c r="F20" s="23"/>
      <c r="G20" s="24"/>
      <c r="H20" s="25"/>
      <c r="I20" s="26">
        <v>15.360839999999998</v>
      </c>
      <c r="J20" s="27"/>
      <c r="M20" t="str">
        <f t="shared" si="0"/>
        <v>AIRE COMPRIMIDO B40 / 300BAR-AIRE-15,36084</v>
      </c>
    </row>
    <row r="21" spans="1:13">
      <c r="A21">
        <v>210</v>
      </c>
      <c r="B21" s="5" t="s">
        <v>182</v>
      </c>
      <c r="C21" s="75"/>
      <c r="D21" s="22"/>
      <c r="E21" s="32"/>
      <c r="F21" s="23"/>
      <c r="G21" s="24"/>
      <c r="H21" s="57"/>
      <c r="I21" s="29">
        <v>19.201049999999999</v>
      </c>
      <c r="J21" s="30"/>
      <c r="M21" t="str">
        <f t="shared" si="0"/>
        <v>AIRE COMPRIMIDO B50 / 300BAR-AIRE-19,20105</v>
      </c>
    </row>
    <row r="22" spans="1:13">
      <c r="A22">
        <v>198</v>
      </c>
      <c r="B22" s="4" t="s">
        <v>172</v>
      </c>
      <c r="C22" s="21"/>
      <c r="D22" s="22"/>
      <c r="E22" s="32"/>
      <c r="F22" s="23"/>
      <c r="G22" s="41"/>
      <c r="H22" s="25"/>
      <c r="I22" s="26">
        <v>20.481119999999997</v>
      </c>
      <c r="J22" s="27"/>
      <c r="M22" t="str">
        <f t="shared" si="0"/>
        <v>AIRE COMPRIMIDO B80 / 200BAR-AIRE-20,48112</v>
      </c>
    </row>
    <row r="23" spans="1:13">
      <c r="A23">
        <v>211</v>
      </c>
      <c r="B23" s="5" t="s">
        <v>183</v>
      </c>
      <c r="C23" s="21"/>
      <c r="D23" s="22"/>
      <c r="E23" s="32"/>
      <c r="F23" s="23"/>
      <c r="G23" s="24"/>
      <c r="H23" s="25"/>
      <c r="I23" s="26">
        <v>30.721679999999996</v>
      </c>
      <c r="J23" s="27"/>
      <c r="M23" t="str">
        <f t="shared" si="0"/>
        <v>AIRE COMPRIMIDO B80 / 300BAR-AIRE-30,72168</v>
      </c>
    </row>
    <row r="24" spans="1:13">
      <c r="A24">
        <v>5</v>
      </c>
      <c r="B24" s="2" t="s">
        <v>1</v>
      </c>
      <c r="C24" s="74"/>
      <c r="D24" s="22"/>
      <c r="E24" s="32"/>
      <c r="F24" s="23">
        <v>0.37984000000000001</v>
      </c>
      <c r="G24" s="24"/>
      <c r="H24" s="25"/>
      <c r="I24" s="26"/>
      <c r="J24" s="27"/>
      <c r="M24" t="str">
        <f>CONCATENATE(B24,"-OXIGENO-",F24)</f>
        <v xml:space="preserve"> Oxigeno Industrial B2 / 150BAR-OXIGENO-0,37984</v>
      </c>
    </row>
    <row r="25" spans="1:13">
      <c r="A25">
        <v>6</v>
      </c>
      <c r="B25" s="2" t="s">
        <v>2</v>
      </c>
      <c r="C25" s="74"/>
      <c r="D25" s="22"/>
      <c r="E25" s="32"/>
      <c r="F25" s="23">
        <v>0.94960000000000011</v>
      </c>
      <c r="G25" s="24"/>
      <c r="H25" s="25"/>
      <c r="I25" s="26"/>
      <c r="J25" s="27"/>
      <c r="M25" t="str">
        <f>CONCATENATE(B25,"-OXIGENO-",F25)</f>
        <v xml:space="preserve"> Oxigeno Industriall B5 / 150BAR-OXIGENO-0,9496</v>
      </c>
    </row>
    <row r="26" spans="1:13">
      <c r="A26">
        <v>7</v>
      </c>
      <c r="B26" s="2" t="s">
        <v>3</v>
      </c>
      <c r="C26" s="74"/>
      <c r="D26" s="22"/>
      <c r="E26" s="32"/>
      <c r="F26" s="23">
        <v>1.3294400000000002</v>
      </c>
      <c r="G26" s="24"/>
      <c r="H26" s="25"/>
      <c r="I26" s="26"/>
      <c r="J26" s="27"/>
      <c r="M26" t="str">
        <f>CONCATENATE(B26,"-OXIGENO-",F26)</f>
        <v xml:space="preserve"> Oxigeno Industrial B 7 / 150BAR-OXIGENO-1,32944</v>
      </c>
    </row>
    <row r="27" spans="1:13">
      <c r="A27">
        <v>8</v>
      </c>
      <c r="B27" s="2" t="s">
        <v>4</v>
      </c>
      <c r="C27" s="74"/>
      <c r="D27" s="22"/>
      <c r="E27" s="32"/>
      <c r="F27" s="23">
        <v>1.8992000000000002</v>
      </c>
      <c r="G27" s="24"/>
      <c r="H27" s="25"/>
      <c r="I27" s="26"/>
      <c r="J27" s="27"/>
      <c r="M27" t="str">
        <f>CONCATENATE(B27,"-OXIGENO-",F27)</f>
        <v xml:space="preserve"> Oxigeno Industriall B10 / 150BAR-OXIGENO-1,8992</v>
      </c>
    </row>
    <row r="28" spans="1:13">
      <c r="A28">
        <v>9</v>
      </c>
      <c r="B28" s="2" t="s">
        <v>5</v>
      </c>
      <c r="C28" s="49"/>
      <c r="D28" s="32"/>
      <c r="E28" s="32"/>
      <c r="F28" s="23">
        <v>2.6588800000000004</v>
      </c>
      <c r="G28" s="24"/>
      <c r="H28" s="25"/>
      <c r="I28" s="26"/>
      <c r="J28" s="27"/>
      <c r="M28" t="str">
        <f>CONCATENATE(B28,"-OXIGENO-",F28)</f>
        <v xml:space="preserve"> Oxigeno Industrial B14 / 150BAR-OXIGENO-2,65888</v>
      </c>
    </row>
    <row r="29" spans="1:13">
      <c r="A29">
        <v>10</v>
      </c>
      <c r="B29" s="2" t="s">
        <v>6</v>
      </c>
      <c r="C29" s="49"/>
      <c r="D29" s="32"/>
      <c r="E29" s="32"/>
      <c r="F29" s="23">
        <v>3.0387200000000001</v>
      </c>
      <c r="G29" s="24"/>
      <c r="H29" s="25"/>
      <c r="I29" s="26"/>
      <c r="J29" s="27"/>
      <c r="M29" t="str">
        <f>CONCATENATE(B29,"-OXIGENO-",F29)</f>
        <v xml:space="preserve"> Oxigeno Industriall B16 / 150BAR-OXIGENO-3,03872</v>
      </c>
    </row>
    <row r="30" spans="1:13">
      <c r="A30">
        <v>11</v>
      </c>
      <c r="B30" s="2" t="s">
        <v>7</v>
      </c>
      <c r="C30" s="74"/>
      <c r="D30" s="22"/>
      <c r="E30" s="32"/>
      <c r="F30" s="23">
        <v>3.7984000000000004</v>
      </c>
      <c r="G30" s="24"/>
      <c r="H30" s="25"/>
      <c r="I30" s="26"/>
      <c r="J30" s="27"/>
      <c r="M30" t="str">
        <f>CONCATENATE(B30,"-OXIGENO-",F30)</f>
        <v xml:space="preserve"> Oxigeno Industriall B20 / 150BAR-OXIGENO-3,7984</v>
      </c>
    </row>
    <row r="31" spans="1:13">
      <c r="A31">
        <v>12</v>
      </c>
      <c r="B31" s="10" t="s">
        <v>8</v>
      </c>
      <c r="C31" s="21"/>
      <c r="D31" s="22"/>
      <c r="E31" s="32"/>
      <c r="F31" s="23">
        <v>5.6976000000000004</v>
      </c>
      <c r="G31" s="24"/>
      <c r="H31" s="25"/>
      <c r="I31" s="26"/>
      <c r="J31" s="27"/>
      <c r="M31" t="str">
        <f>CONCATENATE(B31,"-OXIGENO-",F31)</f>
        <v xml:space="preserve"> Oxigeno Industriall B30 / 150BAR-OXIGENO-5,6976</v>
      </c>
    </row>
    <row r="32" spans="1:13">
      <c r="A32">
        <v>13</v>
      </c>
      <c r="B32" s="10" t="s">
        <v>9</v>
      </c>
      <c r="C32" s="75"/>
      <c r="D32" s="22"/>
      <c r="E32" s="32"/>
      <c r="F32" s="23">
        <v>7.5968000000000009</v>
      </c>
      <c r="G32" s="24"/>
      <c r="H32" s="25"/>
      <c r="I32" s="26"/>
      <c r="J32" s="27"/>
      <c r="M32" t="str">
        <f>CONCATENATE(B32,"-OXIGENO-",F32)</f>
        <v xml:space="preserve"> Oxigeno Industrial B40 / 150BAR-OXIGENO-7,5968</v>
      </c>
    </row>
    <row r="33" spans="1:13">
      <c r="A33">
        <v>14</v>
      </c>
      <c r="B33" s="2" t="s">
        <v>10</v>
      </c>
      <c r="C33" s="21"/>
      <c r="D33" s="22"/>
      <c r="E33" s="32"/>
      <c r="F33" s="23">
        <v>9.4960000000000004</v>
      </c>
      <c r="G33" s="24"/>
      <c r="H33" s="25"/>
      <c r="I33" s="26"/>
      <c r="J33" s="27"/>
      <c r="M33" t="str">
        <f>CONCATENATE(B33,"-OXIGENO-",F33)</f>
        <v xml:space="preserve"> Oxigeno Industrial B50 / 150BAR-OXIGENO-9,496</v>
      </c>
    </row>
    <row r="34" spans="1:13">
      <c r="A34">
        <v>17</v>
      </c>
      <c r="B34" s="4" t="s">
        <v>11</v>
      </c>
      <c r="C34" s="21"/>
      <c r="D34" s="22"/>
      <c r="E34" s="32"/>
      <c r="F34" s="23">
        <v>0.50328799999999996</v>
      </c>
      <c r="G34" s="24"/>
      <c r="H34" s="25"/>
      <c r="I34" s="26"/>
      <c r="J34" s="27"/>
      <c r="M34" t="str">
        <f>CONCATENATE(B34,"-OXIGENO-",F34)</f>
        <v xml:space="preserve"> Oxigeno Industrial B2 / 200BAR-OXIGENO-0,503288</v>
      </c>
    </row>
    <row r="35" spans="1:13">
      <c r="A35">
        <v>18</v>
      </c>
      <c r="B35" s="4" t="s">
        <v>12</v>
      </c>
      <c r="C35" s="21"/>
      <c r="D35" s="22"/>
      <c r="E35" s="32"/>
      <c r="F35" s="23">
        <v>1.2582200000000001</v>
      </c>
      <c r="G35" s="24"/>
      <c r="H35" s="25"/>
      <c r="I35" s="26"/>
      <c r="J35" s="27"/>
      <c r="M35" t="str">
        <f>CONCATENATE(B35,"-OXIGENO-",F35)</f>
        <v xml:space="preserve"> Oxigeno Industriall B5 / 200BAR-OXIGENO-1,25822</v>
      </c>
    </row>
    <row r="36" spans="1:13">
      <c r="A36">
        <v>19</v>
      </c>
      <c r="B36" s="4" t="s">
        <v>13</v>
      </c>
      <c r="C36" s="21"/>
      <c r="D36" s="22"/>
      <c r="E36" s="32"/>
      <c r="F36" s="23">
        <v>1.7615080000000001</v>
      </c>
      <c r="G36" s="24"/>
      <c r="H36" s="25"/>
      <c r="I36" s="26"/>
      <c r="J36" s="27"/>
      <c r="M36" t="str">
        <f>CONCATENATE(B36,"-OXIGENO-",F36)</f>
        <v xml:space="preserve"> Oxigeno Industrial B 7 / 200BAR-OXIGENO-1,761508</v>
      </c>
    </row>
    <row r="37" spans="1:13">
      <c r="A37">
        <v>20</v>
      </c>
      <c r="B37" s="4" t="s">
        <v>14</v>
      </c>
      <c r="C37" s="21"/>
      <c r="D37" s="22"/>
      <c r="E37" s="32"/>
      <c r="F37" s="23">
        <v>2.5164400000000002</v>
      </c>
      <c r="G37" s="24"/>
      <c r="H37" s="25"/>
      <c r="I37" s="26"/>
      <c r="J37" s="27"/>
      <c r="M37" t="str">
        <f>CONCATENATE(B37,"-OXIGENO-",F37)</f>
        <v xml:space="preserve"> Oxigeno Industriall B10 / 200BAR-OXIGENO-2,51644</v>
      </c>
    </row>
    <row r="38" spans="1:13">
      <c r="A38">
        <v>21</v>
      </c>
      <c r="B38" s="4" t="s">
        <v>15</v>
      </c>
      <c r="C38" s="21"/>
      <c r="D38" s="51"/>
      <c r="E38" s="50"/>
      <c r="F38" s="40">
        <v>3.5230160000000001</v>
      </c>
      <c r="G38" s="41"/>
      <c r="H38" s="28"/>
      <c r="I38" s="29"/>
      <c r="J38" s="30"/>
      <c r="M38" t="str">
        <f>CONCATENATE(B38,"-OXIGENO-",F38)</f>
        <v xml:space="preserve"> Oxigeno Industrial B14 / 200BAR-OXIGENO-3,523016</v>
      </c>
    </row>
    <row r="39" spans="1:13">
      <c r="A39">
        <v>22</v>
      </c>
      <c r="B39" s="4" t="s">
        <v>16</v>
      </c>
      <c r="C39" s="21"/>
      <c r="D39" s="51"/>
      <c r="E39" s="50"/>
      <c r="F39" s="40">
        <v>4.0263039999999997</v>
      </c>
      <c r="G39" s="41"/>
      <c r="H39" s="28"/>
      <c r="I39" s="29"/>
      <c r="J39" s="30"/>
      <c r="M39" t="str">
        <f>CONCATENATE(B39,"-OXIGENO-",F39)</f>
        <v xml:space="preserve"> Oxigeno Industriall B16 / 200BAR-OXIGENO-4,026304</v>
      </c>
    </row>
    <row r="40" spans="1:13">
      <c r="A40">
        <v>23</v>
      </c>
      <c r="B40" s="4" t="s">
        <v>17</v>
      </c>
      <c r="C40" s="21"/>
      <c r="D40" s="51"/>
      <c r="E40" s="50"/>
      <c r="F40" s="40">
        <v>5.0328800000000005</v>
      </c>
      <c r="G40" s="41"/>
      <c r="H40" s="28"/>
      <c r="I40" s="29"/>
      <c r="J40" s="30"/>
      <c r="M40" t="str">
        <f>CONCATENATE(B40,"-OXIGENO-",F40)</f>
        <v xml:space="preserve"> Oxigeno Industriall B20 / 200BAR-OXIGENO-5,03288</v>
      </c>
    </row>
    <row r="41" spans="1:13">
      <c r="A41">
        <v>24</v>
      </c>
      <c r="B41" s="4" t="s">
        <v>18</v>
      </c>
      <c r="C41" s="21"/>
      <c r="D41" s="51"/>
      <c r="E41" s="50"/>
      <c r="F41" s="40">
        <v>7.5493199999999998</v>
      </c>
      <c r="G41" s="41"/>
      <c r="H41" s="28"/>
      <c r="I41" s="29"/>
      <c r="J41" s="30"/>
      <c r="M41" t="str">
        <f>CONCATENATE(B41,"-OXIGENO-",F41)</f>
        <v xml:space="preserve"> Oxigeno Industriall B30 / 200BAR-OXIGENO-7,54932</v>
      </c>
    </row>
    <row r="42" spans="1:13">
      <c r="A42">
        <v>25</v>
      </c>
      <c r="B42" s="4" t="s">
        <v>19</v>
      </c>
      <c r="C42" s="21"/>
      <c r="D42" s="51"/>
      <c r="E42" s="50"/>
      <c r="F42" s="40">
        <v>10.065760000000001</v>
      </c>
      <c r="G42" s="41"/>
      <c r="H42" s="28"/>
      <c r="I42" s="29"/>
      <c r="J42" s="30"/>
      <c r="M42" t="str">
        <f>CONCATENATE(B42,"-OXIGENO-",F42)</f>
        <v xml:space="preserve"> Oxigeno Industrial B40 / 200BAR-OXIGENO-10,06576</v>
      </c>
    </row>
    <row r="43" spans="1:13">
      <c r="A43">
        <v>26</v>
      </c>
      <c r="B43" s="4" t="s">
        <v>20</v>
      </c>
      <c r="C43" s="21"/>
      <c r="D43" s="51"/>
      <c r="E43" s="50"/>
      <c r="F43" s="40">
        <v>12.5822</v>
      </c>
      <c r="G43" s="41"/>
      <c r="H43" s="28"/>
      <c r="I43" s="29"/>
      <c r="J43" s="30"/>
      <c r="M43" t="str">
        <f>CONCATENATE(B43,"-OXIGENO-",F43)</f>
        <v xml:space="preserve"> Oxigeno Industrial B50 / 200BAR-OXIGENO-12,5822</v>
      </c>
    </row>
    <row r="44" spans="1:13">
      <c r="A44">
        <v>27</v>
      </c>
      <c r="B44" s="4" t="s">
        <v>21</v>
      </c>
      <c r="C44" s="21"/>
      <c r="D44" s="51"/>
      <c r="E44" s="50"/>
      <c r="F44" s="40">
        <v>20.131520000000002</v>
      </c>
      <c r="G44" s="41"/>
      <c r="H44" s="28"/>
      <c r="I44" s="29"/>
      <c r="J44" s="30"/>
      <c r="M44" t="str">
        <f>CONCATENATE(B44,"-OXIGENO-",F44)</f>
        <v xml:space="preserve"> Oxigeno Industrial B80 / 200BAR-OXIGENO-20,13152</v>
      </c>
    </row>
    <row r="45" spans="1:13">
      <c r="A45">
        <v>28</v>
      </c>
      <c r="B45" s="4" t="s">
        <v>22</v>
      </c>
      <c r="C45" s="43"/>
      <c r="D45" s="50"/>
      <c r="E45" s="50"/>
      <c r="F45" s="40">
        <v>150.9864</v>
      </c>
      <c r="G45" s="41"/>
      <c r="H45" s="28"/>
      <c r="I45" s="29"/>
      <c r="J45" s="30"/>
      <c r="M45" t="str">
        <f>CONCATENATE(B45,"-OXIGENO-",F45)</f>
        <v xml:space="preserve"> Oxigeno Industrial 12*50 / 200BAR-OXIGENO-150,9864</v>
      </c>
    </row>
    <row r="46" spans="1:13">
      <c r="A46">
        <v>29</v>
      </c>
      <c r="B46" s="4" t="s">
        <v>23</v>
      </c>
      <c r="C46" s="43"/>
      <c r="D46" s="50"/>
      <c r="E46" s="50"/>
      <c r="F46" s="40">
        <v>201.3152</v>
      </c>
      <c r="G46" s="58"/>
      <c r="H46" s="59"/>
      <c r="I46" s="38"/>
      <c r="J46" s="39"/>
      <c r="M46" t="str">
        <f>CONCATENATE(B46,"-OXIGENO-",F46)</f>
        <v xml:space="preserve"> Oxigeno Industrial 16*50 / 200BAR-OXIGENO-201,3152</v>
      </c>
    </row>
    <row r="47" spans="1:13">
      <c r="A47">
        <v>30</v>
      </c>
      <c r="B47" s="4" t="s">
        <v>24</v>
      </c>
      <c r="C47" s="53"/>
      <c r="D47" s="51"/>
      <c r="E47" s="51"/>
      <c r="F47" s="52">
        <v>241.57823999999999</v>
      </c>
      <c r="G47" s="58"/>
      <c r="H47" s="28"/>
      <c r="I47" s="38"/>
      <c r="J47" s="39"/>
      <c r="M47" t="str">
        <f>CONCATENATE(B47,"-OXIGENO-",F47)</f>
        <v xml:space="preserve"> Oxigeno Industrial 12*80 / 200BAR-OXIGENO-241,57824</v>
      </c>
    </row>
    <row r="48" spans="1:13">
      <c r="A48">
        <v>31</v>
      </c>
      <c r="B48" s="3" t="s">
        <v>25</v>
      </c>
      <c r="C48" s="31"/>
      <c r="D48" s="51"/>
      <c r="E48" s="51"/>
      <c r="F48" s="52">
        <v>322.10432000000003</v>
      </c>
      <c r="G48" s="41"/>
      <c r="H48" s="28"/>
      <c r="I48" s="29"/>
      <c r="J48" s="30"/>
      <c r="M48" t="str">
        <f>CONCATENATE(B48,"-OXIGENO-",F48)</f>
        <v xml:space="preserve"> Oxigeno Industrial 16*80 / 200BAR-OXIGENO-322,10432</v>
      </c>
    </row>
    <row r="49" spans="1:15">
      <c r="A49">
        <v>34</v>
      </c>
      <c r="B49" s="6" t="s">
        <v>26</v>
      </c>
      <c r="C49" s="31"/>
      <c r="D49" s="22"/>
      <c r="E49" s="22"/>
      <c r="F49" s="45">
        <v>0.75968000000000002</v>
      </c>
      <c r="G49" s="24"/>
      <c r="H49" s="25"/>
      <c r="I49" s="26"/>
      <c r="J49" s="27"/>
      <c r="M49" t="str">
        <f>CONCATENATE(B49,"-OXIGENO-",F49)</f>
        <v xml:space="preserve"> Oxigeno Industrial B2 / 300BAR-OXIGENO-0,75968</v>
      </c>
    </row>
    <row r="50" spans="1:15">
      <c r="A50">
        <v>35</v>
      </c>
      <c r="B50" s="5" t="s">
        <v>27</v>
      </c>
      <c r="C50" s="31"/>
      <c r="D50" s="22"/>
      <c r="E50" s="22"/>
      <c r="F50" s="45">
        <v>1.8992000000000002</v>
      </c>
      <c r="G50" s="24"/>
      <c r="H50" s="25"/>
      <c r="I50" s="26"/>
      <c r="J50" s="27"/>
      <c r="M50" t="str">
        <f>CONCATENATE(B50,"-OXIGENO-",F50)</f>
        <v xml:space="preserve"> Oxigeno Industriall B5 / 300BAR-OXIGENO-1,8992</v>
      </c>
    </row>
    <row r="51" spans="1:15">
      <c r="A51">
        <v>36</v>
      </c>
      <c r="B51" s="5" t="s">
        <v>28</v>
      </c>
      <c r="C51" s="31"/>
      <c r="D51" s="22"/>
      <c r="E51" s="22"/>
      <c r="F51" s="45">
        <v>2.6588800000000004</v>
      </c>
      <c r="G51" s="24"/>
      <c r="H51" s="25"/>
      <c r="I51" s="26"/>
      <c r="J51" s="27"/>
      <c r="M51" t="str">
        <f>CONCATENATE(B51,"-OXIGENO-",F51)</f>
        <v xml:space="preserve"> Oxigeno Industrial B7 / 300BAR-OXIGENO-2,65888</v>
      </c>
    </row>
    <row r="52" spans="1:15">
      <c r="A52">
        <v>37</v>
      </c>
      <c r="B52" s="5" t="s">
        <v>29</v>
      </c>
      <c r="C52" s="31"/>
      <c r="D52" s="22"/>
      <c r="E52" s="22"/>
      <c r="F52" s="45">
        <v>3.7984000000000004</v>
      </c>
      <c r="G52" s="24"/>
      <c r="H52" s="25"/>
      <c r="I52" s="26"/>
      <c r="J52" s="27"/>
      <c r="M52" t="str">
        <f>CONCATENATE(B52,"-OXIGENO-",F52)</f>
        <v xml:space="preserve"> Oxigeno Industriall B10 / 300BAR-OXIGENO-3,7984</v>
      </c>
    </row>
    <row r="53" spans="1:15">
      <c r="A53">
        <v>38</v>
      </c>
      <c r="B53" s="5" t="s">
        <v>30</v>
      </c>
      <c r="C53" s="31"/>
      <c r="D53" s="22"/>
      <c r="E53" s="22"/>
      <c r="F53" s="45">
        <v>5.3177600000000007</v>
      </c>
      <c r="G53" s="24"/>
      <c r="H53" s="25"/>
      <c r="I53" s="26"/>
      <c r="J53" s="27"/>
      <c r="M53" t="str">
        <f>CONCATENATE(B53,"-OXIGENO-",F53)</f>
        <v xml:space="preserve"> Oxigeno Industrial B14 / 300BAR-OXIGENO-5,31776</v>
      </c>
    </row>
    <row r="54" spans="1:15">
      <c r="A54">
        <v>39</v>
      </c>
      <c r="B54" s="5" t="s">
        <v>31</v>
      </c>
      <c r="C54" s="31"/>
      <c r="D54" s="22"/>
      <c r="E54" s="22"/>
      <c r="F54" s="45">
        <v>6.0774400000000002</v>
      </c>
      <c r="G54" s="24"/>
      <c r="H54" s="25"/>
      <c r="I54" s="26"/>
      <c r="J54" s="27"/>
      <c r="M54" t="str">
        <f>CONCATENATE(B54,"-OXIGENO-",F54)</f>
        <v xml:space="preserve"> Oxigeno Industriall B16 / 300BAR-OXIGENO-6,07744</v>
      </c>
    </row>
    <row r="55" spans="1:15">
      <c r="A55">
        <v>40</v>
      </c>
      <c r="B55" s="5" t="s">
        <v>32</v>
      </c>
      <c r="C55" s="31"/>
      <c r="D55" s="22"/>
      <c r="E55" s="22"/>
      <c r="F55" s="45">
        <v>7.5968000000000009</v>
      </c>
      <c r="G55" s="24"/>
      <c r="H55" s="25"/>
      <c r="I55" s="26"/>
      <c r="J55" s="27"/>
      <c r="M55" t="str">
        <f>CONCATENATE(B55,"-OXIGENO-",F55)</f>
        <v xml:space="preserve"> Oxigeno Industriall B20 / 300BAR-OXIGENO-7,5968</v>
      </c>
    </row>
    <row r="56" spans="1:15">
      <c r="A56">
        <v>41</v>
      </c>
      <c r="B56" s="5" t="s">
        <v>33</v>
      </c>
      <c r="C56" s="31"/>
      <c r="D56" s="22"/>
      <c r="E56" s="22"/>
      <c r="F56" s="45">
        <v>11.395200000000001</v>
      </c>
      <c r="G56" s="24"/>
      <c r="H56" s="25"/>
      <c r="I56" s="26"/>
      <c r="J56" s="27"/>
      <c r="M56" t="str">
        <f>CONCATENATE(B56,"-OXIGENO-",F56)</f>
        <v xml:space="preserve"> Oxigeno Industriall B30 / 300BAR-OXIGENO-11,3952</v>
      </c>
    </row>
    <row r="57" spans="1:15">
      <c r="A57">
        <v>42</v>
      </c>
      <c r="B57" s="5" t="s">
        <v>34</v>
      </c>
      <c r="C57" s="31"/>
      <c r="D57" s="22"/>
      <c r="E57" s="22"/>
      <c r="F57" s="45">
        <v>15.193600000000002</v>
      </c>
      <c r="G57" s="24"/>
      <c r="H57" s="25"/>
      <c r="I57" s="26"/>
      <c r="J57" s="27"/>
      <c r="M57" t="str">
        <f>CONCATENATE(B57,"-OXIGENO-",F57)</f>
        <v xml:space="preserve"> Oxigeno Industrial B40 / 300BAR-OXIGENO-15,1936</v>
      </c>
    </row>
    <row r="58" spans="1:15">
      <c r="A58">
        <v>43</v>
      </c>
      <c r="B58" s="5" t="s">
        <v>35</v>
      </c>
      <c r="C58" s="31"/>
      <c r="D58" s="22"/>
      <c r="E58" s="22"/>
      <c r="F58" s="45">
        <v>18.992000000000001</v>
      </c>
      <c r="G58" s="24"/>
      <c r="H58" s="25"/>
      <c r="I58" s="26"/>
      <c r="J58" s="27"/>
      <c r="M58" t="str">
        <f>CONCATENATE(B58,"-OXIGENO-",F58)</f>
        <v xml:space="preserve"> Oxigeno Industrial B50 / 300BAR-OXIGENO-18,992</v>
      </c>
    </row>
    <row r="59" spans="1:15">
      <c r="A59">
        <v>44</v>
      </c>
      <c r="B59" s="5" t="s">
        <v>36</v>
      </c>
      <c r="C59" s="31"/>
      <c r="D59" s="22"/>
      <c r="E59" s="22"/>
      <c r="F59" s="45">
        <v>30.387200000000004</v>
      </c>
      <c r="G59" s="24"/>
      <c r="H59" s="25"/>
      <c r="I59" s="26"/>
      <c r="J59" s="27"/>
      <c r="M59" t="str">
        <f>CONCATENATE(B59,"-OXIGENO-",F59)</f>
        <v xml:space="preserve"> Oxigeno Industrial B80 / 300BAR-OXIGENO-30,3872</v>
      </c>
    </row>
    <row r="60" spans="1:15">
      <c r="A60">
        <v>45</v>
      </c>
      <c r="B60" s="5" t="s">
        <v>37</v>
      </c>
      <c r="C60" s="31"/>
      <c r="D60" s="22"/>
      <c r="E60" s="22"/>
      <c r="F60" s="45">
        <v>227.904</v>
      </c>
      <c r="G60" s="24"/>
      <c r="H60" s="25"/>
      <c r="I60" s="26"/>
      <c r="J60" s="27"/>
      <c r="M60" t="str">
        <f>CONCATENATE(B60,"-OXIGENO-",F60)</f>
        <v xml:space="preserve"> Oxigeno Industrial 12*50 / 300BAR-OXIGENO-227,904</v>
      </c>
    </row>
    <row r="61" spans="1:15">
      <c r="A61">
        <v>46</v>
      </c>
      <c r="B61" s="5" t="s">
        <v>38</v>
      </c>
      <c r="C61" s="43"/>
      <c r="D61" s="22"/>
      <c r="E61" s="22"/>
      <c r="F61" s="45">
        <v>303.87200000000001</v>
      </c>
      <c r="H61" s="25"/>
      <c r="M61" t="str">
        <f>CONCATENATE(B61,"-OXIGENO-",F61)</f>
        <v xml:space="preserve"> Oxigeno Industrial 16*50 / 300BAR-OXIGENO-303,872</v>
      </c>
    </row>
    <row r="62" spans="1:15">
      <c r="A62">
        <v>47</v>
      </c>
      <c r="B62" s="5" t="s">
        <v>39</v>
      </c>
      <c r="C62" s="31"/>
      <c r="D62" s="51"/>
      <c r="E62" s="51"/>
      <c r="F62" s="44">
        <v>364.64640000000003</v>
      </c>
      <c r="G62" s="60"/>
      <c r="H62" s="57"/>
      <c r="I62" s="29"/>
      <c r="J62" s="30"/>
      <c r="M62" t="str">
        <f>CONCATENATE(B62,"-OXIGENO-",F62)</f>
        <v xml:space="preserve"> Oxigeno Industrial 12*80 / 300BAR-OXIGENO-364,6464</v>
      </c>
    </row>
    <row r="63" spans="1:15">
      <c r="A63">
        <v>48</v>
      </c>
      <c r="B63" s="5" t="s">
        <v>40</v>
      </c>
      <c r="C63" s="43"/>
      <c r="D63" s="32"/>
      <c r="E63" s="32"/>
      <c r="F63" s="23">
        <v>486.19520000000006</v>
      </c>
      <c r="G63" s="24"/>
      <c r="H63" s="25"/>
      <c r="I63" s="26"/>
      <c r="J63" s="27"/>
      <c r="M63" t="str">
        <f>CONCATENATE(B63,"-OXIGENO-",F63)</f>
        <v xml:space="preserve"> Oxigeno Industrial 16*80 / 300BAR-OXIGENO-486,1952</v>
      </c>
    </row>
    <row r="64" spans="1:15">
      <c r="A64">
        <v>51</v>
      </c>
      <c r="B64" s="4" t="s">
        <v>41</v>
      </c>
      <c r="C64" s="43"/>
      <c r="D64" s="32"/>
      <c r="E64" s="32"/>
      <c r="F64" s="23"/>
      <c r="G64" s="24"/>
      <c r="H64" s="25">
        <v>0.70979999999999999</v>
      </c>
      <c r="I64" s="26"/>
      <c r="J64" s="27"/>
      <c r="O64" t="str">
        <f>CONCATENATE(B64,"-ARGON-",H64)</f>
        <v>Argón industrial B2 / 200BAR-ARGON-0,7098</v>
      </c>
    </row>
    <row r="65" spans="1:15">
      <c r="A65">
        <v>52</v>
      </c>
      <c r="B65" s="4" t="s">
        <v>42</v>
      </c>
      <c r="C65" s="43"/>
      <c r="D65" s="22"/>
      <c r="E65" s="22"/>
      <c r="F65" s="45"/>
      <c r="G65" s="24"/>
      <c r="H65" s="25">
        <v>1.7745</v>
      </c>
      <c r="I65" s="26"/>
      <c r="J65" s="27"/>
      <c r="O65" t="str">
        <f>CONCATENATE(B65,"-ARGON-",H65)</f>
        <v>Argón industrial B5 / 200BAR-ARGON-1,7745</v>
      </c>
    </row>
    <row r="66" spans="1:15">
      <c r="A66">
        <v>53</v>
      </c>
      <c r="B66" s="3" t="s">
        <v>43</v>
      </c>
      <c r="C66" s="43"/>
      <c r="D66" s="22"/>
      <c r="E66" s="22"/>
      <c r="F66" s="45"/>
      <c r="G66" s="24"/>
      <c r="H66" s="25">
        <v>2.4842999999999997</v>
      </c>
      <c r="I66" s="26"/>
      <c r="J66" s="27"/>
      <c r="O66" t="str">
        <f>CONCATENATE(B66,"-ARGON-",H66)</f>
        <v>Argón industrial B7 / 200BAR-ARGON-2,4843</v>
      </c>
    </row>
    <row r="67" spans="1:15">
      <c r="A67">
        <v>54</v>
      </c>
      <c r="B67" s="3" t="s">
        <v>44</v>
      </c>
      <c r="D67" s="22"/>
      <c r="E67" s="22"/>
      <c r="F67" s="45"/>
      <c r="G67" s="24"/>
      <c r="H67" s="25">
        <v>3.5489999999999999</v>
      </c>
      <c r="I67" s="26"/>
      <c r="J67" s="27"/>
      <c r="O67" t="str">
        <f>CONCATENATE(B67,"-ARGON-",H67)</f>
        <v>Argón industrial B10 / 200BAR-ARGON-3,549</v>
      </c>
    </row>
    <row r="68" spans="1:15">
      <c r="A68">
        <v>55</v>
      </c>
      <c r="B68" s="4" t="s">
        <v>45</v>
      </c>
      <c r="D68" s="22"/>
      <c r="E68" s="22"/>
      <c r="F68" s="45"/>
      <c r="G68" s="24"/>
      <c r="H68" s="25">
        <v>4.9685999999999995</v>
      </c>
      <c r="I68" s="26"/>
      <c r="J68" s="27"/>
      <c r="O68" t="str">
        <f>CONCATENATE(B68,"-ARGON-",H68)</f>
        <v>Argón industrial B14 / 200BAR-ARGON-4,9686</v>
      </c>
    </row>
    <row r="69" spans="1:15">
      <c r="A69">
        <v>56</v>
      </c>
      <c r="B69" s="4" t="s">
        <v>46</v>
      </c>
      <c r="C69" s="56"/>
      <c r="D69" s="51"/>
      <c r="E69" s="51"/>
      <c r="F69" s="45"/>
      <c r="G69" s="24"/>
      <c r="H69" s="25">
        <v>5.6783999999999999</v>
      </c>
      <c r="I69" s="26"/>
      <c r="J69" s="27"/>
      <c r="O69" t="str">
        <f>CONCATENATE(B69,"-ARGON-",H69)</f>
        <v>Argón industrial B16 / 200BAR-ARGON-5,6784</v>
      </c>
    </row>
    <row r="70" spans="1:15">
      <c r="A70">
        <v>57</v>
      </c>
      <c r="B70" s="4" t="s">
        <v>47</v>
      </c>
      <c r="C70" s="56"/>
      <c r="D70" s="51"/>
      <c r="E70" s="51"/>
      <c r="F70" s="45"/>
      <c r="G70" s="24"/>
      <c r="H70" s="25">
        <v>7.0979999999999999</v>
      </c>
      <c r="I70" s="26"/>
      <c r="J70" s="27"/>
      <c r="O70" t="str">
        <f>CONCATENATE(B70,"-ARGON-",H70)</f>
        <v>Argón industrial B20 / 200BAR-ARGON-7,098</v>
      </c>
    </row>
    <row r="71" spans="1:15">
      <c r="A71">
        <v>58</v>
      </c>
      <c r="B71" s="4" t="s">
        <v>48</v>
      </c>
      <c r="C71" s="56"/>
      <c r="D71" s="51"/>
      <c r="E71" s="51"/>
      <c r="F71" s="45"/>
      <c r="G71" s="24"/>
      <c r="H71" s="25">
        <v>8.8725000000000005</v>
      </c>
      <c r="I71" s="26"/>
      <c r="J71" s="27"/>
      <c r="O71" t="str">
        <f>CONCATENATE(B71,"-ARGON-",H71)</f>
        <v>Argón industrial B25 / 200BAR-ARGON-8,8725</v>
      </c>
    </row>
    <row r="72" spans="1:15">
      <c r="A72">
        <v>59</v>
      </c>
      <c r="B72" s="4" t="s">
        <v>49</v>
      </c>
      <c r="C72" s="56"/>
      <c r="D72" s="51"/>
      <c r="E72" s="51"/>
      <c r="F72" s="45"/>
      <c r="G72" s="24"/>
      <c r="H72" s="25">
        <v>10.647</v>
      </c>
      <c r="I72" s="26"/>
      <c r="J72" s="27"/>
      <c r="O72" t="str">
        <f>CONCATENATE(B72,"-ARGON-",H72)</f>
        <v>Argón industrial B30 / 200BAR-ARGON-10,647</v>
      </c>
    </row>
    <row r="73" spans="1:15">
      <c r="A73">
        <v>60</v>
      </c>
      <c r="B73" s="4" t="s">
        <v>50</v>
      </c>
      <c r="C73" s="56"/>
      <c r="D73" s="51"/>
      <c r="E73" s="51"/>
      <c r="F73" s="45"/>
      <c r="G73" s="24"/>
      <c r="H73" s="25">
        <v>14.196</v>
      </c>
      <c r="I73" s="26"/>
      <c r="J73" s="27"/>
      <c r="O73" t="str">
        <f>CONCATENATE(B73,"-ARGON-",H73)</f>
        <v>Argón industrial B40 / 200BAR-ARGON-14,196</v>
      </c>
    </row>
    <row r="74" spans="1:15">
      <c r="A74">
        <v>61</v>
      </c>
      <c r="B74" s="4" t="s">
        <v>51</v>
      </c>
      <c r="C74" s="56"/>
      <c r="D74" s="51"/>
      <c r="E74" s="51"/>
      <c r="F74" s="45"/>
      <c r="G74" s="24"/>
      <c r="H74" s="25">
        <v>17.745000000000001</v>
      </c>
      <c r="I74" s="26"/>
      <c r="J74" s="27"/>
      <c r="O74" t="str">
        <f>CONCATENATE(B74,"-ARGON-",H74)</f>
        <v>Argón industrial B50 / 200BAR-ARGON-17,745</v>
      </c>
    </row>
    <row r="75" spans="1:15">
      <c r="A75">
        <v>62</v>
      </c>
      <c r="B75" s="4" t="s">
        <v>52</v>
      </c>
      <c r="C75" s="56"/>
      <c r="D75" s="51"/>
      <c r="E75" s="51"/>
      <c r="F75" s="45"/>
      <c r="G75" s="24"/>
      <c r="H75" s="25">
        <v>28.391999999999999</v>
      </c>
      <c r="I75" s="26"/>
      <c r="J75" s="27"/>
      <c r="O75" t="str">
        <f>CONCATENATE(B75,"-ARGON-",H75)</f>
        <v>Argón industrial B80 / 200BAR-ARGON-28,392</v>
      </c>
    </row>
    <row r="76" spans="1:15">
      <c r="A76">
        <v>63</v>
      </c>
      <c r="B76" s="4" t="s">
        <v>53</v>
      </c>
      <c r="C76" s="56"/>
      <c r="D76" s="51"/>
      <c r="E76" s="51"/>
      <c r="F76" s="45"/>
      <c r="G76" s="24"/>
      <c r="H76" s="25">
        <v>212.94</v>
      </c>
      <c r="I76" s="26"/>
      <c r="J76" s="27"/>
      <c r="O76" t="str">
        <f>CONCATENATE(B76,"-ARGON-",H76)</f>
        <v>Argón industrial 12*50 / 200BAR-ARGON-212,94</v>
      </c>
    </row>
    <row r="77" spans="1:15">
      <c r="A77">
        <v>64</v>
      </c>
      <c r="B77" s="4" t="s">
        <v>54</v>
      </c>
      <c r="C77" s="56"/>
      <c r="D77" s="51"/>
      <c r="E77" s="51"/>
      <c r="F77" s="45"/>
      <c r="H77" s="46">
        <v>283.92</v>
      </c>
      <c r="O77" t="str">
        <f>CONCATENATE(B77,"-ARGON-",H77)</f>
        <v>Argón industrial 16*50 / 200BAR-ARGON-283,92</v>
      </c>
    </row>
    <row r="78" spans="1:15">
      <c r="A78">
        <v>65</v>
      </c>
      <c r="B78" s="4" t="s">
        <v>55</v>
      </c>
      <c r="C78" s="56"/>
      <c r="D78" s="51"/>
      <c r="E78" s="51"/>
      <c r="F78" s="52"/>
      <c r="G78" s="58"/>
      <c r="H78" s="59">
        <v>340.70400000000001</v>
      </c>
      <c r="I78" s="38"/>
      <c r="J78" s="39"/>
      <c r="O78" t="str">
        <f>CONCATENATE(B78,"-ARGON-",H78)</f>
        <v>Argón industrial 12*80 / 200BAR-ARGON-340,704</v>
      </c>
    </row>
    <row r="79" spans="1:15">
      <c r="A79">
        <v>66</v>
      </c>
      <c r="B79" s="4" t="s">
        <v>56</v>
      </c>
      <c r="C79" s="56"/>
      <c r="D79" s="51"/>
      <c r="E79" s="51"/>
      <c r="F79" s="52"/>
      <c r="G79" s="41"/>
      <c r="H79" s="28">
        <v>454.27199999999999</v>
      </c>
      <c r="I79" s="29"/>
      <c r="J79" s="30"/>
      <c r="O79" t="str">
        <f>CONCATENATE(B79,"-ARGON-",H79)</f>
        <v>Argón industrial 16*80 / 200BAR-ARGON-454,272</v>
      </c>
    </row>
    <row r="80" spans="1:15">
      <c r="A80">
        <v>69</v>
      </c>
      <c r="B80" s="5" t="s">
        <v>57</v>
      </c>
      <c r="C80" s="56"/>
      <c r="D80" s="50"/>
      <c r="E80" s="50"/>
      <c r="F80" s="40"/>
      <c r="G80" s="41"/>
      <c r="H80" s="28">
        <v>1.0647</v>
      </c>
      <c r="I80" s="29"/>
      <c r="J80" s="30"/>
      <c r="O80" t="str">
        <f>CONCATENATE(B80,"-ARGON-",H80)</f>
        <v>Argón industrial B2 / 300BAR-ARGON-1,0647</v>
      </c>
    </row>
    <row r="81" spans="1:16">
      <c r="A81">
        <v>70</v>
      </c>
      <c r="B81" s="5" t="s">
        <v>58</v>
      </c>
      <c r="C81" s="43"/>
      <c r="D81" s="32"/>
      <c r="E81" s="32"/>
      <c r="F81" s="40"/>
      <c r="G81" s="41"/>
      <c r="H81" s="28">
        <v>2.6617500000000001</v>
      </c>
      <c r="I81" s="29"/>
      <c r="J81" s="30"/>
      <c r="O81" t="str">
        <f>CONCATENATE(B81,"-ARGON-",H81)</f>
        <v>Argón industrial B5 /300BAR-ARGON-2,66175</v>
      </c>
    </row>
    <row r="82" spans="1:16">
      <c r="A82">
        <v>71</v>
      </c>
      <c r="B82" s="5" t="s">
        <v>59</v>
      </c>
      <c r="D82" s="22"/>
      <c r="E82" s="22"/>
      <c r="F82" s="52"/>
      <c r="G82" s="41"/>
      <c r="H82" s="28">
        <v>3.7264499999999998</v>
      </c>
      <c r="I82" s="29"/>
      <c r="J82" s="30"/>
      <c r="O82" t="str">
        <f>CONCATENATE(B82,"-ARGON-",H82)</f>
        <v>Argón industrial B7 / 300BAR-ARGON-3,72645</v>
      </c>
    </row>
    <row r="83" spans="1:16">
      <c r="A83">
        <v>72</v>
      </c>
      <c r="B83" s="6" t="s">
        <v>60</v>
      </c>
      <c r="D83" s="22"/>
      <c r="E83" s="22"/>
      <c r="F83" s="52"/>
      <c r="G83" s="41"/>
      <c r="H83" s="28">
        <v>5.3235000000000001</v>
      </c>
      <c r="I83" s="29"/>
      <c r="J83" s="30"/>
      <c r="O83" t="str">
        <f>CONCATENATE(B83,"-ARGON-",H83)</f>
        <v>Argón industrial B10 / 300BAR-ARGON-5,3235</v>
      </c>
    </row>
    <row r="84" spans="1:16">
      <c r="A84">
        <v>73</v>
      </c>
      <c r="B84" s="6" t="s">
        <v>61</v>
      </c>
      <c r="D84" s="22"/>
      <c r="E84" s="22"/>
      <c r="F84" s="52"/>
      <c r="G84" s="41"/>
      <c r="H84" s="28">
        <v>7.4528999999999996</v>
      </c>
      <c r="I84" s="29"/>
      <c r="J84" s="30"/>
      <c r="O84" t="str">
        <f>CONCATENATE(B84,"-ARGON-",H84)</f>
        <v>Argón industrial B14 / 300BAR-ARGON-7,4529</v>
      </c>
    </row>
    <row r="85" spans="1:16">
      <c r="A85">
        <v>74</v>
      </c>
      <c r="B85" s="5" t="s">
        <v>62</v>
      </c>
      <c r="D85" s="22"/>
      <c r="E85" s="22"/>
      <c r="F85" s="52"/>
      <c r="G85" s="41"/>
      <c r="H85" s="28">
        <v>8.5175999999999998</v>
      </c>
      <c r="I85" s="29"/>
      <c r="J85" s="30"/>
      <c r="O85" t="str">
        <f>CONCATENATE(B85,"-ARGON-",H85)</f>
        <v>Argón industrial B16 / 300BAR-ARGON-8,5176</v>
      </c>
    </row>
    <row r="86" spans="1:16">
      <c r="A86">
        <v>75</v>
      </c>
      <c r="B86" s="5" t="s">
        <v>63</v>
      </c>
      <c r="D86" s="22"/>
      <c r="E86" s="22"/>
      <c r="F86" s="52"/>
      <c r="G86" s="41"/>
      <c r="H86" s="28">
        <v>10.647</v>
      </c>
      <c r="I86" s="29"/>
      <c r="J86" s="30"/>
      <c r="O86" t="str">
        <f>CONCATENATE(B86,"-ARGON-",H86)</f>
        <v>Argón industrial B20 /300BAR-ARGON-10,647</v>
      </c>
    </row>
    <row r="87" spans="1:16">
      <c r="A87">
        <v>76</v>
      </c>
      <c r="B87" s="5" t="s">
        <v>64</v>
      </c>
      <c r="D87" s="22"/>
      <c r="E87" s="22"/>
      <c r="F87" s="52"/>
      <c r="G87" s="41"/>
      <c r="H87" s="28">
        <v>15.970499999999998</v>
      </c>
      <c r="I87" s="29"/>
      <c r="J87" s="30"/>
      <c r="O87" t="str">
        <f>CONCATENATE(B87,"-ARGON-",H87)</f>
        <v>Argón industrial B30 / 300BAR-ARGON-15,9705</v>
      </c>
    </row>
    <row r="88" spans="1:16">
      <c r="A88">
        <v>77</v>
      </c>
      <c r="B88" s="5" t="s">
        <v>65</v>
      </c>
      <c r="D88" s="22"/>
      <c r="E88" s="22"/>
      <c r="F88" s="52"/>
      <c r="G88" s="41"/>
      <c r="H88" s="28">
        <v>21.294</v>
      </c>
      <c r="I88" s="29"/>
      <c r="J88" s="30"/>
      <c r="O88" t="str">
        <f>CONCATENATE(B88,"-ARGON-",H88)</f>
        <v>Argón industrial B40 / 300BAR-ARGON-21,294</v>
      </c>
    </row>
    <row r="89" spans="1:16">
      <c r="A89">
        <v>78</v>
      </c>
      <c r="B89" s="5" t="s">
        <v>66</v>
      </c>
      <c r="D89" s="22"/>
      <c r="E89" s="22"/>
      <c r="F89" s="52"/>
      <c r="G89" s="41"/>
      <c r="H89" s="28">
        <v>26.6175</v>
      </c>
      <c r="I89" s="29"/>
      <c r="J89" s="30"/>
      <c r="O89" t="str">
        <f>CONCATENATE(B89,"-ARGON-",H89)</f>
        <v>Argón industrial B50 / 300BAR-ARGON-26,6175</v>
      </c>
    </row>
    <row r="90" spans="1:16">
      <c r="A90">
        <v>79</v>
      </c>
      <c r="B90" s="5" t="s">
        <v>67</v>
      </c>
      <c r="D90" s="22"/>
      <c r="E90" s="22"/>
      <c r="F90" s="52"/>
      <c r="G90" s="41"/>
      <c r="H90" s="28">
        <v>42.588000000000001</v>
      </c>
      <c r="I90" s="29"/>
      <c r="J90" s="30"/>
      <c r="O90" t="str">
        <f>CONCATENATE(B90,"-ARGON-",H90)</f>
        <v>Argón industrial B80 / 300BAR-ARGON-42,588</v>
      </c>
    </row>
    <row r="91" spans="1:16">
      <c r="A91">
        <v>80</v>
      </c>
      <c r="B91" s="5" t="s">
        <v>68</v>
      </c>
      <c r="D91" s="22"/>
      <c r="E91" s="22"/>
      <c r="F91" s="52"/>
      <c r="G91" s="41"/>
      <c r="H91" s="28">
        <v>319.40999999999997</v>
      </c>
      <c r="I91" s="29"/>
      <c r="J91" s="30"/>
      <c r="O91" t="str">
        <f>CONCATENATE(B91,"-ARGON-",H91)</f>
        <v>Argón industrial 12*50 / 300BAR-ARGON-319,41</v>
      </c>
    </row>
    <row r="92" spans="1:16">
      <c r="A92">
        <v>81</v>
      </c>
      <c r="B92" s="5" t="s">
        <v>69</v>
      </c>
      <c r="D92" s="22"/>
      <c r="E92" s="22"/>
      <c r="F92" s="52"/>
      <c r="G92" s="41"/>
      <c r="H92" s="28">
        <v>425.88</v>
      </c>
      <c r="I92" s="29"/>
      <c r="J92" s="30"/>
      <c r="O92" t="str">
        <f>CONCATENATE(B92,"-ARGON-",H92)</f>
        <v>Argón industrial 16*50 / 300BAR-ARGON-425,88</v>
      </c>
    </row>
    <row r="93" spans="1:16">
      <c r="A93">
        <v>82</v>
      </c>
      <c r="B93" s="5" t="s">
        <v>70</v>
      </c>
      <c r="D93" s="42"/>
      <c r="E93" s="42"/>
      <c r="F93" s="44"/>
      <c r="G93" s="60"/>
      <c r="H93" s="57">
        <v>511.05599999999993</v>
      </c>
      <c r="I93" s="38"/>
      <c r="J93" s="30"/>
      <c r="O93" t="str">
        <f>CONCATENATE(B93,"-ARGON-",H93)</f>
        <v>Argón industrial 12*80 / 300BAR-ARGON-511,056</v>
      </c>
    </row>
    <row r="94" spans="1:16">
      <c r="A94">
        <v>83</v>
      </c>
      <c r="B94" s="5" t="s">
        <v>71</v>
      </c>
      <c r="D94" s="22"/>
      <c r="E94" s="22"/>
      <c r="F94" s="45"/>
      <c r="G94" s="24"/>
      <c r="H94" s="25">
        <v>681.40800000000002</v>
      </c>
      <c r="I94" s="26"/>
      <c r="J94" s="27"/>
      <c r="O94" t="str">
        <f>CONCATENATE(B94,"-ARGON-",H94)</f>
        <v>Argón industrial 16*80 / 300BAR-ARGON-681,408</v>
      </c>
    </row>
    <row r="95" spans="1:16">
      <c r="A95">
        <v>86</v>
      </c>
      <c r="B95" s="4" t="s">
        <v>72</v>
      </c>
      <c r="C95" s="43"/>
      <c r="D95" s="22"/>
      <c r="E95" s="22"/>
      <c r="F95" s="45"/>
      <c r="G95" s="24">
        <v>0.126198</v>
      </c>
      <c r="H95" s="25">
        <v>0.65504399999999996</v>
      </c>
      <c r="I95" s="26"/>
      <c r="J95" s="27"/>
      <c r="O95" t="str">
        <f>CONCATENATE(B95,"-ARGON-",H95)</f>
        <v>QC 15 (Ar 85%, CO2 15%) B2 / 200BAR-ARGON-0,655044</v>
      </c>
      <c r="P95" t="str">
        <f>CONCATENATE(B95,"-CO2-",G95)</f>
        <v>QC 15 (Ar 85%, CO2 15%) B2 / 200BAR-CO2-0,126198</v>
      </c>
    </row>
    <row r="96" spans="1:16">
      <c r="A96">
        <v>87</v>
      </c>
      <c r="B96" s="4" t="s">
        <v>73</v>
      </c>
      <c r="C96" s="43"/>
      <c r="D96" s="22"/>
      <c r="E96" s="22"/>
      <c r="F96" s="45"/>
      <c r="G96" s="24">
        <v>0.31549500000000003</v>
      </c>
      <c r="H96" s="25">
        <v>1.63761</v>
      </c>
      <c r="I96" s="26"/>
      <c r="J96" s="27"/>
      <c r="O96" t="str">
        <f>CONCATENATE(B96,"-ARGON-",H96)</f>
        <v>QC 15 (Ar 85%, CO2 15%) B5 / 200BAR-ARGON-1,63761</v>
      </c>
      <c r="P96" t="str">
        <f>CONCATENATE(B96,"-CO2-",G96)</f>
        <v>QC 15 (Ar 85%, CO2 15%) B5 / 200BAR-CO2-0,315495</v>
      </c>
    </row>
    <row r="97" spans="1:16">
      <c r="A97">
        <v>88</v>
      </c>
      <c r="B97" s="4" t="s">
        <v>74</v>
      </c>
      <c r="C97" s="43"/>
      <c r="D97" s="32"/>
      <c r="E97" s="32"/>
      <c r="F97" s="23"/>
      <c r="G97" s="24">
        <v>0.44169300000000006</v>
      </c>
      <c r="H97" s="25">
        <v>2.2926540000000002</v>
      </c>
      <c r="I97" s="26"/>
      <c r="J97" s="27"/>
      <c r="O97" t="str">
        <f>CONCATENATE(B97,"-ARGON-",H97)</f>
        <v>QC 15 (Ar 85%, CO2 15%) B7 / 200BAR-ARGON-2,292654</v>
      </c>
      <c r="P97" t="str">
        <f>CONCATENATE(B97,"-CO2-",G97)</f>
        <v>QC 15 (Ar 85%, CO2 15%) B7 / 200BAR-CO2-0,441693</v>
      </c>
    </row>
    <row r="98" spans="1:16">
      <c r="A98">
        <v>89</v>
      </c>
      <c r="B98" s="4" t="s">
        <v>75</v>
      </c>
      <c r="C98" s="43"/>
      <c r="D98" s="32"/>
      <c r="E98" s="32"/>
      <c r="F98" s="23"/>
      <c r="G98" s="24">
        <v>0.63099000000000005</v>
      </c>
      <c r="H98" s="25">
        <v>3.27522</v>
      </c>
      <c r="I98" s="26"/>
      <c r="J98" s="27"/>
      <c r="O98" t="str">
        <f>CONCATENATE(B98,"-ARGON-",H98)</f>
        <v>QC 15 (Ar 85%, CO2 15%) B10 / 200BAR-ARGON-3,27522</v>
      </c>
      <c r="P98" t="str">
        <f>CONCATENATE(B98,"-CO2-",G98)</f>
        <v>QC 15 (Ar 85%, CO2 15%) B10 / 200BAR-CO2-0,63099</v>
      </c>
    </row>
    <row r="99" spans="1:16">
      <c r="A99">
        <v>90</v>
      </c>
      <c r="B99" s="4" t="s">
        <v>76</v>
      </c>
      <c r="D99" s="22"/>
      <c r="E99" s="22"/>
      <c r="F99" s="45"/>
      <c r="G99" s="24">
        <v>0.88338600000000012</v>
      </c>
      <c r="H99" s="25">
        <v>4.5853080000000004</v>
      </c>
      <c r="I99" s="26"/>
      <c r="J99" s="27"/>
      <c r="O99" t="str">
        <f>CONCATENATE(B99,"-ARGON-",H99)</f>
        <v>QC 15 (Ar 85%, CO2 15%) B14 / 200BAR-ARGON-4,585308</v>
      </c>
      <c r="P99" t="str">
        <f>CONCATENATE(B99,"-CO2-",G99)</f>
        <v>QC 15 (Ar 85%, CO2 15%) B14 / 200BAR-CO2-0,883386</v>
      </c>
    </row>
    <row r="100" spans="1:16">
      <c r="A100">
        <v>91</v>
      </c>
      <c r="B100" s="3" t="s">
        <v>77</v>
      </c>
      <c r="D100" s="22"/>
      <c r="E100" s="22"/>
      <c r="F100" s="45"/>
      <c r="G100" s="24">
        <v>1.009584</v>
      </c>
      <c r="H100" s="25">
        <v>5.2403519999999997</v>
      </c>
      <c r="I100" s="26"/>
      <c r="J100" s="27"/>
      <c r="O100" t="str">
        <f>CONCATENATE(B100,"-ARGON-",H100)</f>
        <v>QC 15 (Ar 85%, CO2 15%) B16 / 200BAR-ARGON-5,240352</v>
      </c>
      <c r="P100" t="str">
        <f>CONCATENATE(B100,"-CO2-",G100)</f>
        <v>QC 15 (Ar 85%, CO2 15%) B16 / 200BAR-CO2-1,009584</v>
      </c>
    </row>
    <row r="101" spans="1:16">
      <c r="A101">
        <v>92</v>
      </c>
      <c r="B101" s="3" t="s">
        <v>78</v>
      </c>
      <c r="D101" s="22"/>
      <c r="E101" s="22"/>
      <c r="F101" s="45"/>
      <c r="G101" s="24">
        <v>1.2619800000000001</v>
      </c>
      <c r="H101" s="25">
        <v>6.55044</v>
      </c>
      <c r="I101" s="26"/>
      <c r="J101" s="27"/>
      <c r="O101" t="str">
        <f>CONCATENATE(B101,"-ARGON-",H101)</f>
        <v>QC 15 (Ar 85%, CO2 15%) B20 / 200BAR-ARGON-6,55044</v>
      </c>
      <c r="P101" t="str">
        <f>CONCATENATE(B101,"-CO2-",G101)</f>
        <v>QC 15 (Ar 85%, CO2 15%) B20 / 200BAR-CO2-1,26198</v>
      </c>
    </row>
    <row r="102" spans="1:16">
      <c r="A102">
        <v>93</v>
      </c>
      <c r="B102" s="4" t="s">
        <v>79</v>
      </c>
      <c r="D102" s="22"/>
      <c r="E102" s="22"/>
      <c r="F102" s="45"/>
      <c r="G102" s="24">
        <v>1.89297</v>
      </c>
      <c r="H102" s="25">
        <v>9.8256599999999992</v>
      </c>
      <c r="I102" s="26"/>
      <c r="J102" s="27"/>
      <c r="O102" t="str">
        <f>CONCATENATE(B102,"-ARGON-",H102)</f>
        <v>QC 15 (Ar 85%, CO2 15%) B30 / 200BAR-ARGON-9,82566</v>
      </c>
      <c r="P102" t="str">
        <f>CONCATENATE(B102,"-CO2-",G102)</f>
        <v>QC 15 (Ar 85%, CO2 15%) B30 / 200BAR-CO2-1,89297</v>
      </c>
    </row>
    <row r="103" spans="1:16">
      <c r="A103">
        <v>94</v>
      </c>
      <c r="B103" s="4" t="s">
        <v>80</v>
      </c>
      <c r="C103" s="43"/>
      <c r="D103" s="22"/>
      <c r="E103" s="22"/>
      <c r="F103" s="45"/>
      <c r="G103" s="24">
        <v>2.5239600000000002</v>
      </c>
      <c r="H103" s="25">
        <v>13.10088</v>
      </c>
      <c r="I103" s="26"/>
      <c r="J103" s="27"/>
      <c r="O103" t="str">
        <f>CONCATENATE(B103,"-ARGON-",H103)</f>
        <v>QC 15 (Ar 85%, CO2 15%) B40 / 200BAR-ARGON-13,10088</v>
      </c>
      <c r="P103" t="str">
        <f>CONCATENATE(B103,"-CO2-",G103)</f>
        <v>QC 15 (Ar 85%, CO2 15%) B40 / 200BAR-CO2-2,52396</v>
      </c>
    </row>
    <row r="104" spans="1:16">
      <c r="A104">
        <v>95</v>
      </c>
      <c r="B104" s="4" t="s">
        <v>81</v>
      </c>
      <c r="C104" s="43"/>
      <c r="D104" s="22"/>
      <c r="E104" s="22"/>
      <c r="F104" s="45"/>
      <c r="G104" s="24">
        <v>3.1549499999999999</v>
      </c>
      <c r="H104" s="25">
        <v>16.376099999999997</v>
      </c>
      <c r="I104" s="26"/>
      <c r="J104" s="27"/>
      <c r="O104" t="str">
        <f>CONCATENATE(B104,"-ARGON-",H104)</f>
        <v>QC 15 (Ar 85%, CO2 15%) B50 / 200BAR-ARGON-16,3761</v>
      </c>
      <c r="P104" t="str">
        <f>CONCATENATE(B104,"-CO2-",G104)</f>
        <v>QC 15 (Ar 85%, CO2 15%) B50 / 200BAR-CO2-3,15495</v>
      </c>
    </row>
    <row r="105" spans="1:16">
      <c r="A105">
        <v>96</v>
      </c>
      <c r="B105" s="4" t="s">
        <v>82</v>
      </c>
      <c r="C105" s="43"/>
      <c r="D105" s="22"/>
      <c r="E105" s="22"/>
      <c r="F105" s="45"/>
      <c r="G105" s="24">
        <v>5.0479200000000004</v>
      </c>
      <c r="H105" s="25">
        <v>26.20176</v>
      </c>
      <c r="I105" s="26"/>
      <c r="J105" s="27"/>
      <c r="O105" t="str">
        <f>CONCATENATE(B105,"-ARGON-",H105)</f>
        <v>QC 15 (Ar 85%, CO2 15%) B80 / 200BAR-ARGON-26,20176</v>
      </c>
      <c r="P105" t="str">
        <f>CONCATENATE(B105,"-CO2-",G105)</f>
        <v>QC 15 (Ar 85%, CO2 15%) B80 / 200BAR-CO2-5,04792</v>
      </c>
    </row>
    <row r="106" spans="1:16">
      <c r="A106">
        <v>97</v>
      </c>
      <c r="B106" s="4" t="s">
        <v>83</v>
      </c>
      <c r="C106" s="43"/>
      <c r="D106" s="22"/>
      <c r="E106" s="22"/>
      <c r="F106" s="45"/>
      <c r="G106" s="24">
        <v>37.859400000000008</v>
      </c>
      <c r="H106" s="25">
        <v>196.51320000000001</v>
      </c>
      <c r="I106" s="26"/>
      <c r="J106" s="27"/>
      <c r="O106" t="str">
        <f>CONCATENATE(B106,"-ARGON-",H106)</f>
        <v>QC 15 (Ar 85%, CO2 15%) 12*50 / 200BAR-ARGON-196,5132</v>
      </c>
      <c r="P106" t="str">
        <f>CONCATENATE(B106,"-CO2-",G106)</f>
        <v>QC 15 (Ar 85%, CO2 15%) 12*50 / 200BAR-CO2-37,8594</v>
      </c>
    </row>
    <row r="107" spans="1:16">
      <c r="A107">
        <v>98</v>
      </c>
      <c r="B107" s="4" t="s">
        <v>84</v>
      </c>
      <c r="D107" s="22"/>
      <c r="E107" s="22"/>
      <c r="F107" s="45"/>
      <c r="G107" s="24">
        <v>50.479199999999999</v>
      </c>
      <c r="H107" s="25">
        <v>262.01759999999996</v>
      </c>
      <c r="I107" s="26"/>
      <c r="J107" s="27"/>
      <c r="O107" t="str">
        <f>CONCATENATE(B107,"-ARGON-",H107)</f>
        <v>QC 15 (Ar 85%, CO2 15%) 16*50 / 200BAR-ARGON-262,0176</v>
      </c>
      <c r="P107" t="str">
        <f>CONCATENATE(B107,"-CO2-",G107)</f>
        <v>QC 15 (Ar 85%, CO2 15%) 16*50 / 200BAR-CO2-50,4792</v>
      </c>
    </row>
    <row r="108" spans="1:16">
      <c r="A108">
        <v>99</v>
      </c>
      <c r="B108" s="4" t="s">
        <v>85</v>
      </c>
      <c r="D108" s="51"/>
      <c r="E108" s="51"/>
      <c r="F108" s="52"/>
      <c r="G108" s="41">
        <v>60.575040000000001</v>
      </c>
      <c r="H108" s="28">
        <v>314.42111999999997</v>
      </c>
      <c r="I108" s="29"/>
      <c r="J108" s="30"/>
      <c r="O108" t="str">
        <f>CONCATENATE(B108,"-ARGON-",H108)</f>
        <v>QC 15 (Ar 85%, CO2 15%) 12*80 / 200BAR-ARGON-314,42112</v>
      </c>
      <c r="P108" t="str">
        <f>CONCATENATE(B108,"-CO2-",G108)</f>
        <v>QC 15 (Ar 85%, CO2 15%) 12*80 / 200BAR-CO2-60,57504</v>
      </c>
    </row>
    <row r="109" spans="1:16">
      <c r="A109">
        <v>100</v>
      </c>
      <c r="B109" s="4" t="s">
        <v>86</v>
      </c>
      <c r="D109" s="51"/>
      <c r="E109" s="51"/>
      <c r="F109" s="52"/>
      <c r="G109" s="41">
        <v>80.766720000000007</v>
      </c>
      <c r="H109" s="28">
        <v>419.22816</v>
      </c>
      <c r="I109" s="29"/>
      <c r="J109" s="30"/>
      <c r="O109" t="str">
        <f>CONCATENATE(B109,"-ARGON-",H109)</f>
        <v>QC 15 (Ar 85%, CO2 15%) 16*80 / 200BAR-ARGON-419,22816</v>
      </c>
      <c r="P109" t="str">
        <f>CONCATENATE(B109,"-CO2-",G109)</f>
        <v>QC 15 (Ar 85%, CO2 15%) 16*80 / 200BAR-CO2-80,76672</v>
      </c>
    </row>
    <row r="110" spans="1:16">
      <c r="A110">
        <v>103</v>
      </c>
      <c r="B110" s="5" t="s">
        <v>87</v>
      </c>
      <c r="C110" s="43"/>
      <c r="D110" s="51"/>
      <c r="E110" s="51"/>
      <c r="F110" s="52"/>
      <c r="G110" s="41">
        <v>0.18929700000000002</v>
      </c>
      <c r="H110" s="28">
        <v>0.98256600000000005</v>
      </c>
      <c r="I110" s="29"/>
      <c r="J110" s="30"/>
      <c r="O110" t="str">
        <f>CONCATENATE(B110,"-ARGON-",H110)</f>
        <v>QC 15 (Ar 85%, CO2 15%) B2 / 300BAR-ARGON-0,982566</v>
      </c>
      <c r="P110" t="str">
        <f>CONCATENATE(B110,"-CO2-",G110)</f>
        <v>QC 15 (Ar 85%, CO2 15%) B2 / 300BAR-CO2-0,189297</v>
      </c>
    </row>
    <row r="111" spans="1:16">
      <c r="A111">
        <v>104</v>
      </c>
      <c r="B111" s="5" t="s">
        <v>88</v>
      </c>
      <c r="C111" s="43"/>
      <c r="D111" s="51"/>
      <c r="E111" s="51"/>
      <c r="F111" s="52"/>
      <c r="G111" s="41">
        <v>0.47324250000000001</v>
      </c>
      <c r="H111" s="28">
        <v>2.4564149999999998</v>
      </c>
      <c r="I111" s="29"/>
      <c r="J111" s="30"/>
      <c r="O111" t="str">
        <f>CONCATENATE(B111,"-ARGON-",H111)</f>
        <v>QC 15 (Ar 85%, CO2 15%) B5 / 300BAR-ARGON-2,456415</v>
      </c>
      <c r="P111" t="str">
        <f>CONCATENATE(B111,"-CO2-",G111)</f>
        <v>QC 15 (Ar 85%, CO2 15%) B5 / 300BAR-CO2-0,4732425</v>
      </c>
    </row>
    <row r="112" spans="1:16">
      <c r="A112">
        <v>105</v>
      </c>
      <c r="B112" s="5" t="s">
        <v>89</v>
      </c>
      <c r="C112" s="43"/>
      <c r="D112" s="51"/>
      <c r="E112" s="51"/>
      <c r="F112" s="52"/>
      <c r="G112" s="41">
        <v>0.66253950000000006</v>
      </c>
      <c r="H112" s="28">
        <v>3.4389810000000005</v>
      </c>
      <c r="I112" s="29"/>
      <c r="J112" s="30"/>
      <c r="O112" t="str">
        <f>CONCATENATE(B112,"-ARGON-",H112)</f>
        <v>QC 15 (Ar 85%, CO2 15%) B7 / 300BAR-ARGON-3,438981</v>
      </c>
      <c r="P112" t="str">
        <f>CONCATENATE(B112,"-CO2-",G112)</f>
        <v>QC 15 (Ar 85%, CO2 15%) B7 / 300BAR-CO2-0,6625395</v>
      </c>
    </row>
    <row r="113" spans="1:16" ht="15.75" thickBot="1">
      <c r="A113">
        <v>106</v>
      </c>
      <c r="B113" s="5" t="s">
        <v>90</v>
      </c>
      <c r="D113" s="50"/>
      <c r="E113" s="50"/>
      <c r="F113" s="40"/>
      <c r="G113" s="41">
        <v>0.94648500000000002</v>
      </c>
      <c r="H113" s="28">
        <v>4.9128299999999996</v>
      </c>
      <c r="I113" s="29"/>
      <c r="J113" s="30"/>
      <c r="O113" t="str">
        <f>CONCATENATE(B113,"-ARGON-",H113)</f>
        <v>QC 15 (Ar 85%, CO2 15%) B10 / 300BAR-ARGON-4,91283</v>
      </c>
      <c r="P113" t="str">
        <f>CONCATENATE(B113,"-CO2-",G113)</f>
        <v>QC 15 (Ar 85%, CO2 15%) B10 / 300BAR-CO2-0,946485</v>
      </c>
    </row>
    <row r="114" spans="1:16">
      <c r="A114">
        <v>107</v>
      </c>
      <c r="B114" s="5" t="s">
        <v>91</v>
      </c>
      <c r="C114" s="43"/>
      <c r="D114" s="54"/>
      <c r="E114" s="54"/>
      <c r="F114" s="55"/>
      <c r="G114" s="41">
        <v>1.3250790000000001</v>
      </c>
      <c r="H114" s="28">
        <v>6.877962000000001</v>
      </c>
      <c r="I114" s="29"/>
      <c r="J114" s="30"/>
      <c r="O114" t="str">
        <f>CONCATENATE(B114,"-ARGON-",H114)</f>
        <v>QC 15 (Ar 85%, CO2 15%) B14 / 300BAR-ARGON-6,877962</v>
      </c>
      <c r="P114" t="str">
        <f>CONCATENATE(B114,"-CO2-",G114)</f>
        <v>QC 15 (Ar 85%, CO2 15%) B14 / 300BAR-CO2-1,325079</v>
      </c>
    </row>
    <row r="115" spans="1:16">
      <c r="A115">
        <v>108</v>
      </c>
      <c r="B115" s="5" t="s">
        <v>92</v>
      </c>
      <c r="C115" s="43"/>
      <c r="D115" s="51"/>
      <c r="E115" s="51"/>
      <c r="F115" s="52"/>
      <c r="G115" s="41">
        <v>1.5143760000000002</v>
      </c>
      <c r="H115" s="28">
        <v>7.8605280000000004</v>
      </c>
      <c r="I115" s="29"/>
      <c r="J115" s="30"/>
      <c r="O115" t="str">
        <f>CONCATENATE(B115,"-ARGON-",H115)</f>
        <v>QC 15 (Ar 85%, CO2 15%) B16 / 300BAR-ARGON-7,860528</v>
      </c>
      <c r="P115" t="str">
        <f>CONCATENATE(B115,"-CO2-",G115)</f>
        <v>QC 15 (Ar 85%, CO2 15%) B16 / 300BAR-CO2-1,514376</v>
      </c>
    </row>
    <row r="116" spans="1:16" ht="15.75" thickBot="1">
      <c r="A116">
        <v>109</v>
      </c>
      <c r="B116" s="6" t="s">
        <v>93</v>
      </c>
      <c r="C116" s="43"/>
      <c r="D116" s="51"/>
      <c r="E116" s="51"/>
      <c r="F116" s="52"/>
      <c r="G116" s="41">
        <v>1.89297</v>
      </c>
      <c r="H116" s="28">
        <v>9.8256599999999992</v>
      </c>
      <c r="I116" s="29"/>
      <c r="J116" s="30"/>
      <c r="O116" t="str">
        <f>CONCATENATE(B116,"-ARGON-",H116)</f>
        <v>QC 15 (Ar 85%, CO2 15%) B20 / 300BAR-ARGON-9,82566</v>
      </c>
      <c r="P116" t="str">
        <f>CONCATENATE(B116,"-CO2-",G116)</f>
        <v>QC 15 (Ar 85%, CO2 15%) B20 / 300BAR-CO2-1,89297</v>
      </c>
    </row>
    <row r="117" spans="1:16">
      <c r="A117">
        <v>110</v>
      </c>
      <c r="B117" s="9" t="s">
        <v>94</v>
      </c>
      <c r="C117" s="43"/>
      <c r="D117" s="51"/>
      <c r="E117" s="51"/>
      <c r="F117" s="52"/>
      <c r="G117" s="41">
        <v>2.8394550000000001</v>
      </c>
      <c r="H117" s="28">
        <v>14.738490000000001</v>
      </c>
      <c r="I117" s="29"/>
      <c r="J117" s="30"/>
      <c r="O117" t="str">
        <f>CONCATENATE(B117,"-ARGON-",H117)</f>
        <v>QC 15 (Ar 85%, CO2 15%) B30 / 300BAR-ARGON-14,73849</v>
      </c>
      <c r="P117" t="str">
        <f>CONCATENATE(B117,"-CO2-",G117)</f>
        <v>QC 15 (Ar 85%, CO2 15%) B30 / 300BAR-CO2-2,839455</v>
      </c>
    </row>
    <row r="118" spans="1:16">
      <c r="A118">
        <v>111</v>
      </c>
      <c r="B118" s="5" t="s">
        <v>95</v>
      </c>
      <c r="C118" s="43"/>
      <c r="D118" s="51"/>
      <c r="E118" s="51"/>
      <c r="F118" s="52"/>
      <c r="G118" s="41">
        <v>3.7859400000000001</v>
      </c>
      <c r="H118" s="28">
        <v>19.651319999999998</v>
      </c>
      <c r="I118" s="29"/>
      <c r="J118" s="30"/>
      <c r="O118" t="str">
        <f>CONCATENATE(B118,"-ARGON-",H118)</f>
        <v>QC 15 (Ar 85%, CO2 15%) B40 / 300BAR-ARGON-19,65132</v>
      </c>
      <c r="P118" t="str">
        <f>CONCATENATE(B118,"-CO2-",G118)</f>
        <v>QC 15 (Ar 85%, CO2 15%) B40 / 300BAR-CO2-3,78594</v>
      </c>
    </row>
    <row r="119" spans="1:16">
      <c r="A119">
        <v>112</v>
      </c>
      <c r="B119" s="5" t="s">
        <v>96</v>
      </c>
      <c r="C119" s="43"/>
      <c r="D119" s="51"/>
      <c r="E119" s="51"/>
      <c r="F119" s="52"/>
      <c r="G119" s="41">
        <v>4.732425000000001</v>
      </c>
      <c r="H119" s="28">
        <v>24.564150000000001</v>
      </c>
      <c r="I119" s="29"/>
      <c r="J119" s="30"/>
      <c r="O119" t="str">
        <f>CONCATENATE(B119,"-ARGON-",H119)</f>
        <v>QC 15 (Ar 85%, CO2 15%) B50 / 300BAR-ARGON-24,56415</v>
      </c>
      <c r="P119" t="str">
        <f>CONCATENATE(B119,"-CO2-",G119)</f>
        <v>QC 15 (Ar 85%, CO2 15%) B50 / 300BAR-CO2-4,732425</v>
      </c>
    </row>
    <row r="120" spans="1:16">
      <c r="A120">
        <v>113</v>
      </c>
      <c r="B120" s="5" t="s">
        <v>97</v>
      </c>
      <c r="C120" s="43"/>
      <c r="D120" s="51"/>
      <c r="E120" s="51"/>
      <c r="F120" s="52"/>
      <c r="G120" s="41">
        <v>7.5718800000000002</v>
      </c>
      <c r="H120" s="28">
        <v>39.302639999999997</v>
      </c>
      <c r="I120" s="29"/>
      <c r="J120" s="30"/>
      <c r="O120" t="str">
        <f>CONCATENATE(B120,"-ARGON-",H120)</f>
        <v>QC 15 (Ar 85%, CO2 15%) B80 / 300BAR-ARGON-39,30264</v>
      </c>
      <c r="P120" t="str">
        <f>CONCATENATE(B120,"-CO2-",G120)</f>
        <v>QC 15 (Ar 85%, CO2 15%) B80 / 300BAR-CO2-7,57188</v>
      </c>
    </row>
    <row r="121" spans="1:16">
      <c r="A121">
        <v>114</v>
      </c>
      <c r="B121" s="5" t="s">
        <v>98</v>
      </c>
      <c r="C121" s="43"/>
      <c r="D121" s="51"/>
      <c r="E121" s="51"/>
      <c r="F121" s="52"/>
      <c r="G121" s="41">
        <v>56.789100000000005</v>
      </c>
      <c r="H121" s="28">
        <v>294.76980000000003</v>
      </c>
      <c r="I121" s="29"/>
      <c r="J121" s="30"/>
      <c r="O121" t="str">
        <f>CONCATENATE(B121,"-ARGON-",H121)</f>
        <v>QC 15 (Ar 85%, CO2 15%) 12*50 / 300BAR-ARGON-294,7698</v>
      </c>
      <c r="P121" t="str">
        <f>CONCATENATE(B121,"-CO2-",G121)</f>
        <v>QC 15 (Ar 85%, CO2 15%) 12*50 / 300BAR-CO2-56,7891</v>
      </c>
    </row>
    <row r="122" spans="1:16">
      <c r="A122">
        <v>115</v>
      </c>
      <c r="B122" s="5" t="s">
        <v>99</v>
      </c>
      <c r="C122" s="43"/>
      <c r="D122" s="22"/>
      <c r="E122" s="22"/>
      <c r="F122" s="52"/>
      <c r="G122" s="41">
        <v>75.718800000000016</v>
      </c>
      <c r="H122" s="28">
        <v>393.02640000000002</v>
      </c>
      <c r="I122" s="29"/>
      <c r="J122" s="30"/>
      <c r="O122" t="str">
        <f>CONCATENATE(B122,"-ARGON-",H122)</f>
        <v>QC 15 (Ar 85%, CO2 15%) 16*50 / 300BAR-ARGON-393,0264</v>
      </c>
      <c r="P122" t="str">
        <f>CONCATENATE(B122,"-CO2-",G122)</f>
        <v>QC 15 (Ar 85%, CO2 15%) 16*50 / 300BAR-CO2-75,7188</v>
      </c>
    </row>
    <row r="123" spans="1:16">
      <c r="A123">
        <v>116</v>
      </c>
      <c r="B123" s="5" t="s">
        <v>100</v>
      </c>
      <c r="C123" s="43"/>
      <c r="D123" s="67"/>
      <c r="E123" s="67"/>
      <c r="F123" s="77"/>
      <c r="G123" s="17">
        <v>90.862560000000002</v>
      </c>
      <c r="H123" s="18">
        <v>471.63168000000002</v>
      </c>
      <c r="I123" s="19"/>
      <c r="J123" s="20"/>
      <c r="O123" t="str">
        <f>CONCATENATE(B123,"-ARGON-",H123)</f>
        <v>QC 15 (Ar 85%, CO2 15%) 12*80 / 300BAR-ARGON-471,63168</v>
      </c>
      <c r="P123" t="str">
        <f>CONCATENATE(B123,"-CO2-",G123)</f>
        <v>QC 15 (Ar 85%, CO2 15%) 12*80 / 300BAR-CO2-90,86256</v>
      </c>
    </row>
    <row r="124" spans="1:16">
      <c r="A124">
        <v>117</v>
      </c>
      <c r="B124" s="5" t="s">
        <v>101</v>
      </c>
      <c r="C124" s="43"/>
      <c r="D124" s="22"/>
      <c r="E124" s="22"/>
      <c r="F124" s="45"/>
      <c r="G124" s="24">
        <v>121.15008</v>
      </c>
      <c r="H124" s="25">
        <v>628.84223999999995</v>
      </c>
      <c r="I124" s="26"/>
      <c r="J124" s="27"/>
      <c r="O124" t="str">
        <f>CONCATENATE(B124,"-ARGON-",H124)</f>
        <v>QC 15 (Ar 85%, CO2 15%) 16*80 / 300BAR-ARGON-628,84224</v>
      </c>
      <c r="P124" t="str">
        <f>CONCATENATE(B124,"-CO2-",G124)</f>
        <v>QC 15 (Ar 85%, CO2 15%) 16*80 / 300BAR-CO2-121,15008</v>
      </c>
    </row>
    <row r="125" spans="1:16">
      <c r="A125">
        <v>120</v>
      </c>
      <c r="B125" s="4" t="s">
        <v>102</v>
      </c>
      <c r="C125" s="43"/>
      <c r="D125" s="22"/>
      <c r="E125" s="22"/>
      <c r="F125" s="45"/>
      <c r="G125" s="24">
        <v>6.4944000000000002E-2</v>
      </c>
      <c r="H125" s="25">
        <v>0.68411200000000005</v>
      </c>
      <c r="I125" s="26"/>
      <c r="J125" s="27"/>
      <c r="O125" t="str">
        <f>CONCATENATE(B125,"-ARGON-",H125)</f>
        <v>QC 8 (Ar 92%, CO2 8%) B2 / 200BAR-ARGON-0,684112</v>
      </c>
      <c r="P125" t="str">
        <f>CONCATENATE(B125,"-CO2-",G125)</f>
        <v>QC 8 (Ar 92%, CO2 8%) B2 / 200BAR-CO2-0,064944</v>
      </c>
    </row>
    <row r="126" spans="1:16">
      <c r="A126">
        <v>121</v>
      </c>
      <c r="B126" s="4" t="s">
        <v>103</v>
      </c>
      <c r="C126" s="43"/>
      <c r="D126" s="22"/>
      <c r="E126" s="22"/>
      <c r="F126" s="45"/>
      <c r="G126" s="24">
        <v>0.16236</v>
      </c>
      <c r="H126" s="25">
        <v>1.71028</v>
      </c>
      <c r="I126" s="26"/>
      <c r="J126" s="27"/>
      <c r="O126" t="str">
        <f>CONCATENATE(B126,"-ARGON-",H126)</f>
        <v>QC 8 (Ar 92%, CO2 8%) B5 / 200BAR-ARGON-1,71028</v>
      </c>
      <c r="P126" t="str">
        <f>CONCATENATE(B126,"-CO2-",G126)</f>
        <v>QC 8 (Ar 92%, CO2 8%) B5 / 200BAR-CO2-0,16236</v>
      </c>
    </row>
    <row r="127" spans="1:16">
      <c r="A127">
        <v>122</v>
      </c>
      <c r="B127" s="4" t="s">
        <v>104</v>
      </c>
      <c r="C127" s="43"/>
      <c r="D127" s="22"/>
      <c r="E127" s="22"/>
      <c r="F127" s="45"/>
      <c r="G127" s="24">
        <v>0.22730400000000001</v>
      </c>
      <c r="H127" s="25">
        <v>2.3943919999999999</v>
      </c>
      <c r="I127" s="26"/>
      <c r="J127" s="27"/>
      <c r="O127" t="str">
        <f>CONCATENATE(B127,"-ARGON-",H127)</f>
        <v>QC 8 (Ar 92%, CO2 8%)  B7 / 200BAR-ARGON-2,394392</v>
      </c>
      <c r="P127" t="str">
        <f>CONCATENATE(B127,"-CO2-",G127)</f>
        <v>QC 8 (Ar 92%, CO2 8%)  B7 / 200BAR-CO2-0,227304</v>
      </c>
    </row>
    <row r="128" spans="1:16">
      <c r="A128">
        <v>123</v>
      </c>
      <c r="B128" s="4" t="s">
        <v>105</v>
      </c>
      <c r="C128" s="43"/>
      <c r="D128" s="22"/>
      <c r="E128" s="22"/>
      <c r="F128" s="45"/>
      <c r="G128" s="24">
        <v>0.32472000000000001</v>
      </c>
      <c r="H128" s="25">
        <v>3.42056</v>
      </c>
      <c r="I128" s="26"/>
      <c r="J128" s="27"/>
      <c r="O128" t="str">
        <f>CONCATENATE(B128,"-ARGON-",H128)</f>
        <v>QC 8 (Ar 92%, CO2 8%)  B10 / 200BAR-ARGON-3,42056</v>
      </c>
      <c r="P128" t="str">
        <f>CONCATENATE(B128,"-CO2-",G128)</f>
        <v>QC 8 (Ar 92%, CO2 8%)  B10 / 200BAR-CO2-0,32472</v>
      </c>
    </row>
    <row r="129" spans="1:16">
      <c r="A129">
        <v>124</v>
      </c>
      <c r="B129" s="4" t="s">
        <v>106</v>
      </c>
      <c r="C129" s="43"/>
      <c r="D129" s="22"/>
      <c r="E129" s="22"/>
      <c r="F129" s="45"/>
      <c r="G129" s="24">
        <v>0.45460800000000001</v>
      </c>
      <c r="H129" s="25">
        <v>4.7887839999999997</v>
      </c>
      <c r="I129" s="26"/>
      <c r="J129" s="27"/>
      <c r="O129" t="str">
        <f>CONCATENATE(B129,"-ARGON-",H129)</f>
        <v>QC 8 (Ar 92%, CO2 8%)  B14 / 200BAR-ARGON-4,788784</v>
      </c>
      <c r="P129" t="str">
        <f>CONCATENATE(B129,"-CO2-",G129)</f>
        <v>QC 8 (Ar 92%, CO2 8%)  B14 / 200BAR-CO2-0,454608</v>
      </c>
    </row>
    <row r="130" spans="1:16">
      <c r="A130">
        <v>125</v>
      </c>
      <c r="B130" s="4" t="s">
        <v>107</v>
      </c>
      <c r="C130" s="43"/>
      <c r="D130" s="32"/>
      <c r="E130" s="32"/>
      <c r="F130" s="23"/>
      <c r="G130" s="24">
        <v>0.51955200000000001</v>
      </c>
      <c r="H130" s="25">
        <v>5.4728960000000004</v>
      </c>
      <c r="I130" s="26"/>
      <c r="J130" s="27"/>
      <c r="O130" t="str">
        <f>CONCATENATE(B130,"-ARGON-",H130)</f>
        <v>QC 8 (Ar 92%, CO2 8%)  B16 / 200BAR-ARGON-5,472896</v>
      </c>
      <c r="P130" t="str">
        <f>CONCATENATE(B130,"-CO2-",G130)</f>
        <v>QC 8 (Ar 92%, CO2 8%)  B16 / 200BAR-CO2-0,519552</v>
      </c>
    </row>
    <row r="131" spans="1:16">
      <c r="A131">
        <v>126</v>
      </c>
      <c r="B131" s="4" t="s">
        <v>108</v>
      </c>
      <c r="C131" s="43"/>
      <c r="D131" s="32"/>
      <c r="E131" s="32"/>
      <c r="F131" s="23"/>
      <c r="G131" s="24">
        <v>0.64944000000000002</v>
      </c>
      <c r="H131" s="25">
        <v>6.8411200000000001</v>
      </c>
      <c r="I131" s="26"/>
      <c r="J131" s="27"/>
      <c r="O131" t="str">
        <f>CONCATENATE(B131,"-ARGON-",H131)</f>
        <v>QC 8 (Ar 92%, CO2 8%)  B20 / 200BAR-ARGON-6,84112</v>
      </c>
      <c r="P131" t="str">
        <f>CONCATENATE(B131,"-CO2-",G131)</f>
        <v>QC 8 (Ar 92%, CO2 8%)  B20 / 200BAR-CO2-0,64944</v>
      </c>
    </row>
    <row r="132" spans="1:16">
      <c r="A132">
        <v>127</v>
      </c>
      <c r="B132" s="4" t="s">
        <v>109</v>
      </c>
      <c r="C132" s="43"/>
      <c r="D132" s="22"/>
      <c r="E132" s="22"/>
      <c r="F132" s="45"/>
      <c r="G132" s="24">
        <v>0.97416000000000003</v>
      </c>
      <c r="H132" s="25">
        <v>10.26168</v>
      </c>
      <c r="I132" s="26"/>
      <c r="J132" s="27"/>
      <c r="O132" t="str">
        <f>CONCATENATE(B132,"-ARGON-",H132)</f>
        <v>QC 8 (Ar 92%, CO2 8%)  B30 / 200BAR-ARGON-10,26168</v>
      </c>
      <c r="P132" t="str">
        <f>CONCATENATE(B132,"-CO2-",G132)</f>
        <v>QC 8 (Ar 92%, CO2 8%)  B30 / 200BAR-CO2-0,97416</v>
      </c>
    </row>
    <row r="133" spans="1:16">
      <c r="A133">
        <v>128</v>
      </c>
      <c r="B133" s="3" t="s">
        <v>110</v>
      </c>
      <c r="C133" s="43"/>
      <c r="D133" s="22"/>
      <c r="E133" s="22"/>
      <c r="F133" s="45"/>
      <c r="G133" s="24">
        <v>1.29888</v>
      </c>
      <c r="H133" s="25">
        <v>13.68224</v>
      </c>
      <c r="I133" s="26"/>
      <c r="J133" s="27"/>
      <c r="O133" t="str">
        <f>CONCATENATE(B133,"-ARGON-",H133)</f>
        <v>QC 8 (Ar 92%, CO2 8%)  B40 / 200BAR-ARGON-13,68224</v>
      </c>
      <c r="P133" t="str">
        <f>CONCATENATE(B133,"-CO2-",G133)</f>
        <v>QC 8 (Ar 92%, CO2 8%)  B40 / 200BAR-CO2-1,29888</v>
      </c>
    </row>
    <row r="134" spans="1:16">
      <c r="A134">
        <v>129</v>
      </c>
      <c r="B134" s="3" t="s">
        <v>111</v>
      </c>
      <c r="C134" s="43"/>
      <c r="D134" s="22"/>
      <c r="E134" s="22"/>
      <c r="F134" s="45"/>
      <c r="G134" s="24">
        <v>1.6235999999999999</v>
      </c>
      <c r="H134" s="25">
        <v>17.102799999999998</v>
      </c>
      <c r="I134" s="26"/>
      <c r="J134" s="27"/>
      <c r="O134" t="str">
        <f>CONCATENATE(B134,"-ARGON-",H134)</f>
        <v>QC 8 (Ar 92%, CO2 8%) B50 / 200BAR-ARGON-17,1028</v>
      </c>
      <c r="P134" t="str">
        <f>CONCATENATE(B134,"-CO2-",G134)</f>
        <v>QC 8 (Ar 92%, CO2 8%) B50 / 200BAR-CO2-1,6236</v>
      </c>
    </row>
    <row r="135" spans="1:16">
      <c r="A135">
        <v>130</v>
      </c>
      <c r="B135" s="4" t="s">
        <v>112</v>
      </c>
      <c r="C135" s="43"/>
      <c r="D135" s="22"/>
      <c r="E135" s="22"/>
      <c r="F135" s="45"/>
      <c r="G135" s="24">
        <v>2.5977600000000001</v>
      </c>
      <c r="H135" s="25">
        <v>27.36448</v>
      </c>
      <c r="I135" s="26"/>
      <c r="J135" s="27"/>
      <c r="O135" t="str">
        <f>CONCATENATE(B135,"-ARGON-",H135)</f>
        <v>QC 8 (Ar 92%, CO2 8%)  B80 / 200BAR-ARGON-27,36448</v>
      </c>
      <c r="P135" t="str">
        <f>CONCATENATE(B135,"-CO2-",G135)</f>
        <v>QC 8 (Ar 92%, CO2 8%)  B80 / 200BAR-CO2-2,59776</v>
      </c>
    </row>
    <row r="136" spans="1:16">
      <c r="A136">
        <v>131</v>
      </c>
      <c r="B136" s="4" t="s">
        <v>113</v>
      </c>
      <c r="C136" s="43"/>
      <c r="D136" s="22"/>
      <c r="E136" s="22"/>
      <c r="F136" s="45"/>
      <c r="G136" s="24">
        <v>19.4832</v>
      </c>
      <c r="H136" s="25">
        <v>205.23360000000002</v>
      </c>
      <c r="I136" s="26"/>
      <c r="J136" s="27"/>
      <c r="O136" t="str">
        <f>CONCATENATE(B136,"-ARGON-",H136)</f>
        <v>QC 8 (Ar 92%, CO2 8%)  12*50 / 200BAR-ARGON-205,2336</v>
      </c>
      <c r="P136" t="str">
        <f>CONCATENATE(B136,"-CO2-",G136)</f>
        <v>QC 8 (Ar 92%, CO2 8%)  12*50 / 200BAR-CO2-19,4832</v>
      </c>
    </row>
    <row r="137" spans="1:16">
      <c r="A137">
        <v>132</v>
      </c>
      <c r="B137" s="4" t="s">
        <v>114</v>
      </c>
      <c r="C137" s="43"/>
      <c r="D137" s="22"/>
      <c r="E137" s="22"/>
      <c r="F137" s="45"/>
      <c r="G137" s="24">
        <v>25.977599999999999</v>
      </c>
      <c r="H137" s="25">
        <v>273.64479999999998</v>
      </c>
      <c r="I137" s="26"/>
      <c r="J137" s="27"/>
      <c r="O137" t="str">
        <f>CONCATENATE(B137,"-ARGON-",H137)</f>
        <v>QC 8 (Ar 92%, CO2 8%)  16*50 / 200BAR-ARGON-273,6448</v>
      </c>
      <c r="P137" t="str">
        <f>CONCATENATE(B137,"-CO2-",G137)</f>
        <v>QC 8 (Ar 92%, CO2 8%)  16*50 / 200BAR-CO2-25,9776</v>
      </c>
    </row>
    <row r="138" spans="1:16">
      <c r="A138">
        <v>133</v>
      </c>
      <c r="B138" s="4" t="s">
        <v>115</v>
      </c>
      <c r="C138" s="43"/>
      <c r="D138" s="51"/>
      <c r="E138" s="51"/>
      <c r="F138" s="52"/>
      <c r="G138" s="41">
        <v>31.173120000000001</v>
      </c>
      <c r="H138" s="28">
        <v>328.37376</v>
      </c>
      <c r="I138" s="29"/>
      <c r="J138" s="30"/>
      <c r="O138" t="str">
        <f>CONCATENATE(B138,"-ARGON-",H138)</f>
        <v>QC 8 (Ar 92%, CO2 8%) 12*80 / 200BAR-ARGON-328,37376</v>
      </c>
      <c r="P138" t="str">
        <f>CONCATENATE(B138,"-CO2-",G138)</f>
        <v>QC 8 (Ar 92%, CO2 8%) 12*80 / 200BAR-CO2-31,17312</v>
      </c>
    </row>
    <row r="139" spans="1:16">
      <c r="A139">
        <v>134</v>
      </c>
      <c r="B139" s="4" t="s">
        <v>116</v>
      </c>
      <c r="C139" s="43"/>
      <c r="D139" s="51"/>
      <c r="E139" s="51"/>
      <c r="F139" s="52"/>
      <c r="G139" s="41">
        <v>41.564160000000001</v>
      </c>
      <c r="H139" s="28">
        <v>437.83168000000001</v>
      </c>
      <c r="I139" s="29"/>
      <c r="J139" s="30"/>
      <c r="O139" t="str">
        <f>CONCATENATE(B139,"-ARGON-",H139)</f>
        <v>QC 8 (Ar 92%, CO2 8%) 16*80 / 200BAR-ARGON-437,83168</v>
      </c>
      <c r="P139" t="str">
        <f>CONCATENATE(B139,"-CO2-",G139)</f>
        <v>QC 8 (Ar 92%, CO2 8%) 16*80 / 200BAR-CO2-41,56416</v>
      </c>
    </row>
    <row r="140" spans="1:16">
      <c r="A140">
        <v>137</v>
      </c>
      <c r="B140" s="5" t="s">
        <v>117</v>
      </c>
      <c r="C140" s="43"/>
      <c r="D140" s="51"/>
      <c r="E140" s="51"/>
      <c r="F140" s="52"/>
      <c r="G140" s="41">
        <v>9.7416000000000003E-2</v>
      </c>
      <c r="H140" s="28">
        <v>1.026168</v>
      </c>
      <c r="I140" s="29"/>
      <c r="J140" s="30"/>
      <c r="O140" t="str">
        <f>CONCATENATE(B140,"-ARGON-",H140)</f>
        <v>QC 8 (Ar 92%, CO2 8%) B2 / 300BAR-ARGON-1,026168</v>
      </c>
      <c r="P140" t="str">
        <f>CONCATENATE(B140,"-CO2-",G140)</f>
        <v>QC 8 (Ar 92%, CO2 8%) B2 / 300BAR-CO2-0,097416</v>
      </c>
    </row>
    <row r="141" spans="1:16">
      <c r="A141">
        <v>138</v>
      </c>
      <c r="B141" s="5" t="s">
        <v>118</v>
      </c>
      <c r="C141" s="43"/>
      <c r="D141" s="51"/>
      <c r="E141" s="51"/>
      <c r="F141" s="52"/>
      <c r="G141" s="41">
        <v>0.24354000000000001</v>
      </c>
      <c r="H141" s="28">
        <v>2.56542</v>
      </c>
      <c r="I141" s="29"/>
      <c r="J141" s="30"/>
      <c r="O141" t="str">
        <f>CONCATENATE(B141,"-ARGON-",H141)</f>
        <v>QC 8 (Ar 92%, CO2 8%)  B5 / 300BAR-ARGON-2,56542</v>
      </c>
      <c r="P141" t="str">
        <f>CONCATENATE(B141,"-CO2-",G141)</f>
        <v>QC 8 (Ar 92%, CO2 8%)  B5 / 300BAR-CO2-0,24354</v>
      </c>
    </row>
    <row r="142" spans="1:16">
      <c r="A142">
        <v>139</v>
      </c>
      <c r="B142" s="5" t="s">
        <v>119</v>
      </c>
      <c r="C142" s="43"/>
      <c r="D142" s="51"/>
      <c r="E142" s="51"/>
      <c r="F142" s="52"/>
      <c r="G142" s="41">
        <v>0.34095599999999998</v>
      </c>
      <c r="H142" s="28">
        <v>3.5915879999999998</v>
      </c>
      <c r="I142" s="29"/>
      <c r="J142" s="30"/>
      <c r="O142" t="str">
        <f>CONCATENATE(B142,"-ARGON-",H142)</f>
        <v>QC 8 (Ar 92%, CO2 8%) B7 / 300BAR-ARGON-3,591588</v>
      </c>
      <c r="P142" t="str">
        <f>CONCATENATE(B142,"-CO2-",G142)</f>
        <v>QC 8 (Ar 92%, CO2 8%) B7 / 300BAR-CO2-0,340956</v>
      </c>
    </row>
    <row r="143" spans="1:16">
      <c r="A143">
        <v>140</v>
      </c>
      <c r="B143" s="5" t="s">
        <v>120</v>
      </c>
      <c r="C143" s="43"/>
      <c r="D143" s="51"/>
      <c r="E143" s="51"/>
      <c r="F143" s="52"/>
      <c r="G143" s="41">
        <v>0.48708000000000001</v>
      </c>
      <c r="H143" s="28">
        <v>5.1308400000000001</v>
      </c>
      <c r="I143" s="29"/>
      <c r="J143" s="30"/>
      <c r="O143" t="str">
        <f>CONCATENATE(B143,"-ARGON-",H143)</f>
        <v>QC 8 (Ar 92%, CO2 8%) B10 / 300BAR-ARGON-5,13084</v>
      </c>
      <c r="P143" t="str">
        <f>CONCATENATE(B143,"-CO2-",G143)</f>
        <v>QC 8 (Ar 92%, CO2 8%) B10 / 300BAR-CO2-0,48708</v>
      </c>
    </row>
    <row r="144" spans="1:16">
      <c r="A144">
        <v>141</v>
      </c>
      <c r="B144" s="5" t="s">
        <v>121</v>
      </c>
      <c r="C144" s="43"/>
      <c r="D144" s="51"/>
      <c r="E144" s="51"/>
      <c r="F144" s="52"/>
      <c r="G144" s="41">
        <v>0.68191199999999996</v>
      </c>
      <c r="H144" s="28">
        <v>7.1831759999999996</v>
      </c>
      <c r="I144" s="29"/>
      <c r="J144" s="30"/>
      <c r="O144" t="str">
        <f>CONCATENATE(B144,"-ARGON-",H144)</f>
        <v>QC 8 (Ar 92%, CO2 8%) B14 / 300BAR-ARGON-7,183176</v>
      </c>
      <c r="P144" t="str">
        <f>CONCATENATE(B144,"-CO2-",G144)</f>
        <v>QC 8 (Ar 92%, CO2 8%) B14 / 300BAR-CO2-0,681912</v>
      </c>
    </row>
    <row r="145" spans="1:16">
      <c r="A145">
        <v>142</v>
      </c>
      <c r="B145" s="5" t="s">
        <v>122</v>
      </c>
      <c r="C145" s="43"/>
      <c r="D145" s="51"/>
      <c r="E145" s="51"/>
      <c r="F145" s="52"/>
      <c r="G145" s="41">
        <v>0.77932800000000002</v>
      </c>
      <c r="H145" s="28">
        <v>8.2093439999999998</v>
      </c>
      <c r="I145" s="29"/>
      <c r="J145" s="30"/>
      <c r="O145" t="str">
        <f>CONCATENATE(B145,"-ARGON-",H145)</f>
        <v>QC 8 (Ar 92%, CO2 8%)  B16 / 300BAR-ARGON-8,209344</v>
      </c>
      <c r="P145" t="str">
        <f>CONCATENATE(B145,"-CO2-",G145)</f>
        <v>QC 8 (Ar 92%, CO2 8%)  B16 / 300BAR-CO2-0,779328</v>
      </c>
    </row>
    <row r="146" spans="1:16">
      <c r="A146">
        <v>143</v>
      </c>
      <c r="B146" s="5" t="s">
        <v>123</v>
      </c>
      <c r="D146" s="51"/>
      <c r="E146" s="51"/>
      <c r="F146" s="52"/>
      <c r="G146" s="41">
        <v>0.97416000000000003</v>
      </c>
      <c r="H146" s="28">
        <v>10.26168</v>
      </c>
      <c r="I146" s="29"/>
      <c r="J146" s="30"/>
      <c r="O146" t="str">
        <f>CONCATENATE(B146,"-ARGON-",H146)</f>
        <v>QC 8 (Ar 92%, CO2 8%) B20 / 300BAR-ARGON-10,26168</v>
      </c>
      <c r="P146" t="str">
        <f>CONCATENATE(B146,"-CO2-",G146)</f>
        <v>QC 8 (Ar 92%, CO2 8%) B20 / 300BAR-CO2-0,97416</v>
      </c>
    </row>
    <row r="147" spans="1:16">
      <c r="A147">
        <v>144</v>
      </c>
      <c r="B147" s="5" t="s">
        <v>124</v>
      </c>
      <c r="D147" s="50"/>
      <c r="E147" s="50"/>
      <c r="F147" s="40"/>
      <c r="G147" s="41">
        <v>1.4612400000000001</v>
      </c>
      <c r="H147" s="28">
        <v>15.392520000000001</v>
      </c>
      <c r="I147" s="29"/>
      <c r="J147" s="30"/>
      <c r="O147" t="str">
        <f>CONCATENATE(B147,"-ARGON-",H147)</f>
        <v>QC 8 (Ar 92%, CO2 8%) B30 / 300BAR-ARGON-15,39252</v>
      </c>
      <c r="P147" t="str">
        <f>CONCATENATE(B147,"-CO2-",G147)</f>
        <v>QC 8 (Ar 92%, CO2 8%) B30 / 300BAR-CO2-1,46124</v>
      </c>
    </row>
    <row r="148" spans="1:16">
      <c r="A148">
        <v>145</v>
      </c>
      <c r="B148" s="5" t="s">
        <v>125</v>
      </c>
      <c r="D148" s="50"/>
      <c r="E148" s="50"/>
      <c r="F148" s="40"/>
      <c r="G148" s="41">
        <v>1.9483200000000001</v>
      </c>
      <c r="H148" s="28">
        <v>20.52336</v>
      </c>
      <c r="I148" s="29"/>
      <c r="J148" s="30"/>
      <c r="O148" t="str">
        <f>CONCATENATE(B148,"-ARGON-",H148)</f>
        <v>QC 8 (Ar 92%, CO2 8%) B40 / 300BAR-ARGON-20,52336</v>
      </c>
      <c r="P148" t="str">
        <f>CONCATENATE(B148,"-CO2-",G148)</f>
        <v>QC 8 (Ar 92%, CO2 8%) B40 / 300BAR-CO2-1,94832</v>
      </c>
    </row>
    <row r="149" spans="1:16">
      <c r="A149">
        <v>146</v>
      </c>
      <c r="B149" s="5" t="s">
        <v>126</v>
      </c>
      <c r="D149" s="51"/>
      <c r="E149" s="51"/>
      <c r="F149" s="52"/>
      <c r="G149" s="41">
        <v>2.4354</v>
      </c>
      <c r="H149" s="28">
        <v>25.654200000000003</v>
      </c>
      <c r="I149" s="29"/>
      <c r="J149" s="30"/>
      <c r="O149" t="str">
        <f>CONCATENATE(B149,"-ARGON-",H149)</f>
        <v>QC 8 (Ar 92%, CO2 8%) B50 / 300BAR-ARGON-25,6542</v>
      </c>
      <c r="P149" t="str">
        <f>CONCATENATE(B149,"-CO2-",G149)</f>
        <v>QC 8 (Ar 92%, CO2 8%) B50 / 300BAR-CO2-2,4354</v>
      </c>
    </row>
    <row r="150" spans="1:16">
      <c r="A150">
        <v>147</v>
      </c>
      <c r="B150" s="6" t="s">
        <v>127</v>
      </c>
      <c r="C150" s="43"/>
      <c r="D150" s="51"/>
      <c r="E150" s="51"/>
      <c r="F150" s="52"/>
      <c r="G150" s="41">
        <v>3.8966400000000001</v>
      </c>
      <c r="H150" s="28">
        <v>41.046720000000001</v>
      </c>
      <c r="I150" s="29"/>
      <c r="J150" s="30"/>
      <c r="O150" t="str">
        <f>CONCATENATE(B150,"-ARGON-",H150)</f>
        <v>QC 8 (Ar 92%, CO2 8%) B80 / 300BAR-ARGON-41,04672</v>
      </c>
      <c r="P150" t="str">
        <f>CONCATENATE(B150,"-CO2-",G150)</f>
        <v>QC 8 (Ar 92%, CO2 8%) B80 / 300BAR-CO2-3,89664</v>
      </c>
    </row>
    <row r="151" spans="1:16">
      <c r="A151">
        <v>148</v>
      </c>
      <c r="B151" s="6" t="s">
        <v>128</v>
      </c>
      <c r="C151" s="43"/>
      <c r="D151" s="51"/>
      <c r="E151" s="51"/>
      <c r="F151" s="52"/>
      <c r="G151" s="41">
        <v>29.224799999999998</v>
      </c>
      <c r="H151" s="28">
        <v>307.85039999999998</v>
      </c>
      <c r="I151" s="29"/>
      <c r="J151" s="30"/>
      <c r="O151" t="str">
        <f>CONCATENATE(B151,"-ARGON-",H151)</f>
        <v>QC 8 (Ar 92%, CO2 8%) 12*50 / 300BAR-ARGON-307,8504</v>
      </c>
      <c r="P151" t="str">
        <f>CONCATENATE(B151,"-CO2-",G151)</f>
        <v>QC 8 (Ar 92%, CO2 8%) 12*50 / 300BAR-CO2-29,2248</v>
      </c>
    </row>
    <row r="152" spans="1:16">
      <c r="A152">
        <v>149</v>
      </c>
      <c r="B152" s="5" t="s">
        <v>129</v>
      </c>
      <c r="C152" s="43"/>
      <c r="D152" s="22"/>
      <c r="E152" s="22"/>
      <c r="F152" s="52"/>
      <c r="G152" s="41">
        <v>38.9664</v>
      </c>
      <c r="H152" s="28">
        <v>410.46720000000005</v>
      </c>
      <c r="I152" s="29"/>
      <c r="J152" s="30"/>
      <c r="O152" t="str">
        <f>CONCATENATE(B152,"-ARGON-",H152)</f>
        <v>QC 8 (Ar 92%, CO2 8%)  16*50 / 300BAR-ARGON-410,4672</v>
      </c>
      <c r="P152" t="str">
        <f>CONCATENATE(B152,"-CO2-",G152)</f>
        <v>QC 8 (Ar 92%, CO2 8%)  16*50 / 300BAR-CO2-38,9664</v>
      </c>
    </row>
    <row r="153" spans="1:16">
      <c r="A153">
        <v>150</v>
      </c>
      <c r="B153" s="5" t="s">
        <v>130</v>
      </c>
      <c r="D153" s="42"/>
      <c r="E153" s="42"/>
      <c r="F153" s="44"/>
      <c r="G153" s="60">
        <v>46.759680000000003</v>
      </c>
      <c r="H153" s="57">
        <v>492.56064000000003</v>
      </c>
      <c r="I153" s="29"/>
      <c r="J153" s="30"/>
      <c r="O153" t="str">
        <f>CONCATENATE(B153,"-ARGON-",H153)</f>
        <v>QC 8 (Ar 92%, CO2 8%)  12*80 / 300BAR-ARGON-492,56064</v>
      </c>
      <c r="P153" t="str">
        <f>CONCATENATE(B153,"-CO2-",G153)</f>
        <v>QC 8 (Ar 92%, CO2 8%)  12*80 / 300BAR-CO2-46,75968</v>
      </c>
    </row>
    <row r="154" spans="1:16">
      <c r="A154">
        <v>151</v>
      </c>
      <c r="B154" s="5" t="s">
        <v>131</v>
      </c>
      <c r="D154" s="22"/>
      <c r="E154" s="22"/>
      <c r="F154" s="45"/>
      <c r="G154" s="24">
        <v>62.346240000000002</v>
      </c>
      <c r="H154" s="25">
        <v>656.74752000000001</v>
      </c>
      <c r="I154" s="26"/>
      <c r="J154" s="27"/>
      <c r="O154" t="str">
        <f>CONCATENATE(B154,"-ARGON-",H154)</f>
        <v>QC 8 (Ar 92%, CO2 8%) 16*80 / 300BAR-ARGON-656,74752</v>
      </c>
      <c r="P154" t="str">
        <f>CONCATENATE(B154,"-CO2-",G154)</f>
        <v>QC 8 (Ar 92%, CO2 8%) 16*80 / 300BAR-CO2-62,34624</v>
      </c>
    </row>
    <row r="155" spans="1:16">
      <c r="A155">
        <v>154</v>
      </c>
      <c r="B155" s="4" t="s">
        <v>132</v>
      </c>
      <c r="C155" s="43"/>
      <c r="D155" s="22"/>
      <c r="E155" s="22"/>
      <c r="F155" s="45"/>
      <c r="G155" s="24">
        <v>1.5645599999999999E-2</v>
      </c>
      <c r="H155" s="25">
        <v>0.70222879999999999</v>
      </c>
      <c r="I155" s="26"/>
      <c r="J155" s="27"/>
      <c r="O155" t="str">
        <f>CONCATENATE(B155,"-ARGON-",H155)</f>
        <v>QC 2 (Ar 98%, CO2 2%) B2 / 200BAR-ARGON-0,7022288</v>
      </c>
      <c r="P155" t="str">
        <f>CONCATENATE(B155,"-CO2-",G155)</f>
        <v>QC 2 (Ar 98%, CO2 2%) B2 / 200BAR-CO2-0,0156456</v>
      </c>
    </row>
    <row r="156" spans="1:16">
      <c r="A156">
        <v>155</v>
      </c>
      <c r="B156" s="4" t="s">
        <v>133</v>
      </c>
      <c r="C156" s="43"/>
      <c r="D156" s="22"/>
      <c r="E156" s="22"/>
      <c r="F156" s="45"/>
      <c r="G156" s="24">
        <v>3.9114000000000003E-2</v>
      </c>
      <c r="H156" s="25">
        <v>1.7555719999999999</v>
      </c>
      <c r="I156" s="26"/>
      <c r="J156" s="27"/>
      <c r="O156" t="str">
        <f>CONCATENATE(B156,"-ARGON-",H156)</f>
        <v>QC 2 (Ar 98%, CO2 2%) B5 / 200BAR-ARGON-1,755572</v>
      </c>
      <c r="P156" t="str">
        <f>CONCATENATE(B156,"-CO2-",G156)</f>
        <v>QC 2 (Ar 98%, CO2 2%) B5 / 200BAR-CO2-0,039114</v>
      </c>
    </row>
    <row r="157" spans="1:16">
      <c r="A157">
        <v>156</v>
      </c>
      <c r="B157" s="4" t="s">
        <v>134</v>
      </c>
      <c r="C157" s="43"/>
      <c r="D157" s="22"/>
      <c r="E157" s="22"/>
      <c r="F157" s="45"/>
      <c r="G157" s="24">
        <v>5.4759599999999999E-2</v>
      </c>
      <c r="H157" s="25">
        <v>2.4578007999999998</v>
      </c>
      <c r="I157" s="26"/>
      <c r="J157" s="27"/>
      <c r="O157" t="str">
        <f>CONCATENATE(B157,"-ARGON-",H157)</f>
        <v>QC 2 (Ar 98%, CO2 2%) B7 / 200BAR-ARGON-2,4578008</v>
      </c>
      <c r="P157" t="str">
        <f>CONCATENATE(B157,"-CO2-",G157)</f>
        <v>QC 2 (Ar 98%, CO2 2%) B7 / 200BAR-CO2-0,0547596</v>
      </c>
    </row>
    <row r="158" spans="1:16">
      <c r="A158">
        <v>157</v>
      </c>
      <c r="B158" s="4" t="s">
        <v>135</v>
      </c>
      <c r="C158" s="43"/>
      <c r="D158" s="22"/>
      <c r="E158" s="22"/>
      <c r="F158" s="45"/>
      <c r="G158" s="24">
        <v>7.8228000000000006E-2</v>
      </c>
      <c r="H158" s="25">
        <v>3.5111439999999998</v>
      </c>
      <c r="I158" s="26"/>
      <c r="J158" s="27"/>
      <c r="O158" t="str">
        <f>CONCATENATE(B158,"-ARGON-",H158)</f>
        <v>QC 2 (Ar 98%, CO2 2%) B10 / 200BAR-ARGON-3,511144</v>
      </c>
      <c r="P158" t="str">
        <f>CONCATENATE(B158,"-CO2-",G158)</f>
        <v>QC 2 (Ar 98%, CO2 2%) B10 / 200BAR-CO2-0,078228</v>
      </c>
    </row>
    <row r="159" spans="1:16">
      <c r="A159">
        <v>158</v>
      </c>
      <c r="B159" s="4" t="s">
        <v>136</v>
      </c>
      <c r="D159" s="22"/>
      <c r="E159" s="22"/>
      <c r="F159" s="45"/>
      <c r="G159" s="24">
        <v>0.1095192</v>
      </c>
      <c r="H159" s="25">
        <v>4.9156015999999996</v>
      </c>
      <c r="I159" s="26"/>
      <c r="J159" s="27"/>
      <c r="O159" t="str">
        <f>CONCATENATE(B159,"-ARGON-",H159)</f>
        <v>QC 2 (Ar 98%, CO2 2%) B14 / 200BAR-ARGON-4,9156016</v>
      </c>
      <c r="P159" t="str">
        <f>CONCATENATE(B159,"-CO2-",G159)</f>
        <v>QC 2 (Ar 98%, CO2 2%) B14 / 200BAR-CO2-0,1095192</v>
      </c>
    </row>
    <row r="160" spans="1:16">
      <c r="A160">
        <v>159</v>
      </c>
      <c r="B160" s="4" t="s">
        <v>137</v>
      </c>
      <c r="C160" s="43"/>
      <c r="D160" s="22"/>
      <c r="E160" s="22"/>
      <c r="F160" s="45"/>
      <c r="G160" s="24">
        <v>0.12516479999999999</v>
      </c>
      <c r="H160" s="25">
        <v>5.6178303999999999</v>
      </c>
      <c r="I160" s="26"/>
      <c r="J160" s="27"/>
      <c r="O160" t="str">
        <f>CONCATENATE(B160,"-ARGON-",H160)</f>
        <v>QC 2 (Ar 98%, CO2 2%) B16 / 200BAR-ARGON-5,6178304</v>
      </c>
      <c r="P160" t="str">
        <f>CONCATENATE(B160,"-CO2-",G160)</f>
        <v>QC 2 (Ar 98%, CO2 2%) B16 / 200BAR-CO2-0,1251648</v>
      </c>
    </row>
    <row r="161" spans="1:16">
      <c r="A161">
        <v>160</v>
      </c>
      <c r="B161" s="4" t="s">
        <v>138</v>
      </c>
      <c r="C161" s="43"/>
      <c r="D161" s="22"/>
      <c r="E161" s="22"/>
      <c r="F161" s="45"/>
      <c r="G161" s="24">
        <v>0.15645600000000001</v>
      </c>
      <c r="H161" s="25">
        <v>7.0222879999999996</v>
      </c>
      <c r="I161" s="26"/>
      <c r="J161" s="27"/>
      <c r="O161" t="str">
        <f>CONCATENATE(B161,"-ARGON-",H161)</f>
        <v>QC 2 (Ar 98%, CO2 2%) B20 / 200BAR-ARGON-7,022288</v>
      </c>
      <c r="P161" t="str">
        <f>CONCATENATE(B161,"-CO2-",G161)</f>
        <v>QC 2 (Ar 98%, CO2 2%) B20 / 200BAR-CO2-0,156456</v>
      </c>
    </row>
    <row r="162" spans="1:16">
      <c r="A162">
        <v>161</v>
      </c>
      <c r="B162" s="4" t="s">
        <v>139</v>
      </c>
      <c r="C162" s="43"/>
      <c r="D162" s="22"/>
      <c r="E162" s="22"/>
      <c r="F162" s="45"/>
      <c r="G162" s="24">
        <v>0.23468399999999995</v>
      </c>
      <c r="H162" s="25">
        <v>10.533431999999998</v>
      </c>
      <c r="I162" s="26"/>
      <c r="J162" s="27"/>
      <c r="O162" t="str">
        <f>CONCATENATE(B162,"-ARGON-",H162)</f>
        <v>QC 2 (Ar 98%, CO2 2%) B30 / 200BAR-ARGON-10,533432</v>
      </c>
      <c r="P162" t="str">
        <f>CONCATENATE(B162,"-CO2-",G162)</f>
        <v>QC 2 (Ar 98%, CO2 2%) B30 / 200BAR-CO2-0,234684</v>
      </c>
    </row>
    <row r="163" spans="1:16">
      <c r="A163">
        <v>162</v>
      </c>
      <c r="B163" s="4" t="s">
        <v>140</v>
      </c>
      <c r="D163" s="22"/>
      <c r="E163" s="22"/>
      <c r="F163" s="45"/>
      <c r="G163" s="24">
        <v>0.31291200000000002</v>
      </c>
      <c r="H163" s="25">
        <v>14.044575999999999</v>
      </c>
      <c r="I163" s="26"/>
      <c r="J163" s="27"/>
      <c r="O163" t="str">
        <f>CONCATENATE(B163,"-ARGON-",H163)</f>
        <v>QC 2 (Ar 98%, CO2 2%) B40 / 200BAR-ARGON-14,044576</v>
      </c>
      <c r="P163" t="str">
        <f>CONCATENATE(B163,"-CO2-",G163)</f>
        <v>QC 2 (Ar 98%, CO2 2%) B40 / 200BAR-CO2-0,312912</v>
      </c>
    </row>
    <row r="164" spans="1:16">
      <c r="A164">
        <v>163</v>
      </c>
      <c r="B164" s="4" t="s">
        <v>141</v>
      </c>
      <c r="C164" s="43"/>
      <c r="D164" s="32"/>
      <c r="E164" s="32"/>
      <c r="F164" s="23"/>
      <c r="G164" s="24">
        <v>0.39113999999999999</v>
      </c>
      <c r="H164" s="25">
        <v>17.555720000000001</v>
      </c>
      <c r="I164" s="26"/>
      <c r="J164" s="27"/>
      <c r="O164" t="str">
        <f>CONCATENATE(B164,"-ARGON-",H164)</f>
        <v>QC 2 (Ar 98%, CO2 2%) B50 / 200BAR-ARGON-17,55572</v>
      </c>
      <c r="P164" t="str">
        <f>CONCATENATE(B164,"-CO2-",G164)</f>
        <v>QC 2 (Ar 98%, CO2 2%) B50 / 200BAR-CO2-0,39114</v>
      </c>
    </row>
    <row r="165" spans="1:16">
      <c r="A165">
        <v>164</v>
      </c>
      <c r="B165" s="4" t="s">
        <v>142</v>
      </c>
      <c r="D165" s="32"/>
      <c r="E165" s="32"/>
      <c r="F165" s="23"/>
      <c r="G165" s="24">
        <v>0.62582400000000005</v>
      </c>
      <c r="H165" s="25">
        <v>28.089151999999999</v>
      </c>
      <c r="I165" s="26"/>
      <c r="J165" s="27"/>
      <c r="O165" t="str">
        <f>CONCATENATE(B165,"-ARGON-",H165)</f>
        <v>QC 2 (Ar 98%, CO2 2%) B80 / 200BAR-ARGON-28,089152</v>
      </c>
      <c r="P165" t="str">
        <f>CONCATENATE(B165,"-CO2-",G165)</f>
        <v>QC 2 (Ar 98%, CO2 2%) B80 / 200BAR-CO2-0,625824</v>
      </c>
    </row>
    <row r="166" spans="1:16">
      <c r="A166">
        <v>165</v>
      </c>
      <c r="B166" s="4" t="s">
        <v>143</v>
      </c>
      <c r="C166" s="43"/>
      <c r="D166" s="22"/>
      <c r="E166" s="22"/>
      <c r="F166" s="45"/>
      <c r="G166" s="24">
        <v>4.6936799999999996</v>
      </c>
      <c r="H166" s="25">
        <v>210.66864000000001</v>
      </c>
      <c r="I166" s="26"/>
      <c r="J166" s="27"/>
      <c r="O166" t="str">
        <f>CONCATENATE(B166,"-ARGON-",H166)</f>
        <v>QC 2 (Ar 98%, CO2 2%) 12*50 / 200BAR-ARGON-210,66864</v>
      </c>
      <c r="P166" t="str">
        <f>CONCATENATE(B166,"-CO2-",G166)</f>
        <v>QC 2 (Ar 98%, CO2 2%) 12*50 / 200BAR-CO2-4,69368</v>
      </c>
    </row>
    <row r="167" spans="1:16">
      <c r="A167">
        <v>166</v>
      </c>
      <c r="B167" s="3" t="s">
        <v>144</v>
      </c>
      <c r="C167" s="43"/>
      <c r="D167" s="22"/>
      <c r="E167" s="22"/>
      <c r="F167" s="45"/>
      <c r="G167" s="24">
        <v>6.2582399999999998</v>
      </c>
      <c r="H167" s="25">
        <v>280.89152000000001</v>
      </c>
      <c r="I167" s="26"/>
      <c r="J167" s="27"/>
      <c r="O167" t="str">
        <f>CONCATENATE(B167,"-ARGON-",H167)</f>
        <v>QC 2 (Ar 98%, CO2 2%) 16*50 / 200BAR-ARGON-280,89152</v>
      </c>
      <c r="P167" t="str">
        <f>CONCATENATE(B167,"-CO2-",G167)</f>
        <v>QC 2 (Ar 98%, CO2 2%) 16*50 / 200BAR-CO2-6,25824</v>
      </c>
    </row>
    <row r="168" spans="1:16">
      <c r="A168">
        <v>167</v>
      </c>
      <c r="B168" s="3" t="s">
        <v>145</v>
      </c>
      <c r="C168" s="43"/>
      <c r="D168" s="51"/>
      <c r="E168" s="51"/>
      <c r="F168" s="52"/>
      <c r="G168" s="41">
        <v>7.5098879999999983</v>
      </c>
      <c r="H168" s="28">
        <v>337.06982399999993</v>
      </c>
      <c r="I168" s="29"/>
      <c r="J168" s="30"/>
      <c r="O168" t="str">
        <f>CONCATENATE(B168,"-ARGON-",H168)</f>
        <v>QC 2 (Ar 98%, CO2 2%) 12*80 / 200BAR-ARGON-337,069824</v>
      </c>
      <c r="P168" t="str">
        <f>CONCATENATE(B168,"-CO2-",G168)</f>
        <v>QC 2 (Ar 98%, CO2 2%) 12*80 / 200BAR-CO2-7,509888</v>
      </c>
    </row>
    <row r="169" spans="1:16">
      <c r="A169">
        <v>168</v>
      </c>
      <c r="B169" s="4" t="s">
        <v>146</v>
      </c>
      <c r="C169" s="43"/>
      <c r="D169" s="51"/>
      <c r="E169" s="51"/>
      <c r="F169" s="52"/>
      <c r="G169" s="41">
        <v>10.013184000000001</v>
      </c>
      <c r="H169" s="28">
        <v>449.42643199999998</v>
      </c>
      <c r="I169" s="29"/>
      <c r="J169" s="30"/>
      <c r="O169" t="str">
        <f>CONCATENATE(B169,"-ARGON-",H169)</f>
        <v>QC 2 (Ar 98%, CO2 2%) 16*80 / 200BAR-ARGON-449,426432</v>
      </c>
      <c r="P169" t="str">
        <f>CONCATENATE(B169,"-CO2-",G169)</f>
        <v>QC 2 (Ar 98%, CO2 2%) 16*80 / 200BAR-CO2-10,013184</v>
      </c>
    </row>
    <row r="170" spans="1:16">
      <c r="A170">
        <v>171</v>
      </c>
      <c r="B170" s="5" t="s">
        <v>147</v>
      </c>
      <c r="C170" s="43"/>
      <c r="D170" s="51"/>
      <c r="E170" s="51"/>
      <c r="F170" s="52"/>
      <c r="G170" s="41">
        <v>2.3616000000000002E-2</v>
      </c>
      <c r="H170" s="28">
        <v>1.059968</v>
      </c>
      <c r="I170" s="29"/>
      <c r="J170" s="30"/>
      <c r="O170" t="str">
        <f>CONCATENATE(B170,"-ARGON-",H170)</f>
        <v>QC 2 (Ar 98%, CO2 2%) B2 / 300BAR-ARGON-1,059968</v>
      </c>
      <c r="P170" t="str">
        <f>CONCATENATE(B170,"-CO2-",G170)</f>
        <v>QC 2 (Ar 98%, CO2 2%) B2 / 300BAR-CO2-0,023616</v>
      </c>
    </row>
    <row r="171" spans="1:16">
      <c r="A171">
        <v>172</v>
      </c>
      <c r="B171" s="5" t="s">
        <v>148</v>
      </c>
      <c r="C171" s="43"/>
      <c r="D171" s="51"/>
      <c r="E171" s="51"/>
      <c r="F171" s="52"/>
      <c r="G171" s="41">
        <v>5.9040000000000002E-2</v>
      </c>
      <c r="H171" s="28">
        <v>2.6499199999999998</v>
      </c>
      <c r="I171" s="29"/>
      <c r="J171" s="30"/>
      <c r="O171" t="str">
        <f>CONCATENATE(B171,"-ARGON-",H171)</f>
        <v>QC 2 (Ar 98%, CO2 2%) B5 / 300BAR-ARGON-2,64992</v>
      </c>
      <c r="P171" t="str">
        <f>CONCATENATE(B171,"-CO2-",G171)</f>
        <v>QC 2 (Ar 98%, CO2 2%) B5 / 300BAR-CO2-0,05904</v>
      </c>
    </row>
    <row r="172" spans="1:16">
      <c r="A172">
        <v>173</v>
      </c>
      <c r="B172" s="5" t="s">
        <v>149</v>
      </c>
      <c r="C172" s="43"/>
      <c r="D172" s="51"/>
      <c r="E172" s="51"/>
      <c r="F172" s="52"/>
      <c r="G172" s="41">
        <v>8.2656000000000007E-2</v>
      </c>
      <c r="H172" s="28">
        <v>3.7098880000000003</v>
      </c>
      <c r="I172" s="29"/>
      <c r="J172" s="30"/>
      <c r="O172" t="str">
        <f>CONCATENATE(B172,"-ARGON-",H172)</f>
        <v>QC 2 (Ar 98%, CO2 2%) B7 / 300BAR-ARGON-3,709888</v>
      </c>
      <c r="P172" t="str">
        <f>CONCATENATE(B172,"-CO2-",G172)</f>
        <v>QC 2 (Ar 98%, CO2 2%) B7 / 300BAR-CO2-0,082656</v>
      </c>
    </row>
    <row r="173" spans="1:16">
      <c r="A173">
        <v>174</v>
      </c>
      <c r="B173" s="5" t="s">
        <v>150</v>
      </c>
      <c r="C173" s="43"/>
      <c r="D173" s="51"/>
      <c r="E173" s="51"/>
      <c r="F173" s="52"/>
      <c r="G173" s="41">
        <v>0.11808</v>
      </c>
      <c r="H173" s="28">
        <v>5.2998399999999997</v>
      </c>
      <c r="I173" s="29"/>
      <c r="J173" s="30"/>
      <c r="O173" t="str">
        <f>CONCATENATE(B173,"-ARGON-",H173)</f>
        <v>QC 2 (Ar 98%, CO2 2%) B10 / 300BAR-ARGON-5,29984</v>
      </c>
      <c r="P173" t="str">
        <f>CONCATENATE(B173,"-CO2-",G173)</f>
        <v>QC 2 (Ar 98%, CO2 2%) B10 / 300BAR-CO2-0,11808</v>
      </c>
    </row>
    <row r="174" spans="1:16">
      <c r="A174">
        <v>175</v>
      </c>
      <c r="B174" s="5" t="s">
        <v>151</v>
      </c>
      <c r="C174" s="43"/>
      <c r="D174" s="51"/>
      <c r="E174" s="51"/>
      <c r="F174" s="52"/>
      <c r="G174" s="41">
        <v>0.16531200000000001</v>
      </c>
      <c r="H174" s="28">
        <v>7.4197760000000006</v>
      </c>
      <c r="I174" s="29"/>
      <c r="J174" s="30"/>
      <c r="O174" t="str">
        <f>CONCATENATE(B174,"-ARGON-",H174)</f>
        <v>QC 2 (Ar 98%, CO2 2%) B14 / 300BAR-ARGON-7,419776</v>
      </c>
      <c r="P174" t="str">
        <f>CONCATENATE(B174,"-CO2-",G174)</f>
        <v>QC 2 (Ar 98%, CO2 2%) B14 / 300BAR-CO2-0,165312</v>
      </c>
    </row>
    <row r="175" spans="1:16">
      <c r="A175">
        <v>176</v>
      </c>
      <c r="B175" s="5" t="s">
        <v>152</v>
      </c>
      <c r="C175" s="43"/>
      <c r="D175" s="51"/>
      <c r="E175" s="51"/>
      <c r="F175" s="52"/>
      <c r="G175" s="41">
        <v>0.18892800000000001</v>
      </c>
      <c r="H175" s="28">
        <v>8.4797440000000002</v>
      </c>
      <c r="I175" s="29"/>
      <c r="J175" s="30"/>
      <c r="O175" t="str">
        <f>CONCATENATE(B175,"-ARGON-",H175)</f>
        <v>QC 2 (Ar 98%, CO2 2%) B16 / 300BAR-ARGON-8,479744</v>
      </c>
      <c r="P175" t="str">
        <f>CONCATENATE(B175,"-CO2-",G175)</f>
        <v>QC 2 (Ar 98%, CO2 2%) B16 / 300BAR-CO2-0,188928</v>
      </c>
    </row>
    <row r="176" spans="1:16">
      <c r="A176">
        <v>177</v>
      </c>
      <c r="B176" s="5" t="s">
        <v>153</v>
      </c>
      <c r="C176" s="43"/>
      <c r="D176" s="51"/>
      <c r="E176" s="51"/>
      <c r="F176" s="52"/>
      <c r="G176" s="41">
        <v>0.23616000000000001</v>
      </c>
      <c r="H176" s="28">
        <v>10.599679999999999</v>
      </c>
      <c r="I176" s="29"/>
      <c r="J176" s="30"/>
      <c r="O176" t="str">
        <f>CONCATENATE(B176,"-ARGON-",H176)</f>
        <v>QC 2 (Ar 98%, CO2 2%) B20 / 300BAR-ARGON-10,59968</v>
      </c>
      <c r="P176" t="str">
        <f>CONCATENATE(B176,"-CO2-",G176)</f>
        <v>QC 2 (Ar 98%, CO2 2%) B20 / 300BAR-CO2-0,23616</v>
      </c>
    </row>
    <row r="177" spans="1:16">
      <c r="A177">
        <v>178</v>
      </c>
      <c r="B177" s="5" t="s">
        <v>154</v>
      </c>
      <c r="C177" s="43"/>
      <c r="D177" s="51"/>
      <c r="E177" s="51"/>
      <c r="F177" s="52"/>
      <c r="G177" s="41">
        <v>0.35424</v>
      </c>
      <c r="H177" s="28">
        <v>15.899519999999999</v>
      </c>
      <c r="I177" s="29"/>
      <c r="J177" s="30"/>
      <c r="O177" t="str">
        <f>CONCATENATE(B177,"-ARGON-",H177)</f>
        <v>QC 2 (Ar 98%, CO2 2%) B30 / 300BAR-ARGON-15,89952</v>
      </c>
      <c r="P177" t="str">
        <f>CONCATENATE(B177,"-CO2-",G177)</f>
        <v>QC 2 (Ar 98%, CO2 2%) B30 / 300BAR-CO2-0,35424</v>
      </c>
    </row>
    <row r="178" spans="1:16">
      <c r="A178">
        <v>179</v>
      </c>
      <c r="B178" s="5" t="s">
        <v>155</v>
      </c>
      <c r="C178" s="43"/>
      <c r="D178" s="51"/>
      <c r="E178" s="51"/>
      <c r="F178" s="52"/>
      <c r="G178" s="41">
        <v>0.47232000000000002</v>
      </c>
      <c r="H178" s="28">
        <v>21.199359999999999</v>
      </c>
      <c r="I178" s="29"/>
      <c r="J178" s="30"/>
      <c r="O178" t="str">
        <f>CONCATENATE(B178,"-ARGON-",H178)</f>
        <v>QC 2 (Ar 98%, CO2 2%) B40 / 300BAR-ARGON-21,19936</v>
      </c>
      <c r="P178" t="str">
        <f>CONCATENATE(B178,"-CO2-",G178)</f>
        <v>QC 2 (Ar 98%, CO2 2%) B40 / 300BAR-CO2-0,47232</v>
      </c>
    </row>
    <row r="179" spans="1:16">
      <c r="A179">
        <v>180</v>
      </c>
      <c r="B179" s="5" t="s">
        <v>156</v>
      </c>
      <c r="C179" s="43"/>
      <c r="D179" s="51"/>
      <c r="E179" s="51"/>
      <c r="F179" s="52"/>
      <c r="G179" s="41">
        <v>0.59040000000000004</v>
      </c>
      <c r="H179" s="28">
        <v>26.499199999999998</v>
      </c>
      <c r="I179" s="29"/>
      <c r="J179" s="30"/>
      <c r="O179" t="str">
        <f>CONCATENATE(B179,"-ARGON-",H179)</f>
        <v>QC 2 (Ar 98%, CO2 2%) B50 / 300BAR-ARGON-26,4992</v>
      </c>
      <c r="P179" t="str">
        <f>CONCATENATE(B179,"-CO2-",G179)</f>
        <v>QC 2 (Ar 98%, CO2 2%) B50 / 300BAR-CO2-0,5904</v>
      </c>
    </row>
    <row r="180" spans="1:16">
      <c r="A180">
        <v>181</v>
      </c>
      <c r="B180" s="5" t="s">
        <v>157</v>
      </c>
      <c r="C180" s="43"/>
      <c r="D180" s="51"/>
      <c r="E180" s="51"/>
      <c r="F180" s="52"/>
      <c r="G180" s="41">
        <v>0.94464000000000004</v>
      </c>
      <c r="H180" s="28">
        <v>42.398719999999997</v>
      </c>
      <c r="I180" s="29"/>
      <c r="J180" s="30"/>
      <c r="O180" t="str">
        <f>CONCATENATE(B180,"-ARGON-",H180)</f>
        <v>QC 2 (Ar 98%, CO2 2%) B80 / 300BAR-ARGON-42,39872</v>
      </c>
      <c r="P180" t="str">
        <f>CONCATENATE(B180,"-CO2-",G180)</f>
        <v>QC 2 (Ar 98%, CO2 2%) B80 / 300BAR-CO2-0,94464</v>
      </c>
    </row>
    <row r="181" spans="1:16">
      <c r="A181">
        <v>182</v>
      </c>
      <c r="B181" s="5" t="s">
        <v>158</v>
      </c>
      <c r="C181" s="43"/>
      <c r="D181" s="50"/>
      <c r="E181" s="50"/>
      <c r="F181" s="40"/>
      <c r="G181" s="41">
        <v>7.0847999999999995</v>
      </c>
      <c r="H181" s="28">
        <v>317.99039999999997</v>
      </c>
      <c r="I181" s="29"/>
      <c r="J181" s="30"/>
      <c r="O181" t="str">
        <f>CONCATENATE(B181,"-ARGON-",H181)</f>
        <v>QC 2 (Ar 98%, CO2 2%) 12*50 / 300BAR-ARGON-317,9904</v>
      </c>
      <c r="P181" t="str">
        <f>CONCATENATE(B181,"-CO2-",G181)</f>
        <v>QC 2 (Ar 98%, CO2 2%) 12*50 / 300BAR-CO2-7,0848</v>
      </c>
    </row>
    <row r="182" spans="1:16">
      <c r="A182">
        <v>183</v>
      </c>
      <c r="B182" s="5" t="s">
        <v>159</v>
      </c>
      <c r="C182" s="31"/>
      <c r="D182" s="32"/>
      <c r="E182" s="32"/>
      <c r="F182" s="23"/>
      <c r="G182" s="24">
        <v>9.4464000000000006</v>
      </c>
      <c r="H182" s="25">
        <v>423.98719999999997</v>
      </c>
      <c r="I182" s="26"/>
      <c r="J182" s="27"/>
      <c r="O182" t="str">
        <f>CONCATENATE(B182,"-ARGON-",H182)</f>
        <v>QC 2 (Ar 98%, CO2 2%) 16*50 / 300BAR-ARGON-423,9872</v>
      </c>
      <c r="P182" t="str">
        <f>CONCATENATE(B182,"-CO2-",G182)</f>
        <v>QC 2 (Ar 98%, CO2 2%) 16*50 / 300BAR-CO2-9,4464</v>
      </c>
    </row>
    <row r="183" spans="1:16">
      <c r="A183">
        <v>184</v>
      </c>
      <c r="B183" s="5" t="s">
        <v>160</v>
      </c>
      <c r="C183" s="31"/>
      <c r="D183" s="22"/>
      <c r="E183" s="32"/>
      <c r="F183" s="23"/>
      <c r="G183" s="61">
        <v>11.33568</v>
      </c>
      <c r="H183" s="25">
        <v>508.78463999999997</v>
      </c>
      <c r="I183" s="26"/>
      <c r="J183" s="27"/>
      <c r="O183" t="str">
        <f>CONCATENATE(B183,"-ARGON-",H183)</f>
        <v>QC 2 (Ar 98%, CO2 2%) 12*80 / 300BAR-ARGON-508,78464</v>
      </c>
      <c r="P183" t="str">
        <f>CONCATENATE(B183,"-CO2-",G183)</f>
        <v>QC 2 (Ar 98%, CO2 2%) 12*80 / 300BAR-CO2-11,33568</v>
      </c>
    </row>
    <row r="184" spans="1:16">
      <c r="A184">
        <v>185</v>
      </c>
      <c r="B184" s="6" t="s">
        <v>161</v>
      </c>
      <c r="C184" s="43"/>
      <c r="D184" s="22"/>
      <c r="E184" s="32"/>
      <c r="F184" s="23"/>
      <c r="G184" s="61">
        <v>15.114240000000001</v>
      </c>
      <c r="H184" s="25">
        <v>678.37951999999996</v>
      </c>
      <c r="I184" s="26"/>
      <c r="J184" s="27"/>
      <c r="O184" t="str">
        <f>CONCATENATE(B184,"-ARGON-",H184)</f>
        <v>QC 2 (Ar 98%, CO2 2%) 16*80 / 300BAR-ARGON-678,37952</v>
      </c>
      <c r="P184" t="str">
        <f>CONCATENATE(B184,"-CO2-",G184)</f>
        <v>QC 2 (Ar 98%, CO2 2%) 16*80 / 300BAR-CO2-15,11424</v>
      </c>
    </row>
    <row r="185" spans="1:16">
      <c r="A185">
        <v>214</v>
      </c>
      <c r="B185" s="3" t="s">
        <v>184</v>
      </c>
      <c r="C185" s="43"/>
      <c r="D185" s="22"/>
      <c r="E185" s="32"/>
      <c r="F185" s="23">
        <v>0.10723679999999999</v>
      </c>
      <c r="G185" s="61"/>
      <c r="H185" s="25"/>
      <c r="I185" s="26"/>
      <c r="J185" s="27">
        <v>0.37540799999999996</v>
      </c>
      <c r="M185" t="str">
        <f>CONCATENATE(B185,"-OXIGENO-",F185)</f>
        <v>Aire Sintético Comprimido (N2 + O2 20%) B2 / 200BAR-OXIGENO-0,1072368</v>
      </c>
      <c r="N185" t="str">
        <f>CONCATENATE(B185,"-NITROGENO-",J185)</f>
        <v>Aire Sintético Comprimido (N2 + O2 20%) B2 / 200BAR-NITROGENO-0,375408</v>
      </c>
    </row>
    <row r="186" spans="1:16">
      <c r="A186">
        <v>215</v>
      </c>
      <c r="B186" s="4" t="s">
        <v>185</v>
      </c>
      <c r="C186" s="43"/>
      <c r="D186" s="22"/>
      <c r="E186" s="32"/>
      <c r="F186" s="23">
        <v>0.268092</v>
      </c>
      <c r="G186" s="61"/>
      <c r="H186" s="25"/>
      <c r="I186" s="26"/>
      <c r="J186" s="27">
        <v>0.93851999999999991</v>
      </c>
      <c r="M186" t="str">
        <f>CONCATENATE(B186,"-OXIGENO-",F186)</f>
        <v>Aire Sintético Comprimido (N2 + O2 20%)  B5 / 200BAR-OXIGENO-0,268092</v>
      </c>
      <c r="N186" t="str">
        <f>CONCATENATE(B186,"-NITROGENO-",J186)</f>
        <v>Aire Sintético Comprimido (N2 + O2 20%)  B5 / 200BAR-NITROGENO-0,93852</v>
      </c>
    </row>
    <row r="187" spans="1:16">
      <c r="A187">
        <v>216</v>
      </c>
      <c r="B187" s="4" t="s">
        <v>186</v>
      </c>
      <c r="C187" s="43"/>
      <c r="D187" s="22"/>
      <c r="E187" s="32"/>
      <c r="F187" s="23">
        <v>0.37532880000000002</v>
      </c>
      <c r="G187" s="61"/>
      <c r="H187" s="25"/>
      <c r="I187" s="26"/>
      <c r="J187" s="27">
        <v>1.313928</v>
      </c>
      <c r="M187" t="str">
        <f>CONCATENATE(B187,"-OXIGENO-",F187)</f>
        <v>Aire Sintético Comprimido (N2 + O2 20%)  B7 / 200BAR -OXIGENO-0,3753288</v>
      </c>
      <c r="N187" t="str">
        <f>CONCATENATE(B187,"-NITROGENO-",J187)</f>
        <v>Aire Sintético Comprimido (N2 + O2 20%)  B7 / 200BAR -NITROGENO-1,313928</v>
      </c>
    </row>
    <row r="188" spans="1:16">
      <c r="A188">
        <v>217</v>
      </c>
      <c r="B188" s="4" t="s">
        <v>187</v>
      </c>
      <c r="C188" s="43"/>
      <c r="D188" s="22"/>
      <c r="E188" s="32"/>
      <c r="F188" s="23">
        <v>0.53618399999999999</v>
      </c>
      <c r="G188" s="61"/>
      <c r="H188" s="25"/>
      <c r="I188" s="26"/>
      <c r="J188" s="27">
        <v>1.8770399999999998</v>
      </c>
      <c r="M188" t="str">
        <f>CONCATENATE(B188,"-OXIGENO-",F188)</f>
        <v>Aire Sintético Comprimido (N2 + O2 20%)  B10 / 200BAR-OXIGENO-0,536184</v>
      </c>
      <c r="N188" t="str">
        <f>CONCATENATE(B188,"-NITROGENO-",J188)</f>
        <v>Aire Sintético Comprimido (N2 + O2 20%)  B10 / 200BAR-NITROGENO-1,87704</v>
      </c>
    </row>
    <row r="189" spans="1:16">
      <c r="A189">
        <v>218</v>
      </c>
      <c r="B189" s="4" t="s">
        <v>188</v>
      </c>
      <c r="C189" s="43"/>
      <c r="D189" s="22"/>
      <c r="E189" s="32"/>
      <c r="F189" s="23">
        <v>0.75065760000000004</v>
      </c>
      <c r="G189" s="61"/>
      <c r="H189" s="25"/>
      <c r="I189" s="26"/>
      <c r="J189" s="27">
        <v>2.627856</v>
      </c>
      <c r="M189" t="str">
        <f>CONCATENATE(B189,"-OXIGENO-",F189)</f>
        <v>Aire Sintético Comprimido (N2 + O2 20%)  B14 / 200BAR -OXIGENO-0,7506576</v>
      </c>
      <c r="N189" t="str">
        <f>CONCATENATE(B189,"-NITROGENO-",J189)</f>
        <v>Aire Sintético Comprimido (N2 + O2 20%)  B14 / 200BAR -NITROGENO-2,627856</v>
      </c>
    </row>
    <row r="190" spans="1:16">
      <c r="A190">
        <v>219</v>
      </c>
      <c r="B190" s="4" t="s">
        <v>189</v>
      </c>
      <c r="C190" s="43"/>
      <c r="D190" s="22"/>
      <c r="E190" s="32"/>
      <c r="F190" s="23">
        <v>0.85789439999999995</v>
      </c>
      <c r="G190" s="61"/>
      <c r="H190" s="25"/>
      <c r="I190" s="26"/>
      <c r="J190" s="27">
        <v>3.0032639999999997</v>
      </c>
      <c r="M190" t="str">
        <f>CONCATENATE(B190,"-OXIGENO-",F190)</f>
        <v>Aire Sintético Comprimido (N2 + O2 20%) B16 / 200BAR-OXIGENO-0,8578944</v>
      </c>
      <c r="N190" t="str">
        <f>CONCATENATE(B190,"-NITROGENO-",J190)</f>
        <v>Aire Sintético Comprimido (N2 + O2 20%) B16 / 200BAR-NITROGENO-3,003264</v>
      </c>
    </row>
    <row r="191" spans="1:16">
      <c r="A191">
        <v>220</v>
      </c>
      <c r="B191" s="4" t="s">
        <v>190</v>
      </c>
      <c r="C191" s="43"/>
      <c r="D191" s="22"/>
      <c r="E191" s="32"/>
      <c r="F191" s="23">
        <v>1.072368</v>
      </c>
      <c r="G191" s="61"/>
      <c r="H191" s="25"/>
      <c r="I191" s="26"/>
      <c r="J191" s="27">
        <v>3.7540799999999996</v>
      </c>
      <c r="M191" t="str">
        <f>CONCATENATE(B191,"-OXIGENO-",F191)</f>
        <v>Aire Sintético Comprimido (N2 + O2 20%) B20 / 200BAR-OXIGENO-1,072368</v>
      </c>
      <c r="N191" t="str">
        <f>CONCATENATE(B191,"-NITROGENO-",J191)</f>
        <v>Aire Sintético Comprimido (N2 + O2 20%) B20 / 200BAR-NITROGENO-3,75408</v>
      </c>
    </row>
    <row r="192" spans="1:16">
      <c r="A192">
        <v>221</v>
      </c>
      <c r="B192" s="4" t="s">
        <v>191</v>
      </c>
      <c r="C192" s="43"/>
      <c r="D192" s="22"/>
      <c r="E192" s="32"/>
      <c r="F192" s="23">
        <v>1.608552</v>
      </c>
      <c r="G192" s="61"/>
      <c r="H192" s="25"/>
      <c r="I192" s="26"/>
      <c r="J192" s="27">
        <v>5.6311200000000001</v>
      </c>
      <c r="M192" t="str">
        <f>CONCATENATE(B192,"-OXIGENO-",F192)</f>
        <v>Aire Sintético Comprimido (N2 + O2 20%) B30 / 200BAR-OXIGENO-1,608552</v>
      </c>
      <c r="N192" t="str">
        <f>CONCATENATE(B192,"-NITROGENO-",J192)</f>
        <v>Aire Sintético Comprimido (N2 + O2 20%) B30 / 200BAR-NITROGENO-5,63112</v>
      </c>
    </row>
    <row r="193" spans="1:14">
      <c r="A193">
        <v>222</v>
      </c>
      <c r="B193" s="4" t="s">
        <v>192</v>
      </c>
      <c r="C193" s="43"/>
      <c r="D193" s="22"/>
      <c r="E193" s="32"/>
      <c r="F193" s="23">
        <v>2.144736</v>
      </c>
      <c r="G193" s="61"/>
      <c r="H193" s="25"/>
      <c r="I193" s="26"/>
      <c r="J193" s="27">
        <v>7.5081599999999993</v>
      </c>
      <c r="M193" t="str">
        <f>CONCATENATE(B193,"-OXIGENO-",F193)</f>
        <v>Aire Sintético Comprimido  (N2 + O2 20%)  B40 / 200BAR-OXIGENO-2,144736</v>
      </c>
      <c r="N193" t="str">
        <f>CONCATENATE(B193,"-NITROGENO-",J193)</f>
        <v>Aire Sintético Comprimido  (N2 + O2 20%)  B40 / 200BAR-NITROGENO-7,50816</v>
      </c>
    </row>
    <row r="194" spans="1:14">
      <c r="A194">
        <v>223</v>
      </c>
      <c r="B194" s="4" t="s">
        <v>193</v>
      </c>
      <c r="C194" s="43"/>
      <c r="D194" s="32"/>
      <c r="E194" s="32"/>
      <c r="F194" s="23">
        <v>2.68092</v>
      </c>
      <c r="G194" s="24"/>
      <c r="H194" s="25"/>
      <c r="I194" s="26"/>
      <c r="J194" s="27">
        <v>9.3852000000000011</v>
      </c>
      <c r="M194" t="str">
        <f>CONCATENATE(B194,"-OXIGENO-",F194)</f>
        <v>Aire Sintético Comprimido (N2 + O2 20%)  B50 / 200BAR-OXIGENO-2,68092</v>
      </c>
      <c r="N194" t="str">
        <f>CONCATENATE(B194,"-NITROGENO-",J194)</f>
        <v>Aire Sintético Comprimido (N2 + O2 20%)  B50 / 200BAR-NITROGENO-9,3852</v>
      </c>
    </row>
    <row r="195" spans="1:14">
      <c r="A195">
        <v>224</v>
      </c>
      <c r="B195" s="4" t="s">
        <v>194</v>
      </c>
      <c r="C195" s="43"/>
      <c r="D195" s="32"/>
      <c r="E195" s="32"/>
      <c r="F195" s="23">
        <v>4.289472</v>
      </c>
      <c r="G195" s="24"/>
      <c r="H195" s="25"/>
      <c r="I195" s="26"/>
      <c r="J195" s="27">
        <v>15.016319999999999</v>
      </c>
      <c r="M195" t="str">
        <f>CONCATENATE(B195,"-OXIGENO-",F195)</f>
        <v>Aire Sintético Comprimido (N2 + O2 20%) B80 / 200BAR-OXIGENO-4,289472</v>
      </c>
      <c r="N195" t="str">
        <f>CONCATENATE(B195,"-NITROGENO-",J195)</f>
        <v>Aire Sintético Comprimido (N2 + O2 20%) B80 / 200BAR-NITROGENO-15,01632</v>
      </c>
    </row>
    <row r="196" spans="1:14">
      <c r="A196">
        <v>225</v>
      </c>
      <c r="B196" s="4" t="s">
        <v>195</v>
      </c>
      <c r="C196" s="43"/>
      <c r="D196" s="22"/>
      <c r="E196" s="32"/>
      <c r="F196" s="23">
        <v>32.171040000000012</v>
      </c>
      <c r="G196" s="61"/>
      <c r="H196" s="25"/>
      <c r="I196" s="26"/>
      <c r="J196" s="27">
        <v>112.62240000000003</v>
      </c>
      <c r="M196" t="str">
        <f>CONCATENATE(B196,"-OXIGENO-",F196)</f>
        <v>Aire Sintético Comprimido (N2 + O2 20%)  12*50 / 200BAR-OXIGENO-32,17104</v>
      </c>
      <c r="N196" t="str">
        <f>CONCATENATE(B196,"-NITROGENO-",J196)</f>
        <v>Aire Sintético Comprimido (N2 + O2 20%)  12*50 / 200BAR-NITROGENO-112,6224</v>
      </c>
    </row>
    <row r="197" spans="1:14">
      <c r="A197">
        <v>226</v>
      </c>
      <c r="B197" s="3" t="s">
        <v>196</v>
      </c>
      <c r="C197" s="43"/>
      <c r="D197" s="22"/>
      <c r="E197" s="32"/>
      <c r="F197" s="23">
        <v>42.89472</v>
      </c>
      <c r="G197" s="61"/>
      <c r="H197" s="25"/>
      <c r="I197" s="26"/>
      <c r="J197" s="27">
        <v>150.16320000000002</v>
      </c>
      <c r="M197" t="str">
        <f>CONCATENATE(B197,"-OXIGENO-",F197)</f>
        <v>Aire Sintético Comprimido (N2 + O2 20%) 16*50 / 200BAR-OXIGENO-42,89472</v>
      </c>
      <c r="N197" t="str">
        <f>CONCATENATE(B197,"-NITROGENO-",J197)</f>
        <v>Aire Sintético Comprimido (N2 + O2 20%) 16*50 / 200BAR-NITROGENO-150,1632</v>
      </c>
    </row>
    <row r="198" spans="1:14">
      <c r="A198">
        <v>227</v>
      </c>
      <c r="B198" s="3" t="s">
        <v>197</v>
      </c>
      <c r="C198" s="31"/>
      <c r="D198" s="22"/>
      <c r="E198" s="32"/>
      <c r="F198" s="23">
        <v>51.473663999999999</v>
      </c>
      <c r="G198" s="61"/>
      <c r="H198" s="28"/>
      <c r="I198" s="29"/>
      <c r="J198" s="30">
        <v>180.19584</v>
      </c>
      <c r="M198" t="str">
        <f>CONCATENATE(B198,"-OXIGENO-",F198)</f>
        <v>Aire Sintético Comprimido (N2 + O2 20%) 12*80 / 200BAR-OXIGENO-51,473664</v>
      </c>
      <c r="N198" t="str">
        <f>CONCATENATE(B198,"-NITROGENO-",J198)</f>
        <v>Aire Sintético Comprimido (N2 + O2 20%) 12*80 / 200BAR-NITROGENO-180,19584</v>
      </c>
    </row>
    <row r="199" spans="1:14">
      <c r="A199">
        <v>228</v>
      </c>
      <c r="B199" s="4" t="s">
        <v>198</v>
      </c>
      <c r="C199" s="31"/>
      <c r="D199" s="22"/>
      <c r="E199" s="32"/>
      <c r="F199" s="23">
        <v>68.631551999999999</v>
      </c>
      <c r="G199" s="61"/>
      <c r="H199" s="28"/>
      <c r="I199" s="29"/>
      <c r="J199" s="30">
        <v>240.26111999999998</v>
      </c>
      <c r="M199" t="str">
        <f>CONCATENATE(B199,"-OXIGENO-",F199)</f>
        <v>Aire Sintético Comprimido (N2 + O2 20%) 16*80 / 200BAR-OXIGENO-68,631552</v>
      </c>
      <c r="N199" t="str">
        <f>CONCATENATE(B199,"-NITROGENO-",J199)</f>
        <v>Aire Sintético Comprimido (N2 + O2 20%) 16*80 / 200BAR-NITROGENO-240,26112</v>
      </c>
    </row>
    <row r="200" spans="1:14">
      <c r="A200">
        <v>231</v>
      </c>
      <c r="B200" s="5" t="s">
        <v>199</v>
      </c>
      <c r="C200" s="31"/>
      <c r="D200" s="22"/>
      <c r="E200" s="32"/>
      <c r="F200" s="23">
        <v>0.1608552</v>
      </c>
      <c r="G200" s="61"/>
      <c r="H200" s="28"/>
      <c r="I200" s="29"/>
      <c r="J200" s="30">
        <v>0.57015090000000002</v>
      </c>
      <c r="M200" t="str">
        <f>CONCATENATE(B200,"-OXIGENO-",F200)</f>
        <v>Aire Sintético Comprimido B2 / 300BAR-OXIGENO-0,1608552</v>
      </c>
      <c r="N200" t="str">
        <f>CONCATENATE(B200,"-NITROGENO-",J200)</f>
        <v>Aire Sintético Comprimido B2 / 300BAR-NITROGENO-0,5701509</v>
      </c>
    </row>
    <row r="201" spans="1:14">
      <c r="A201">
        <v>232</v>
      </c>
      <c r="B201" s="5" t="s">
        <v>200</v>
      </c>
      <c r="C201" s="31"/>
      <c r="D201" s="22"/>
      <c r="E201" s="32"/>
      <c r="F201" s="23">
        <v>0.402138</v>
      </c>
      <c r="G201" s="61"/>
      <c r="H201" s="28"/>
      <c r="I201" s="29"/>
      <c r="J201" s="30">
        <v>1.4253772499999999</v>
      </c>
      <c r="M201" t="str">
        <f>CONCATENATE(B201,"-OXIGENO-",F201)</f>
        <v>Aire Sintético Comprimido B5 / 300BAR-OXIGENO-0,402138</v>
      </c>
      <c r="N201" t="str">
        <f>CONCATENATE(B201,"-NITROGENO-",J201)</f>
        <v>Aire Sintético Comprimido B5 / 300BAR-NITROGENO-1,42537725</v>
      </c>
    </row>
    <row r="202" spans="1:14">
      <c r="A202">
        <v>233</v>
      </c>
      <c r="B202" s="5" t="s">
        <v>201</v>
      </c>
      <c r="C202" s="31"/>
      <c r="D202" s="22"/>
      <c r="E202" s="32"/>
      <c r="F202" s="23">
        <v>0.56299319999999997</v>
      </c>
      <c r="G202" s="61"/>
      <c r="H202" s="28"/>
      <c r="I202" s="29"/>
      <c r="J202" s="30">
        <v>1.9955281499999997</v>
      </c>
      <c r="M202" t="str">
        <f>CONCATENATE(B202,"-OXIGENO-",F202)</f>
        <v>Aire Sintético Comprimido B7 / 300BAR-OXIGENO-0,5629932</v>
      </c>
      <c r="N202" t="str">
        <f>CONCATENATE(B202,"-NITROGENO-",J202)</f>
        <v>Aire Sintético Comprimido B7 / 300BAR-NITROGENO-1,99552815</v>
      </c>
    </row>
    <row r="203" spans="1:14">
      <c r="A203">
        <v>234</v>
      </c>
      <c r="B203" s="5" t="s">
        <v>202</v>
      </c>
      <c r="C203" s="31"/>
      <c r="D203" s="22"/>
      <c r="E203" s="32"/>
      <c r="F203" s="23">
        <v>0.80427599999999999</v>
      </c>
      <c r="G203" s="61"/>
      <c r="H203" s="28"/>
      <c r="I203" s="29"/>
      <c r="J203" s="30">
        <v>2.8507544999999999</v>
      </c>
      <c r="M203" t="str">
        <f>CONCATENATE(B203,"-OXIGENO-",F203)</f>
        <v>Aire Sintético Comprimido B10 / 300BAR-OXIGENO-0,804276</v>
      </c>
      <c r="N203" t="str">
        <f>CONCATENATE(B203,"-NITROGENO-",J203)</f>
        <v>Aire Sintético Comprimido B10 / 300BAR-NITROGENO-2,8507545</v>
      </c>
    </row>
    <row r="204" spans="1:14">
      <c r="A204">
        <v>235</v>
      </c>
      <c r="B204" s="5" t="s">
        <v>203</v>
      </c>
      <c r="C204" s="31"/>
      <c r="D204" s="22"/>
      <c r="E204" s="32"/>
      <c r="F204" s="23">
        <v>1.1259863999999999</v>
      </c>
      <c r="G204" s="61"/>
      <c r="H204" s="28"/>
      <c r="I204" s="29"/>
      <c r="J204" s="30">
        <v>3.9910562999999994</v>
      </c>
      <c r="M204" t="str">
        <f>CONCATENATE(B204,"-OXIGENO-",F204)</f>
        <v>Aire Sintético Comprimido B14 / 300BAR-OXIGENO-1,1259864</v>
      </c>
      <c r="N204" t="str">
        <f>CONCATENATE(B204,"-NITROGENO-",J204)</f>
        <v>Aire Sintético Comprimido B14 / 300BAR-NITROGENO-3,9910563</v>
      </c>
    </row>
    <row r="205" spans="1:14">
      <c r="A205">
        <v>236</v>
      </c>
      <c r="B205" s="5" t="s">
        <v>204</v>
      </c>
      <c r="C205" s="31"/>
      <c r="D205" s="22"/>
      <c r="E205" s="32"/>
      <c r="F205" s="23">
        <v>1.2868416</v>
      </c>
      <c r="G205" s="61"/>
      <c r="H205" s="28"/>
      <c r="I205" s="29"/>
      <c r="J205" s="30">
        <v>4.5612072000000001</v>
      </c>
      <c r="M205" t="str">
        <f>CONCATENATE(B205,"-OXIGENO-",F205)</f>
        <v>Aire Sintético Comprimido B16 / 300BAR-OXIGENO-1,2868416</v>
      </c>
      <c r="N205" t="str">
        <f>CONCATENATE(B205,"-NITROGENO-",J205)</f>
        <v>Aire Sintético Comprimido B16 / 300BAR-NITROGENO-4,5612072</v>
      </c>
    </row>
    <row r="206" spans="1:14">
      <c r="A206">
        <v>237</v>
      </c>
      <c r="B206" s="5" t="s">
        <v>205</v>
      </c>
      <c r="C206" s="31"/>
      <c r="D206" s="22"/>
      <c r="E206" s="32"/>
      <c r="F206" s="23">
        <v>1.608552</v>
      </c>
      <c r="G206" s="61"/>
      <c r="H206" s="28"/>
      <c r="I206" s="29"/>
      <c r="J206" s="30">
        <v>5.7015089999999997</v>
      </c>
      <c r="M206" t="str">
        <f>CONCATENATE(B206,"-OXIGENO-",F206)</f>
        <v>Aire Sintético Comprimido B20 / 300BAR-OXIGENO-1,608552</v>
      </c>
      <c r="N206" t="str">
        <f>CONCATENATE(B206,"-NITROGENO-",J206)</f>
        <v>Aire Sintético Comprimido B20 / 300BAR-NITROGENO-5,701509</v>
      </c>
    </row>
    <row r="207" spans="1:14">
      <c r="A207">
        <v>238</v>
      </c>
      <c r="B207" s="5" t="s">
        <v>206</v>
      </c>
      <c r="C207" s="31"/>
      <c r="D207" s="32"/>
      <c r="E207" s="32"/>
      <c r="F207" s="23">
        <v>2.4128280000000002</v>
      </c>
      <c r="G207" s="24"/>
      <c r="H207" s="28"/>
      <c r="I207" s="29"/>
      <c r="J207" s="30">
        <v>8.5522635000000005</v>
      </c>
      <c r="M207" t="str">
        <f>CONCATENATE(B207,"-OXIGENO-",F207)</f>
        <v>Aire Sintético Comprimido B30 / 300BAR-OXIGENO-2,412828</v>
      </c>
      <c r="N207" t="str">
        <f>CONCATENATE(B207,"-NITROGENO-",J207)</f>
        <v>Aire Sintético Comprimido B30 / 300BAR-NITROGENO-8,5522635</v>
      </c>
    </row>
    <row r="208" spans="1:14">
      <c r="A208">
        <v>239</v>
      </c>
      <c r="B208" s="5" t="s">
        <v>207</v>
      </c>
      <c r="C208" s="31"/>
      <c r="D208" s="32"/>
      <c r="E208" s="32"/>
      <c r="F208" s="23">
        <v>3.217104</v>
      </c>
      <c r="G208" s="24"/>
      <c r="H208" s="28"/>
      <c r="I208" s="29"/>
      <c r="J208" s="30">
        <v>11.403017999999999</v>
      </c>
      <c r="M208" t="str">
        <f>CONCATENATE(B208,"-OXIGENO-",F208)</f>
        <v>Aire Sintético Comprimido B40 / 300BAR-OXIGENO-3,217104</v>
      </c>
      <c r="N208" t="str">
        <f>CONCATENATE(B208,"-NITROGENO-",J208)</f>
        <v>Aire Sintético Comprimido B40 / 300BAR-NITROGENO-11,403018</v>
      </c>
    </row>
    <row r="209" spans="1:14">
      <c r="A209">
        <v>240</v>
      </c>
      <c r="B209" s="5" t="s">
        <v>208</v>
      </c>
      <c r="C209" s="64"/>
      <c r="D209" s="32"/>
      <c r="E209" s="32"/>
      <c r="F209" s="23">
        <v>4.0213799999999997</v>
      </c>
      <c r="G209" s="24"/>
      <c r="H209" s="63"/>
      <c r="I209" s="29"/>
      <c r="J209" s="30">
        <v>14.2537725</v>
      </c>
      <c r="M209" t="str">
        <f>CONCATENATE(B209,"-OXIGENO-",F209)</f>
        <v>Aire Sintético Comprimido B50 / 300BAR-OXIGENO-4,02138</v>
      </c>
      <c r="N209" t="str">
        <f>CONCATENATE(B209,"-NITROGENO-",J209)</f>
        <v>Aire Sintético Comprimido B50 / 300BAR-NITROGENO-14,2537725</v>
      </c>
    </row>
    <row r="210" spans="1:14">
      <c r="A210">
        <v>241</v>
      </c>
      <c r="B210" s="6" t="s">
        <v>209</v>
      </c>
      <c r="C210" s="64"/>
      <c r="D210" s="32"/>
      <c r="E210" s="32"/>
      <c r="F210" s="23">
        <v>6.4342079999999999</v>
      </c>
      <c r="G210" s="24"/>
      <c r="H210" s="63"/>
      <c r="I210" s="29"/>
      <c r="J210" s="30">
        <v>22.806035999999999</v>
      </c>
      <c r="M210" t="str">
        <f>CONCATENATE(B210,"-OXIGENO-",F210)</f>
        <v>Aire Sintético Comprimido B80 / 300BAR-OXIGENO-6,434208</v>
      </c>
      <c r="N210" t="str">
        <f>CONCATENATE(B210,"-NITROGENO-",J210)</f>
        <v>Aire Sintético Comprimido B80 / 300BAR-NITROGENO-22,806036</v>
      </c>
    </row>
    <row r="211" spans="1:14">
      <c r="A211">
        <v>242</v>
      </c>
      <c r="B211" s="6" t="s">
        <v>210</v>
      </c>
      <c r="C211" s="64"/>
      <c r="D211" s="32"/>
      <c r="E211" s="32"/>
      <c r="F211" s="23">
        <v>48.256559999999993</v>
      </c>
      <c r="G211" s="24"/>
      <c r="H211" s="63"/>
      <c r="I211" s="29"/>
      <c r="J211" s="30">
        <v>171.04526999999999</v>
      </c>
      <c r="M211" t="str">
        <f>CONCATENATE(B211,"-OXIGENO-",F211)</f>
        <v>Aire Sintético Comprimido 12*50 / 300BAR-OXIGENO-48,25656</v>
      </c>
      <c r="N211" t="str">
        <f>CONCATENATE(B211,"-NITROGENO-",J211)</f>
        <v>Aire Sintético Comprimido 12*50 / 300BAR-NITROGENO-171,04527</v>
      </c>
    </row>
    <row r="212" spans="1:14">
      <c r="A212">
        <v>243</v>
      </c>
      <c r="B212" s="5" t="s">
        <v>211</v>
      </c>
      <c r="C212" s="21"/>
      <c r="D212" s="32"/>
      <c r="E212" s="32"/>
      <c r="F212" s="23">
        <v>64.342079999999996</v>
      </c>
      <c r="G212" s="24"/>
      <c r="H212" s="63"/>
      <c r="I212" s="29"/>
      <c r="J212" s="30">
        <v>228.06036</v>
      </c>
      <c r="M212" t="str">
        <f>CONCATENATE(B212,"-OXIGENO-",F212)</f>
        <v>Aire Sintético Comprimido 16*50 / 300BAR-OXIGENO-64,34208</v>
      </c>
      <c r="N212" t="str">
        <f>CONCATENATE(B212,"-NITROGENO-",J212)</f>
        <v>Aire Sintético Comprimido 16*50 / 300BAR-NITROGENO-228,06036</v>
      </c>
    </row>
    <row r="213" spans="1:14">
      <c r="A213">
        <v>244</v>
      </c>
      <c r="B213" s="5" t="s">
        <v>212</v>
      </c>
      <c r="C213" s="21"/>
      <c r="D213" s="32"/>
      <c r="E213" s="32"/>
      <c r="F213" s="23">
        <v>77.210496000000006</v>
      </c>
      <c r="H213" s="72"/>
      <c r="I213" s="38"/>
      <c r="J213" s="39">
        <v>273.67243200000001</v>
      </c>
      <c r="M213" t="str">
        <f>CONCATENATE(B213,"-OXIGENO-",F213)</f>
        <v>Aire Sintético Comprimido 12*80 / 300BAR-OXIGENO-77,210496</v>
      </c>
      <c r="N213" t="str">
        <f>CONCATENATE(B213,"-NITROGENO-",J213)</f>
        <v>Aire Sintético Comprimido 12*80 / 300BAR-NITROGENO-273,672432</v>
      </c>
    </row>
    <row r="214" spans="1:14">
      <c r="A214">
        <v>245</v>
      </c>
      <c r="B214" s="5" t="s">
        <v>213</v>
      </c>
      <c r="C214" s="21"/>
      <c r="D214" s="32"/>
      <c r="E214" s="32"/>
      <c r="F214" s="23">
        <v>102.947328</v>
      </c>
      <c r="G214" s="24"/>
      <c r="H214" s="62"/>
      <c r="I214" s="26"/>
      <c r="J214" s="27">
        <v>364.89657599999998</v>
      </c>
      <c r="M214" t="str">
        <f>CONCATENATE(B214,"-OXIGENO-",F214)</f>
        <v>Aire Sintético Comprimido 16*80 / 300BAR-OXIGENO-102,947328</v>
      </c>
      <c r="N214" t="str">
        <f>CONCATENATE(B214,"-NITROGENO-",J214)</f>
        <v>Aire Sintético Comprimido 16*80 / 300BAR-NITROGENO-364,896576</v>
      </c>
    </row>
    <row r="215" spans="1:14">
      <c r="A215">
        <v>248</v>
      </c>
      <c r="B215" s="4" t="s">
        <v>214</v>
      </c>
      <c r="C215" s="21"/>
      <c r="D215" s="32"/>
      <c r="E215" s="32"/>
      <c r="F215" s="23"/>
      <c r="G215" s="24"/>
      <c r="H215" s="62"/>
      <c r="I215" s="26"/>
      <c r="J215" s="27">
        <v>0.44556000000000001</v>
      </c>
      <c r="N215" t="str">
        <f>CONCATENATE(B215,"-NITROGENO-",J215)</f>
        <v xml:space="preserve"> Nitrógeno Industrial B2 / 200BAR-NITROGENO-0,44556</v>
      </c>
    </row>
    <row r="216" spans="1:14">
      <c r="A216">
        <v>249</v>
      </c>
      <c r="B216" s="4" t="s">
        <v>215</v>
      </c>
      <c r="C216" s="21"/>
      <c r="D216" s="32"/>
      <c r="E216" s="32"/>
      <c r="F216" s="23"/>
      <c r="G216" s="24"/>
      <c r="H216" s="62"/>
      <c r="I216" s="26"/>
      <c r="J216" s="27">
        <v>1.1138999999999999</v>
      </c>
      <c r="N216" t="str">
        <f>CONCATENATE(B216,"-NITROGENO-",J216)</f>
        <v xml:space="preserve"> Nitrógeno Industrial B5 / 200BAR-NITROGENO-1,1139</v>
      </c>
    </row>
    <row r="217" spans="1:14">
      <c r="A217">
        <v>250</v>
      </c>
      <c r="B217" s="4" t="s">
        <v>216</v>
      </c>
      <c r="C217" s="21"/>
      <c r="D217" s="32"/>
      <c r="E217" s="32"/>
      <c r="F217" s="23"/>
      <c r="G217" s="24"/>
      <c r="H217" s="62"/>
      <c r="I217" s="26"/>
      <c r="J217" s="27">
        <v>1.5594600000000001</v>
      </c>
      <c r="N217" t="str">
        <f>CONCATENATE(B217,"-NITROGENO-",J217)</f>
        <v xml:space="preserve"> Nitrógeno Industrial B7 / 200BAR-NITROGENO-1,55946</v>
      </c>
    </row>
    <row r="218" spans="1:14">
      <c r="A218">
        <v>251</v>
      </c>
      <c r="B218" s="4" t="s">
        <v>217</v>
      </c>
      <c r="C218" s="21"/>
      <c r="D218" s="32"/>
      <c r="E218" s="32"/>
      <c r="F218" s="23"/>
      <c r="G218" s="24"/>
      <c r="H218" s="62"/>
      <c r="I218" s="26"/>
      <c r="J218" s="27">
        <v>2.2277999999999998</v>
      </c>
      <c r="N218" t="str">
        <f>CONCATENATE(B218,"-NITROGENO-",J218)</f>
        <v xml:space="preserve"> Nitrógeno Industrial B10 / 200BAR-NITROGENO-2,2278</v>
      </c>
    </row>
    <row r="219" spans="1:14">
      <c r="A219">
        <v>252</v>
      </c>
      <c r="B219" s="4" t="s">
        <v>218</v>
      </c>
      <c r="C219" s="21"/>
      <c r="D219" s="32"/>
      <c r="E219" s="32"/>
      <c r="F219" s="23"/>
      <c r="G219" s="24"/>
      <c r="H219" s="62"/>
      <c r="I219" s="26"/>
      <c r="J219" s="27">
        <v>3.1189200000000001</v>
      </c>
      <c r="N219" t="str">
        <f>CONCATENATE(B219,"-NITROGENO-",J219)</f>
        <v xml:space="preserve"> Nitrógeno Industrial B14 / 200BAR-NITROGENO-3,11892</v>
      </c>
    </row>
    <row r="220" spans="1:14">
      <c r="A220">
        <v>253</v>
      </c>
      <c r="B220" s="4" t="s">
        <v>219</v>
      </c>
      <c r="C220" s="21"/>
      <c r="D220" s="32"/>
      <c r="E220" s="32"/>
      <c r="F220" s="23"/>
      <c r="G220" s="24"/>
      <c r="H220" s="62"/>
      <c r="I220" s="26"/>
      <c r="J220" s="27">
        <v>3.5644800000000001</v>
      </c>
      <c r="N220" t="str">
        <f>CONCATENATE(B220,"-NITROGENO-",J220)</f>
        <v xml:space="preserve"> Nitrógeno Industrial B16 / 200BAR-NITROGENO-3,56448</v>
      </c>
    </row>
    <row r="221" spans="1:14">
      <c r="A221">
        <v>254</v>
      </c>
      <c r="B221" s="4" t="s">
        <v>220</v>
      </c>
      <c r="C221" s="21"/>
      <c r="D221" s="32"/>
      <c r="E221" s="32"/>
      <c r="F221" s="23"/>
      <c r="G221" s="24"/>
      <c r="H221" s="62"/>
      <c r="I221" s="26"/>
      <c r="J221" s="27">
        <v>4.4555999999999996</v>
      </c>
      <c r="N221" t="str">
        <f>CONCATENATE(B221,"-NITROGENO-",J221)</f>
        <v xml:space="preserve"> Nitrógeno Industrial B20 / 200BAR-NITROGENO-4,4556</v>
      </c>
    </row>
    <row r="222" spans="1:14">
      <c r="A222">
        <v>255</v>
      </c>
      <c r="B222" s="4" t="s">
        <v>221</v>
      </c>
      <c r="C222" s="21"/>
      <c r="D222" s="32"/>
      <c r="E222" s="32"/>
      <c r="F222" s="23"/>
      <c r="G222" s="24"/>
      <c r="H222" s="62"/>
      <c r="I222" s="26"/>
      <c r="J222" s="27">
        <v>6.6833999999999998</v>
      </c>
      <c r="N222" t="str">
        <f>CONCATENATE(B222,"-NITROGENO-",J222)</f>
        <v xml:space="preserve"> Nitrógeno Industrial B30 / 200BAR-NITROGENO-6,6834</v>
      </c>
    </row>
    <row r="223" spans="1:14">
      <c r="A223">
        <v>256</v>
      </c>
      <c r="B223" s="4" t="s">
        <v>222</v>
      </c>
      <c r="C223" s="21"/>
      <c r="D223" s="32"/>
      <c r="E223" s="32"/>
      <c r="F223" s="23"/>
      <c r="G223" s="24"/>
      <c r="H223" s="62"/>
      <c r="I223" s="26"/>
      <c r="J223" s="27">
        <v>8.9111999999999991</v>
      </c>
      <c r="N223" t="str">
        <f>CONCATENATE(B223,"-NITROGENO-",J223)</f>
        <v xml:space="preserve"> Nitrógeno Industrial B40 / 200BAR-NITROGENO-8,9112</v>
      </c>
    </row>
    <row r="224" spans="1:14">
      <c r="A224">
        <v>257</v>
      </c>
      <c r="B224" s="4" t="s">
        <v>223</v>
      </c>
      <c r="C224" s="43"/>
      <c r="D224" s="32"/>
      <c r="E224" s="32"/>
      <c r="F224" s="23"/>
      <c r="G224" s="24"/>
      <c r="H224" s="25"/>
      <c r="I224" s="26"/>
      <c r="J224" s="27">
        <v>11.139000000000001</v>
      </c>
      <c r="N224" t="str">
        <f>CONCATENATE(B224,"-NITROGENO-",J224)</f>
        <v xml:space="preserve"> Nitrógeno Industrial B50 / 200BAR-NITROGENO-11,139</v>
      </c>
    </row>
    <row r="225" spans="1:14">
      <c r="A225">
        <v>258</v>
      </c>
      <c r="B225" s="4" t="s">
        <v>224</v>
      </c>
      <c r="C225" s="43"/>
      <c r="D225" s="32"/>
      <c r="E225" s="32"/>
      <c r="F225" s="23"/>
      <c r="G225" s="24"/>
      <c r="H225" s="25"/>
      <c r="I225" s="26"/>
      <c r="J225" s="27">
        <v>17.822399999999998</v>
      </c>
      <c r="N225" t="str">
        <f>CONCATENATE(B225,"-NITROGENO-",J225)</f>
        <v xml:space="preserve"> Nitrógeno Industrial B80 / 200BAR-NITROGENO-17,8224</v>
      </c>
    </row>
    <row r="226" spans="1:14">
      <c r="A226">
        <v>259</v>
      </c>
      <c r="B226" s="4" t="s">
        <v>225</v>
      </c>
      <c r="C226" s="21"/>
      <c r="D226" s="32"/>
      <c r="E226" s="32"/>
      <c r="F226" s="23"/>
      <c r="G226" s="24"/>
      <c r="H226" s="62"/>
      <c r="I226" s="26"/>
      <c r="J226" s="27">
        <v>133.66800000000001</v>
      </c>
      <c r="N226" t="str">
        <f>CONCATENATE(B226,"-NITROGENO-",J226)</f>
        <v xml:space="preserve"> Nitrógeno Industrial 12*50 / 200BAR-NITROGENO-133,668</v>
      </c>
    </row>
    <row r="227" spans="1:14">
      <c r="A227">
        <v>260</v>
      </c>
      <c r="B227" s="3" t="s">
        <v>226</v>
      </c>
      <c r="C227" s="21"/>
      <c r="D227" s="32"/>
      <c r="E227" s="32"/>
      <c r="F227" s="23"/>
      <c r="G227" s="24"/>
      <c r="H227" s="62"/>
      <c r="I227" s="26"/>
      <c r="J227" s="27">
        <v>178.22400000000002</v>
      </c>
      <c r="N227" t="str">
        <f>CONCATENATE(B227,"-NITROGENO-",J227)</f>
        <v xml:space="preserve"> Nitrógeno Industrial 16*50 / 200BAR-NITROGENO-178,224</v>
      </c>
    </row>
    <row r="228" spans="1:14">
      <c r="A228">
        <v>261</v>
      </c>
      <c r="B228" s="3" t="s">
        <v>227</v>
      </c>
      <c r="C228" s="21"/>
      <c r="D228" s="32"/>
      <c r="E228" s="32"/>
      <c r="F228" s="23"/>
      <c r="H228" s="62"/>
      <c r="I228" s="26"/>
      <c r="J228" s="27">
        <v>222.78</v>
      </c>
      <c r="N228" t="str">
        <f>CONCATENATE(B228,"-NITROGENO-",J228)</f>
        <v xml:space="preserve"> Nitrógeno Industrial 20*50 / 200BAR-NITROGENO-222,78</v>
      </c>
    </row>
    <row r="229" spans="1:14">
      <c r="A229">
        <v>262</v>
      </c>
      <c r="B229" s="4" t="s">
        <v>228</v>
      </c>
      <c r="C229" s="21"/>
      <c r="D229" s="32"/>
      <c r="E229" s="32"/>
      <c r="F229" s="23"/>
      <c r="H229" s="63"/>
      <c r="I229" s="29"/>
      <c r="J229" s="30">
        <v>213.86879999999999</v>
      </c>
      <c r="N229" t="str">
        <f>CONCATENATE(B229,"-NITROGENO-",J229)</f>
        <v xml:space="preserve"> Nitrógeno Industrial 12*80 / 200BAR-NITROGENO-213,8688</v>
      </c>
    </row>
    <row r="230" spans="1:14">
      <c r="A230">
        <v>263</v>
      </c>
      <c r="B230" s="4" t="s">
        <v>229</v>
      </c>
      <c r="C230" s="21"/>
      <c r="D230" s="32"/>
      <c r="E230" s="32"/>
      <c r="F230" s="23"/>
      <c r="G230" s="24"/>
      <c r="H230" s="63"/>
      <c r="I230" s="29"/>
      <c r="J230" s="30">
        <v>285.15839999999997</v>
      </c>
      <c r="N230" t="str">
        <f>CONCATENATE(B230,"-NITROGENO-",J230)</f>
        <v xml:space="preserve"> Nitrógeno Industrial 16*80 / 200BAR-NITROGENO-285,1584</v>
      </c>
    </row>
    <row r="231" spans="1:14">
      <c r="A231">
        <v>266</v>
      </c>
      <c r="B231" s="5" t="s">
        <v>230</v>
      </c>
      <c r="C231" s="21"/>
      <c r="D231" s="32"/>
      <c r="E231" s="32"/>
      <c r="F231" s="23"/>
      <c r="G231" s="24"/>
      <c r="H231" s="63"/>
      <c r="I231" s="29"/>
      <c r="J231" s="30">
        <v>0.66833999999999993</v>
      </c>
      <c r="N231" t="str">
        <f>CONCATENATE(B231,"-NITROGENO-",J231)</f>
        <v xml:space="preserve"> Nitrógeno Industrial B2 / 300BAR-NITROGENO-0,66834</v>
      </c>
    </row>
    <row r="232" spans="1:14">
      <c r="A232">
        <v>267</v>
      </c>
      <c r="B232" s="5" t="s">
        <v>231</v>
      </c>
      <c r="C232" s="21"/>
      <c r="D232" s="32"/>
      <c r="E232" s="32"/>
      <c r="F232" s="23"/>
      <c r="G232" s="24"/>
      <c r="H232" s="63"/>
      <c r="I232" s="29"/>
      <c r="J232" s="30">
        <v>1.6708499999999999</v>
      </c>
      <c r="N232" t="str">
        <f>CONCATENATE(B232,"-NITROGENO-",J232)</f>
        <v xml:space="preserve"> Nitrógeno Industrial B5 / 300BAR-NITROGENO-1,67085</v>
      </c>
    </row>
    <row r="233" spans="1:14">
      <c r="A233">
        <v>268</v>
      </c>
      <c r="B233" s="5" t="s">
        <v>232</v>
      </c>
      <c r="C233" s="21"/>
      <c r="D233" s="32"/>
      <c r="E233" s="32"/>
      <c r="F233" s="23"/>
      <c r="G233" s="24"/>
      <c r="H233" s="63"/>
      <c r="I233" s="29"/>
      <c r="J233" s="30">
        <v>2.3391899999999999</v>
      </c>
      <c r="N233" t="str">
        <f>CONCATENATE(B233,"-NITROGENO-",J233)</f>
        <v xml:space="preserve"> Nitrógeno Industrial B7 / 300BAR-NITROGENO-2,33919</v>
      </c>
    </row>
    <row r="234" spans="1:14">
      <c r="A234">
        <v>269</v>
      </c>
      <c r="B234" s="5" t="s">
        <v>233</v>
      </c>
      <c r="C234" s="21"/>
      <c r="D234" s="32"/>
      <c r="E234" s="32"/>
      <c r="F234" s="23"/>
      <c r="G234" s="24"/>
      <c r="H234" s="63"/>
      <c r="I234" s="29"/>
      <c r="J234" s="30">
        <v>3.3416999999999999</v>
      </c>
      <c r="N234" t="str">
        <f>CONCATENATE(B234,"-NITROGENO-",J234)</f>
        <v xml:space="preserve"> Nitrógeno Industrial B10 / 300BAR-NITROGENO-3,3417</v>
      </c>
    </row>
    <row r="235" spans="1:14">
      <c r="A235">
        <v>270</v>
      </c>
      <c r="B235" s="5" t="s">
        <v>234</v>
      </c>
      <c r="C235" s="21"/>
      <c r="D235" s="32"/>
      <c r="E235" s="32"/>
      <c r="F235" s="23"/>
      <c r="G235" s="24"/>
      <c r="H235" s="63"/>
      <c r="I235" s="29"/>
      <c r="J235" s="30">
        <v>4.6783799999999998</v>
      </c>
      <c r="N235" t="str">
        <f>CONCATENATE(B235,"-NITROGENO-",J235)</f>
        <v xml:space="preserve"> Nitrógeno Industrial B14 / 300BAR-NITROGENO-4,67838</v>
      </c>
    </row>
    <row r="236" spans="1:14">
      <c r="A236">
        <v>271</v>
      </c>
      <c r="B236" s="5" t="s">
        <v>235</v>
      </c>
      <c r="C236" s="21"/>
      <c r="D236" s="32"/>
      <c r="E236" s="32"/>
      <c r="F236" s="23"/>
      <c r="G236" s="24"/>
      <c r="H236" s="63"/>
      <c r="I236" s="29"/>
      <c r="J236" s="30">
        <v>5.3467199999999995</v>
      </c>
      <c r="N236" t="str">
        <f>CONCATENATE(B236,"-NITROGENO-",J236)</f>
        <v xml:space="preserve"> Nitrógeno Industrial B16 / 300BAR-NITROGENO-5,34672</v>
      </c>
    </row>
    <row r="237" spans="1:14">
      <c r="A237">
        <v>272</v>
      </c>
      <c r="B237" s="5" t="s">
        <v>236</v>
      </c>
      <c r="C237" s="21"/>
      <c r="D237" s="32"/>
      <c r="E237" s="32"/>
      <c r="F237" s="23"/>
      <c r="G237" s="24"/>
      <c r="H237" s="63"/>
      <c r="I237" s="29"/>
      <c r="J237" s="30">
        <v>6.6833999999999998</v>
      </c>
      <c r="N237" t="str">
        <f>CONCATENATE(B237,"-NITROGENO-",J237)</f>
        <v xml:space="preserve"> Nitrógeno Industrial B20 / 300BAR-NITROGENO-6,6834</v>
      </c>
    </row>
    <row r="238" spans="1:14">
      <c r="A238">
        <v>273</v>
      </c>
      <c r="B238" s="5" t="s">
        <v>237</v>
      </c>
      <c r="C238" s="21"/>
      <c r="D238" s="32"/>
      <c r="E238" s="32"/>
      <c r="F238" s="23"/>
      <c r="G238" s="24"/>
      <c r="H238" s="63"/>
      <c r="I238" s="29"/>
      <c r="J238" s="30">
        <v>10.0251</v>
      </c>
      <c r="N238" t="str">
        <f>CONCATENATE(B238,"-NITROGENO-",J238)</f>
        <v xml:space="preserve"> Nitrógeno Industrial B30 / 300BAR-NITROGENO-10,0251</v>
      </c>
    </row>
    <row r="239" spans="1:14">
      <c r="A239">
        <v>274</v>
      </c>
      <c r="B239" s="5" t="s">
        <v>238</v>
      </c>
      <c r="C239" s="21"/>
      <c r="D239" s="32"/>
      <c r="E239" s="32"/>
      <c r="F239" s="23"/>
      <c r="G239" s="24"/>
      <c r="H239" s="63"/>
      <c r="I239" s="29"/>
      <c r="J239" s="30">
        <v>13.3668</v>
      </c>
      <c r="N239" t="str">
        <f>CONCATENATE(B239,"-NITROGENO-",J239)</f>
        <v xml:space="preserve"> Nitrógeno Industrial B40 / 300BAR-NITROGENO-13,3668</v>
      </c>
    </row>
    <row r="240" spans="1:14">
      <c r="A240">
        <v>275</v>
      </c>
      <c r="B240" s="5" t="s">
        <v>239</v>
      </c>
      <c r="C240" s="21"/>
      <c r="D240" s="32"/>
      <c r="E240" s="32"/>
      <c r="F240" s="23"/>
      <c r="G240" s="24"/>
      <c r="H240" s="63"/>
      <c r="I240" s="29"/>
      <c r="J240" s="30">
        <v>16.708499999999997</v>
      </c>
      <c r="N240" t="str">
        <f>CONCATENATE(B240,"-NITROGENO-",J240)</f>
        <v xml:space="preserve"> Nitrógeno Industrial B50 / 300BAR-NITROGENO-16,7085</v>
      </c>
    </row>
    <row r="241" spans="1:14">
      <c r="A241">
        <v>276</v>
      </c>
      <c r="B241" s="5" t="s">
        <v>240</v>
      </c>
      <c r="C241" s="43"/>
      <c r="D241" s="32"/>
      <c r="E241" s="32"/>
      <c r="F241" s="23"/>
      <c r="G241" s="24"/>
      <c r="H241" s="28"/>
      <c r="I241" s="29"/>
      <c r="J241" s="30">
        <v>26.733599999999999</v>
      </c>
      <c r="N241" t="str">
        <f>CONCATENATE(B241,"-NITROGENO-",J241)</f>
        <v xml:space="preserve"> Nitrógeno Industrial B80 / 300BAR-NITROGENO-26,7336</v>
      </c>
    </row>
    <row r="242" spans="1:14">
      <c r="A242">
        <v>277</v>
      </c>
      <c r="B242" s="5" t="s">
        <v>241</v>
      </c>
      <c r="C242" s="43"/>
      <c r="D242" s="32"/>
      <c r="E242" s="32"/>
      <c r="F242" s="23"/>
      <c r="G242" s="24"/>
      <c r="H242" s="28"/>
      <c r="I242" s="29"/>
      <c r="J242" s="30">
        <v>200.50200000000001</v>
      </c>
      <c r="N242" t="str">
        <f>CONCATENATE(B242,"-NITROGENO-",J242)</f>
        <v xml:space="preserve"> Nitrógeno Industrial 12*50 / 300BAR-NITROGENO-200,502</v>
      </c>
    </row>
    <row r="243" spans="1:14">
      <c r="A243">
        <v>278</v>
      </c>
      <c r="B243" s="5" t="s">
        <v>242</v>
      </c>
      <c r="C243" s="43"/>
      <c r="D243" s="22"/>
      <c r="E243" s="32"/>
      <c r="F243" s="23"/>
      <c r="G243" s="24"/>
      <c r="H243" s="63"/>
      <c r="I243" s="29"/>
      <c r="J243" s="30">
        <v>267.33599999999996</v>
      </c>
      <c r="N243" t="str">
        <f>CONCATENATE(B243,"-NITROGENO-",J243)</f>
        <v xml:space="preserve"> Nitrógeno Industrial 16*50 / 300BAR-NITROGENO-267,336</v>
      </c>
    </row>
    <row r="244" spans="1:14">
      <c r="A244">
        <v>279</v>
      </c>
      <c r="B244" s="6" t="s">
        <v>243</v>
      </c>
      <c r="C244" s="43"/>
      <c r="D244" s="22"/>
      <c r="E244" s="32"/>
      <c r="F244" s="23"/>
      <c r="H244" s="62"/>
      <c r="J244" s="37">
        <v>334.17</v>
      </c>
      <c r="N244" t="str">
        <f>CONCATENATE(B244,"-NITROGENO-",J244)</f>
        <v xml:space="preserve"> Nitrógeno Industrial 20*50 / 300BAR-NITROGENO-334,17</v>
      </c>
    </row>
    <row r="245" spans="1:14">
      <c r="A245">
        <v>280</v>
      </c>
      <c r="B245" s="6" t="s">
        <v>244</v>
      </c>
      <c r="C245" s="43"/>
      <c r="D245" s="22"/>
      <c r="E245" s="32"/>
      <c r="F245" s="23"/>
      <c r="H245" s="62"/>
      <c r="J245" s="37">
        <v>320.8032</v>
      </c>
      <c r="N245" t="str">
        <f>CONCATENATE(B245,"-NITROGENO-",J245)</f>
        <v xml:space="preserve"> Nitrógeno Industrial 12*80 / 300BAR-NITROGENO-320,8032</v>
      </c>
    </row>
    <row r="246" spans="1:14">
      <c r="A246">
        <v>281</v>
      </c>
      <c r="B246" s="5" t="s">
        <v>245</v>
      </c>
      <c r="C246" s="43"/>
      <c r="D246" s="22"/>
      <c r="E246" s="32"/>
      <c r="F246" s="23"/>
      <c r="G246" s="24"/>
      <c r="H246" s="62"/>
      <c r="I246" s="26"/>
      <c r="J246" s="27">
        <v>427.73759999999999</v>
      </c>
      <c r="N246" t="str">
        <f>CONCATENATE(B246,"-NITROGENO-",J246)</f>
        <v xml:space="preserve"> Nitrógeno Industrial 16*80 / 300BAR-NITROGENO-427,7376</v>
      </c>
    </row>
    <row r="247" spans="1:14">
      <c r="A247">
        <v>284</v>
      </c>
      <c r="B247" s="4" t="s">
        <v>246</v>
      </c>
      <c r="C247" s="43"/>
      <c r="D247" s="22">
        <v>0.15196999999999999</v>
      </c>
      <c r="E247" s="32"/>
      <c r="F247" s="23"/>
      <c r="G247" s="24"/>
      <c r="H247" s="62"/>
      <c r="I247" s="26"/>
      <c r="J247" s="27"/>
      <c r="M247" t="str">
        <f>CONCATENATE(B247,"-HELIO-",D247)</f>
        <v>Helio B5 / 200BAR-HELIO-0,15197</v>
      </c>
    </row>
    <row r="248" spans="1:14">
      <c r="A248">
        <v>285</v>
      </c>
      <c r="B248" s="4" t="s">
        <v>247</v>
      </c>
      <c r="C248" s="43"/>
      <c r="D248" s="22">
        <v>0.212758</v>
      </c>
      <c r="E248" s="32"/>
      <c r="F248" s="23"/>
      <c r="G248" s="24"/>
      <c r="H248" s="62"/>
      <c r="I248" s="26"/>
      <c r="J248" s="27"/>
      <c r="M248" t="str">
        <f>CONCATENATE(B248,"-HELIO-",D248)</f>
        <v>Helio B7 / 200BAR-HELIO-0,212758</v>
      </c>
    </row>
    <row r="249" spans="1:14">
      <c r="A249">
        <v>286</v>
      </c>
      <c r="B249" s="4" t="s">
        <v>248</v>
      </c>
      <c r="C249" s="43"/>
      <c r="D249" s="22">
        <v>0.30393999999999999</v>
      </c>
      <c r="E249" s="32"/>
      <c r="F249" s="23"/>
      <c r="G249" s="24"/>
      <c r="H249" s="62"/>
      <c r="I249" s="26"/>
      <c r="J249" s="27"/>
      <c r="M249" t="str">
        <f>CONCATENATE(B249,"-HELIO-",D249)</f>
        <v>Helio B10 / 200BAR-HELIO-0,30394</v>
      </c>
    </row>
    <row r="250" spans="1:14">
      <c r="A250">
        <v>287</v>
      </c>
      <c r="B250" s="4" t="s">
        <v>249</v>
      </c>
      <c r="C250" s="43"/>
      <c r="D250" s="22">
        <v>0.42551600000000001</v>
      </c>
      <c r="E250" s="32"/>
      <c r="F250" s="23"/>
      <c r="G250" s="24"/>
      <c r="H250" s="62"/>
      <c r="I250" s="26"/>
      <c r="J250" s="27"/>
      <c r="M250" t="str">
        <f>CONCATENATE(B250,"-HELIO-",D250)</f>
        <v>Helio B14 / 200BAR-HELIO-0,425516</v>
      </c>
    </row>
    <row r="251" spans="1:14">
      <c r="A251">
        <v>288</v>
      </c>
      <c r="B251" s="4" t="s">
        <v>250</v>
      </c>
      <c r="C251" s="43"/>
      <c r="D251" s="22">
        <v>0.60787999999999998</v>
      </c>
      <c r="E251" s="32"/>
      <c r="F251" s="23"/>
      <c r="G251" s="24"/>
      <c r="H251" s="62"/>
      <c r="I251" s="26"/>
      <c r="J251" s="27"/>
      <c r="M251" t="str">
        <f>CONCATENATE(B251,"-HELIO-",D251)</f>
        <v>Helio B20 / 200BAR-HELIO-0,60788</v>
      </c>
    </row>
    <row r="252" spans="1:14">
      <c r="A252">
        <v>289</v>
      </c>
      <c r="B252" s="4" t="s">
        <v>251</v>
      </c>
      <c r="D252" s="22">
        <v>0.91182000000000007</v>
      </c>
      <c r="E252" s="32"/>
      <c r="F252" s="23"/>
      <c r="H252" s="62"/>
      <c r="J252" s="27"/>
      <c r="M252" t="str">
        <f>CONCATENATE(B252,"-HELIO-",D252)</f>
        <v>Helio B30 / 200BAR-HELIO-0,91182</v>
      </c>
    </row>
    <row r="253" spans="1:14">
      <c r="A253">
        <v>290</v>
      </c>
      <c r="B253" s="4" t="s">
        <v>252</v>
      </c>
      <c r="C253" s="43"/>
      <c r="D253" s="22">
        <v>1.21576</v>
      </c>
      <c r="E253" s="32"/>
      <c r="F253" s="23"/>
      <c r="H253" s="62"/>
      <c r="J253" s="27"/>
      <c r="M253" t="str">
        <f>CONCATENATE(B253,"-HELIO-",D253)</f>
        <v>Helio B40 / 200BAR-HELIO-1,21576</v>
      </c>
    </row>
    <row r="254" spans="1:14">
      <c r="A254">
        <v>291</v>
      </c>
      <c r="B254" s="4" t="s">
        <v>253</v>
      </c>
      <c r="C254" s="43"/>
      <c r="D254" s="22">
        <v>1.5197000000000001</v>
      </c>
      <c r="E254" s="32"/>
      <c r="F254" s="23"/>
      <c r="G254" s="24"/>
      <c r="H254" s="62"/>
      <c r="I254" s="26"/>
      <c r="J254" s="27"/>
      <c r="M254" t="str">
        <f>CONCATENATE(B254,"-HELIO-",D254)</f>
        <v>Helio B50 / 200BAR-HELIO-1,5197</v>
      </c>
    </row>
    <row r="255" spans="1:14">
      <c r="A255">
        <v>294</v>
      </c>
      <c r="B255" s="5" t="s">
        <v>254</v>
      </c>
      <c r="C255" s="43"/>
      <c r="D255" s="22">
        <v>0.22795500000000005</v>
      </c>
      <c r="E255" s="32"/>
      <c r="F255" s="23"/>
      <c r="G255" s="24"/>
      <c r="H255" s="62"/>
      <c r="I255" s="26"/>
      <c r="J255" s="27"/>
      <c r="M255" t="str">
        <f>CONCATENATE(B255,"-HELIO-",D255)</f>
        <v>Helio B5 / 300BAR-HELIO-0,227955</v>
      </c>
    </row>
    <row r="256" spans="1:14">
      <c r="A256">
        <v>295</v>
      </c>
      <c r="B256" s="5" t="s">
        <v>255</v>
      </c>
      <c r="C256" s="43"/>
      <c r="D256" s="22">
        <v>0.319137</v>
      </c>
      <c r="E256" s="32"/>
      <c r="F256" s="23"/>
      <c r="G256" s="24"/>
      <c r="H256" s="62"/>
      <c r="I256" s="26"/>
      <c r="J256" s="27"/>
      <c r="M256" t="str">
        <f>CONCATENATE(B256,"-HELIO-",D256)</f>
        <v>Helio B7 / 300BAR-HELIO-0,319137</v>
      </c>
    </row>
    <row r="257" spans="1:15">
      <c r="A257">
        <v>296</v>
      </c>
      <c r="B257" s="5" t="s">
        <v>256</v>
      </c>
      <c r="C257" s="43"/>
      <c r="D257" s="22">
        <v>0.45591000000000009</v>
      </c>
      <c r="E257" s="32"/>
      <c r="F257" s="23"/>
      <c r="G257" s="24"/>
      <c r="H257" s="62"/>
      <c r="I257" s="26"/>
      <c r="J257" s="27"/>
      <c r="M257" t="str">
        <f>CONCATENATE(B257,"-HELIO-",D257)</f>
        <v>Helio B10 / 300BAR-HELIO-0,45591</v>
      </c>
    </row>
    <row r="258" spans="1:15">
      <c r="A258">
        <v>297</v>
      </c>
      <c r="B258" s="5" t="s">
        <v>257</v>
      </c>
      <c r="C258" s="43"/>
      <c r="D258" s="22">
        <v>0.63827400000000001</v>
      </c>
      <c r="E258" s="32"/>
      <c r="F258" s="23"/>
      <c r="G258" s="24"/>
      <c r="H258" s="62"/>
      <c r="I258" s="26"/>
      <c r="J258" s="27"/>
      <c r="M258" t="str">
        <f>CONCATENATE(B258,"-HELIO-",D258)</f>
        <v>Helio B14 / 300BAR-HELIO-0,638274</v>
      </c>
    </row>
    <row r="259" spans="1:15">
      <c r="A259">
        <v>298</v>
      </c>
      <c r="B259" s="5" t="s">
        <v>258</v>
      </c>
      <c r="D259" s="32">
        <v>0.91182000000000019</v>
      </c>
      <c r="E259" s="32"/>
      <c r="F259" s="23"/>
      <c r="G259" s="24"/>
      <c r="H259" s="25"/>
      <c r="I259" s="26"/>
      <c r="J259" s="27"/>
      <c r="M259" t="str">
        <f>CONCATENATE(B259,"-HELIO-",D259)</f>
        <v>Helio B20 / 300BAR-HELIO-0,91182</v>
      </c>
    </row>
    <row r="260" spans="1:15">
      <c r="A260">
        <v>299</v>
      </c>
      <c r="B260" s="5" t="s">
        <v>259</v>
      </c>
      <c r="C260" s="43"/>
      <c r="D260" s="32">
        <v>1.3677300000000003</v>
      </c>
      <c r="E260" s="32"/>
      <c r="F260" s="23"/>
      <c r="H260" s="25"/>
      <c r="M260" t="str">
        <f>CONCATENATE(B260,"-HELIO-",D260)</f>
        <v>Helio B30 / 300BAR-HELIO-1,36773</v>
      </c>
    </row>
    <row r="261" spans="1:15">
      <c r="A261">
        <v>300</v>
      </c>
      <c r="B261" s="5" t="s">
        <v>260</v>
      </c>
      <c r="C261" s="43"/>
      <c r="D261" s="22">
        <v>1.8236400000000004</v>
      </c>
      <c r="E261" s="32"/>
      <c r="F261" s="23"/>
      <c r="H261" s="79"/>
      <c r="I261" s="47"/>
      <c r="J261" s="48"/>
      <c r="M261" t="str">
        <f>CONCATENATE(B261,"-HELIO-",D261)</f>
        <v>Helio B40 / 300BAR-HELIO-1,82364</v>
      </c>
    </row>
    <row r="262" spans="1:15">
      <c r="A262">
        <v>301</v>
      </c>
      <c r="B262" s="6" t="s">
        <v>261</v>
      </c>
      <c r="C262" s="43"/>
      <c r="D262" s="22">
        <v>2.2795500000000004</v>
      </c>
      <c r="E262" s="32"/>
      <c r="F262" s="23"/>
      <c r="G262" s="24"/>
      <c r="H262" s="81"/>
      <c r="I262" s="29"/>
      <c r="J262" s="30"/>
      <c r="M262" t="str">
        <f>CONCATENATE(B262,"-HELIO-",D262)</f>
        <v>Helio B50 / 300BAR-HELIO-2,27955</v>
      </c>
    </row>
    <row r="263" spans="1:15">
      <c r="A263">
        <v>304</v>
      </c>
      <c r="B263" s="10" t="s">
        <v>262</v>
      </c>
      <c r="C263" s="43"/>
      <c r="D263" s="22"/>
      <c r="E263" s="32"/>
      <c r="F263" s="23"/>
      <c r="H263" s="80"/>
      <c r="I263" s="47"/>
      <c r="J263" s="85">
        <v>6.5525760000000011</v>
      </c>
      <c r="L263">
        <v>0.27141119999999996</v>
      </c>
      <c r="N263" t="str">
        <f>CONCATENATE(B263,"-NITROGENO-",J263)</f>
        <v>MADURGAS (N2 + Etileno 4%) B40 / 150BAR-NITROGENO-6,552576</v>
      </c>
      <c r="O263" t="str">
        <f>CONCATENATE(B263,"-ETILENO-",L263)</f>
        <v>MADURGAS (N2 + Etileno 4%) B40 / 150BAR-ETILENO-0,2714112</v>
      </c>
    </row>
    <row r="264" spans="1:15">
      <c r="A264">
        <v>305</v>
      </c>
      <c r="B264" s="2" t="s">
        <v>263</v>
      </c>
      <c r="C264" s="43"/>
      <c r="D264" s="22"/>
      <c r="E264" s="32"/>
      <c r="F264" s="23"/>
      <c r="G264" s="24"/>
      <c r="H264" s="62"/>
      <c r="I264" s="26"/>
      <c r="J264" s="27">
        <v>8.1907199999999989</v>
      </c>
      <c r="L264">
        <v>0.33926399999999995</v>
      </c>
      <c r="N264" t="str">
        <f>CONCATENATE(B264,"-NITROGENO-",J264)</f>
        <v>MADURGAS (N2 + Etileno 4%) B50 / 150BAR-NITROGENO-8,19072</v>
      </c>
      <c r="O264" t="str">
        <f>CONCATENATE(B264,"-ETILENO-",L264)</f>
        <v>MADURGAS (N2 + Etileno 4%) B50 / 150BAR-ETILENO-0,339264</v>
      </c>
    </row>
    <row r="265" spans="1:15">
      <c r="A265">
        <v>308</v>
      </c>
      <c r="B265" s="4" t="s">
        <v>264</v>
      </c>
      <c r="C265" s="43"/>
      <c r="D265" s="22"/>
      <c r="E265" s="32"/>
      <c r="F265" s="23"/>
      <c r="G265" s="24"/>
      <c r="H265" s="62"/>
      <c r="I265" s="26"/>
      <c r="J265" s="27">
        <v>8.7367679999999996</v>
      </c>
      <c r="L265">
        <v>0.36188159999999997</v>
      </c>
      <c r="N265" t="str">
        <f>CONCATENATE(B265,"-NITROGENO-",J265)</f>
        <v>MADURGAS (N2 + Etileno 4%) B40 / 200BAR-NITROGENO-8,736768</v>
      </c>
      <c r="O265" t="str">
        <f>CONCATENATE(B265,"-ETILENO-",L265)</f>
        <v>MADURGAS (N2 + Etileno 4%) B40 / 200BAR-ETILENO-0,3618816</v>
      </c>
    </row>
    <row r="266" spans="1:15">
      <c r="A266">
        <v>309</v>
      </c>
      <c r="B266" s="4" t="s">
        <v>265</v>
      </c>
      <c r="C266" s="43"/>
      <c r="D266" s="22"/>
      <c r="E266" s="32"/>
      <c r="F266" s="23"/>
      <c r="H266" s="62"/>
      <c r="I266" s="26"/>
      <c r="J266" s="37">
        <v>10.920960000000001</v>
      </c>
      <c r="L266">
        <v>0.45235199999999998</v>
      </c>
      <c r="N266" t="str">
        <f>CONCATENATE(B266,"-NITROGENO-",J266)</f>
        <v>MADURGAS (N2 + Etileno 4%) B50 / 200BAR-NITROGENO-10,92096</v>
      </c>
      <c r="O266" t="str">
        <f>CONCATENATE(B266,"-ETILENO-",L266)</f>
        <v>MADURGAS (N2 + Etileno 4%) B50 / 200BAR-ETILENO-0,452352</v>
      </c>
    </row>
    <row r="267" spans="1:15">
      <c r="A267">
        <v>310</v>
      </c>
      <c r="B267" s="4" t="s">
        <v>266</v>
      </c>
      <c r="C267" s="43"/>
      <c r="D267" s="22"/>
      <c r="E267" s="32"/>
      <c r="F267" s="23"/>
      <c r="H267" s="78"/>
      <c r="I267" s="47"/>
      <c r="J267" s="48">
        <v>131.05152000000001</v>
      </c>
      <c r="L267">
        <v>5.4282240000000002</v>
      </c>
      <c r="N267" t="str">
        <f>CONCATENATE(B267,"-NITROGENO-",J267)</f>
        <v>MADURGAS (N2 + Etileno 4%) 12*50 / 200BAR-NITROGENO-131,05152</v>
      </c>
      <c r="O267" t="str">
        <f>CONCATENATE(B267,"-ETILENO-",L267)</f>
        <v>MADURGAS (N2 + Etileno 4%) 12*50 / 200BAR-ETILENO-5,428224</v>
      </c>
    </row>
    <row r="268" spans="1:15">
      <c r="A268">
        <v>311</v>
      </c>
      <c r="B268" s="4" t="s">
        <v>267</v>
      </c>
      <c r="C268" s="43"/>
      <c r="D268" s="22"/>
      <c r="E268" s="32"/>
      <c r="F268" s="23"/>
      <c r="G268" s="24"/>
      <c r="H268" s="63"/>
      <c r="I268" s="29"/>
      <c r="J268" s="30">
        <v>174.73536000000001</v>
      </c>
      <c r="L268">
        <v>7.2376319999999996</v>
      </c>
      <c r="N268" t="str">
        <f>CONCATENATE(B268,"-NITROGENO-",J268)</f>
        <v>MADURGAS (N2 + Etileno 4%) 16*50 / 200BAR-NITROGENO-174,73536</v>
      </c>
      <c r="O268" t="str">
        <f>CONCATENATE(B268,"-ETILENO-",L268)</f>
        <v>MADURGAS (N2 + Etileno 4%) 16*50 / 200BAR-ETILENO-7,237632</v>
      </c>
    </row>
    <row r="269" spans="1:15">
      <c r="A269">
        <v>314</v>
      </c>
      <c r="B269" s="5" t="s">
        <v>268</v>
      </c>
      <c r="C269" s="43"/>
      <c r="D269" s="22"/>
      <c r="E269" s="32"/>
      <c r="F269" s="23"/>
      <c r="G269" s="24"/>
      <c r="H269" s="63"/>
      <c r="I269" s="29"/>
      <c r="J269" s="30">
        <v>13.105152000000002</v>
      </c>
      <c r="L269">
        <v>0.54282239999999993</v>
      </c>
      <c r="N269" t="str">
        <f>CONCATENATE(B269,"-NITROGENO-",J269)</f>
        <v>MADURGAS (N2 + Etileno 4%) B40 / 300BAR-NITROGENO-13,105152</v>
      </c>
      <c r="O269" t="str">
        <f>CONCATENATE(B269,"-ETILENO-",L269)</f>
        <v>MADURGAS (N2 + Etileno 4%) B40 / 300BAR-ETILENO-0,5428224</v>
      </c>
    </row>
    <row r="270" spans="1:15">
      <c r="A270">
        <v>315</v>
      </c>
      <c r="B270" s="5" t="s">
        <v>269</v>
      </c>
      <c r="C270" s="43"/>
      <c r="D270" s="22"/>
      <c r="E270" s="32"/>
      <c r="F270" s="23"/>
      <c r="H270" s="62"/>
      <c r="J270" s="27">
        <v>16.381439999999998</v>
      </c>
      <c r="L270">
        <v>0.67852799999999991</v>
      </c>
      <c r="N270" t="str">
        <f>CONCATENATE(B270,"-NITROGENO-",J270)</f>
        <v>MADURGAS (N2 + Etileno 4%) B50 / 300BAR-NITROGENO-16,38144</v>
      </c>
      <c r="O270" t="str">
        <f>CONCATENATE(B270,"-ETILENO-",L270)</f>
        <v>MADURGAS (N2 + Etileno 4%) B50 / 300BAR-ETILENO-0,678528</v>
      </c>
    </row>
    <row r="271" spans="1:15">
      <c r="A271">
        <v>316</v>
      </c>
      <c r="B271" s="5" t="s">
        <v>270</v>
      </c>
      <c r="C271" s="43"/>
      <c r="D271" s="22"/>
      <c r="E271" s="32"/>
      <c r="F271" s="23"/>
      <c r="H271" s="72"/>
      <c r="I271" s="38"/>
      <c r="J271" s="39">
        <v>196.57727999999997</v>
      </c>
      <c r="L271">
        <v>8.1423359999999985</v>
      </c>
      <c r="N271" t="str">
        <f>CONCATENATE(B271,"-NITROGENO-",J271)</f>
        <v>MADURGAS (N2 + Etileno 4%) 12*50 / 300BAR-NITROGENO-196,57728</v>
      </c>
      <c r="O271" t="str">
        <f>CONCATENATE(B271,"-ETILENO-",L271)</f>
        <v>MADURGAS (N2 + Etileno 4%) 12*50 / 300BAR-ETILENO-8,142336</v>
      </c>
    </row>
    <row r="272" spans="1:15">
      <c r="A272">
        <v>317</v>
      </c>
      <c r="B272" s="5" t="s">
        <v>271</v>
      </c>
      <c r="D272" s="22"/>
      <c r="E272" s="32"/>
      <c r="F272" s="23"/>
      <c r="G272" s="24"/>
      <c r="H272" s="62"/>
      <c r="I272" s="26"/>
      <c r="J272" s="27">
        <v>262.10303999999996</v>
      </c>
      <c r="L272">
        <v>10.856447999999999</v>
      </c>
      <c r="N272" t="str">
        <f>CONCATENATE(B272,"-NITROGENO-",J272)</f>
        <v>MADURGAS (N2 + Etileno 4%) 16*50 / 300BAR-NITROGENO-262,10304</v>
      </c>
      <c r="O272" t="str">
        <f>CONCATENATE(B272,"-ETILENO-",L272)</f>
        <v>MADURGAS (N2 + Etileno 4%) 16*50 / 300BAR-ETILENO-10,856448</v>
      </c>
    </row>
    <row r="273" spans="1:17">
      <c r="A273">
        <v>320</v>
      </c>
      <c r="B273" s="4" t="s">
        <v>272</v>
      </c>
      <c r="C273" s="43">
        <v>3.895E-3</v>
      </c>
      <c r="D273" s="22"/>
      <c r="E273" s="32"/>
      <c r="F273" s="23"/>
      <c r="G273" s="24"/>
      <c r="H273" s="62"/>
      <c r="I273" s="26"/>
      <c r="J273" s="27">
        <v>1.0694625</v>
      </c>
      <c r="N273" t="str">
        <f>CONCATENATE(B273,"-NITROGENO-",J273)</f>
        <v>NIDRO5 (N2 95% + H2 5%) B5 / 200BAR-NITROGENO-1,0694625</v>
      </c>
      <c r="Q273" t="str">
        <f>CONCATENATE(B273,"-HIDROGENO-",C273)</f>
        <v>NIDRO5 (N2 95% + H2 5%) B5 / 200BAR-HIDROGENO-0,003895</v>
      </c>
    </row>
    <row r="274" spans="1:17">
      <c r="A274">
        <v>321</v>
      </c>
      <c r="B274" s="4" t="s">
        <v>273</v>
      </c>
      <c r="C274" s="43">
        <v>5.4530000000000004E-3</v>
      </c>
      <c r="D274" s="22"/>
      <c r="E274" s="32"/>
      <c r="F274" s="23"/>
      <c r="G274" s="24"/>
      <c r="H274" s="62"/>
      <c r="I274" s="26"/>
      <c r="J274" s="27">
        <v>1.4972475000000001</v>
      </c>
      <c r="N274" t="str">
        <f>CONCATENATE(B274,"-NITROGENO-",J274)</f>
        <v>NIDRO5 (N2 95% + H2 5%) B7 / 200BAR-NITROGENO-1,4972475</v>
      </c>
      <c r="Q274" t="str">
        <f>CONCATENATE(B274,"-HIDROGENO-",C274)</f>
        <v>NIDRO5 (N2 95% + H2 5%) B7 / 200BAR-HIDROGENO-0,005453</v>
      </c>
    </row>
    <row r="275" spans="1:17">
      <c r="A275">
        <v>322</v>
      </c>
      <c r="B275" s="4" t="s">
        <v>274</v>
      </c>
      <c r="C275" s="43">
        <v>7.79E-3</v>
      </c>
      <c r="D275" s="22"/>
      <c r="E275" s="32"/>
      <c r="F275" s="23"/>
      <c r="G275" s="24"/>
      <c r="H275" s="62"/>
      <c r="I275" s="26"/>
      <c r="J275" s="27">
        <v>2.138925</v>
      </c>
      <c r="N275" t="str">
        <f>CONCATENATE(B275,"-NITROGENO-",J275)</f>
        <v>NIDRO5 (N2 95% + H2 5%) B10 / 200BAR-NITROGENO-2,138925</v>
      </c>
      <c r="Q275" t="str">
        <f>CONCATENATE(B275,"-HIDROGENO-",C275)</f>
        <v>NIDRO5 (N2 95% + H2 5%) B10 / 200BAR-HIDROGENO-0,00779</v>
      </c>
    </row>
    <row r="276" spans="1:17">
      <c r="A276">
        <v>323</v>
      </c>
      <c r="B276" s="4" t="s">
        <v>275</v>
      </c>
      <c r="C276" s="43">
        <v>1.0906000000000001E-2</v>
      </c>
      <c r="D276" s="22"/>
      <c r="E276" s="32"/>
      <c r="F276" s="23"/>
      <c r="G276" s="24"/>
      <c r="H276" s="62"/>
      <c r="I276" s="26"/>
      <c r="J276" s="27">
        <v>2.9944950000000001</v>
      </c>
      <c r="N276" t="str">
        <f>CONCATENATE(B276,"-NITROGENO-",J276)</f>
        <v>NIDRO5 (N2 95% + H2 5%) B14 / 200BAR-NITROGENO-2,994495</v>
      </c>
      <c r="Q276" t="str">
        <f>CONCATENATE(B276,"-HIDROGENO-",C276)</f>
        <v>NIDRO5 (N2 95% + H2 5%) B14 / 200BAR-HIDROGENO-0,010906</v>
      </c>
    </row>
    <row r="277" spans="1:17">
      <c r="A277">
        <v>324</v>
      </c>
      <c r="B277" s="4" t="s">
        <v>276</v>
      </c>
      <c r="C277" s="43">
        <v>1.558E-2</v>
      </c>
      <c r="D277" s="32"/>
      <c r="E277" s="32"/>
      <c r="F277" s="23"/>
      <c r="G277" s="24"/>
      <c r="H277" s="25"/>
      <c r="I277" s="26"/>
      <c r="J277" s="27">
        <v>4.2778499999999999</v>
      </c>
      <c r="N277" t="str">
        <f>CONCATENATE(B277,"-NITROGENO-",J277)</f>
        <v>NIDRO5 (N2 95% + H2 5%) B20 / 200BAR-NITROGENO-4,27785</v>
      </c>
      <c r="Q277" t="str">
        <f>CONCATENATE(B277,"-HIDROGENO-",C277)</f>
        <v>NIDRO5 (N2 95% + H2 5%) B20 / 200BAR-HIDROGENO-0,01558</v>
      </c>
    </row>
    <row r="278" spans="1:17">
      <c r="A278">
        <v>325</v>
      </c>
      <c r="B278" s="4" t="s">
        <v>277</v>
      </c>
      <c r="C278" s="33">
        <v>2.3370000000000002E-2</v>
      </c>
      <c r="D278" s="32"/>
      <c r="E278" s="32"/>
      <c r="F278" s="23"/>
      <c r="H278" s="25"/>
      <c r="J278" s="37">
        <v>6.4167750000000003</v>
      </c>
      <c r="N278" t="str">
        <f>CONCATENATE(B278,"-NITROGENO-",J278)</f>
        <v>NIDRO5 (N2 95% + H2 5%) B30 / 200BAR zzz-NITROGENO-6,416775</v>
      </c>
      <c r="Q278" t="str">
        <f>CONCATENATE(B278,"-HIDROGENO-",C278)</f>
        <v>NIDRO5 (N2 95% + H2 5%) B30 / 200BAR zzz-HIDROGENO-0,02337</v>
      </c>
    </row>
    <row r="279" spans="1:17">
      <c r="A279">
        <v>326</v>
      </c>
      <c r="B279" s="4" t="s">
        <v>278</v>
      </c>
      <c r="C279" s="43">
        <v>3.116E-2</v>
      </c>
      <c r="D279" s="22"/>
      <c r="E279" s="32"/>
      <c r="F279" s="23"/>
      <c r="H279" s="28"/>
      <c r="I279" s="38"/>
      <c r="J279" s="30">
        <v>8.5556999999999999</v>
      </c>
      <c r="N279" t="str">
        <f>CONCATENATE(B279,"-NITROGENO-",J279)</f>
        <v>NIDRO5 (N2 95% + H2 5%) B40 / 200BAR-NITROGENO-8,5557</v>
      </c>
      <c r="Q279" t="str">
        <f>CONCATENATE(B279,"-HIDROGENO-",C279)</f>
        <v>NIDRO5 (N2 95% + H2 5%) B40 / 200BAR-HIDROGENO-0,03116</v>
      </c>
    </row>
    <row r="280" spans="1:17">
      <c r="A280">
        <v>327</v>
      </c>
      <c r="B280" s="3" t="s">
        <v>279</v>
      </c>
      <c r="C280" s="43">
        <v>3.8949999999999999E-2</v>
      </c>
      <c r="D280" s="22"/>
      <c r="E280" s="32"/>
      <c r="F280" s="23"/>
      <c r="G280" s="24"/>
      <c r="H280" s="28"/>
      <c r="I280" s="29"/>
      <c r="J280" s="30">
        <v>10.694625</v>
      </c>
      <c r="N280" t="str">
        <f>CONCATENATE(B280,"-NITROGENO-",J280)</f>
        <v>NIDRO5 (N2 95% + H2 5%) B50 / 200BAR-NITROGENO-10,694625</v>
      </c>
      <c r="Q280" t="str">
        <f>CONCATENATE(B280,"-HIDROGENO-",C280)</f>
        <v>NIDRO5 (N2 95% + H2 5%) B50 / 200BAR-HIDROGENO-0,03895</v>
      </c>
    </row>
    <row r="281" spans="1:17">
      <c r="A281">
        <v>330</v>
      </c>
      <c r="B281" s="6" t="s">
        <v>280</v>
      </c>
      <c r="C281" s="43">
        <v>5.8424999999999996E-3</v>
      </c>
      <c r="D281" s="22"/>
      <c r="E281" s="32"/>
      <c r="F281" s="23"/>
      <c r="G281" s="24"/>
      <c r="H281" s="28"/>
      <c r="I281" s="29"/>
      <c r="J281" s="30">
        <v>1.6041937499999999</v>
      </c>
      <c r="N281" t="str">
        <f>CONCATENATE(B281,"-NITROGENO-",J281)</f>
        <v>NIDRO5 (N2 95% + H2 5%) B5 / 300BAR-NITROGENO-1,60419375</v>
      </c>
      <c r="Q281" t="str">
        <f>CONCATENATE(B281,"-HIDROGENO-",C281)</f>
        <v>NIDRO5 (N2 95% + H2 5%) B5 / 300BAR-HIDROGENO-0,0058425</v>
      </c>
    </row>
    <row r="282" spans="1:17">
      <c r="A282">
        <v>331</v>
      </c>
      <c r="B282" s="5" t="s">
        <v>281</v>
      </c>
      <c r="C282" s="43">
        <v>8.1794999999999993E-3</v>
      </c>
      <c r="D282" s="22"/>
      <c r="E282" s="32"/>
      <c r="F282" s="23"/>
      <c r="G282" s="24"/>
      <c r="H282" s="28"/>
      <c r="I282" s="29"/>
      <c r="J282" s="30">
        <v>2.24587125</v>
      </c>
      <c r="N282" t="str">
        <f>CONCATENATE(B282,"-NITROGENO-",J282)</f>
        <v>NIDRO5 (N2 95% + H2 5%) B7 / 300BAR-NITROGENO-2,24587125</v>
      </c>
      <c r="Q282" t="str">
        <f>CONCATENATE(B282,"-HIDROGENO-",C282)</f>
        <v>NIDRO5 (N2 95% + H2 5%) B7 / 300BAR-HIDROGENO-0,0081795</v>
      </c>
    </row>
    <row r="283" spans="1:17">
      <c r="A283">
        <v>332</v>
      </c>
      <c r="B283" s="5" t="s">
        <v>282</v>
      </c>
      <c r="C283" s="43">
        <v>1.1684999999999999E-2</v>
      </c>
      <c r="D283" s="22"/>
      <c r="E283" s="32"/>
      <c r="F283" s="23"/>
      <c r="G283" s="24"/>
      <c r="H283" s="28"/>
      <c r="I283" s="29"/>
      <c r="J283" s="30">
        <v>3.2083874999999997</v>
      </c>
      <c r="N283" t="str">
        <f>CONCATENATE(B283,"-NITROGENO-",J283)</f>
        <v>NIDRO5 (N2 95% + H2 5%) B10 / 300BAR-NITROGENO-3,2083875</v>
      </c>
      <c r="Q283" t="str">
        <f>CONCATENATE(B283,"-HIDROGENO-",C283)</f>
        <v>NIDRO5 (N2 95% + H2 5%) B10 / 300BAR-HIDROGENO-0,011685</v>
      </c>
    </row>
    <row r="284" spans="1:17">
      <c r="A284">
        <v>333</v>
      </c>
      <c r="B284" s="5" t="s">
        <v>283</v>
      </c>
      <c r="C284" s="43">
        <v>1.6358999999999999E-2</v>
      </c>
      <c r="D284" s="22"/>
      <c r="E284" s="32"/>
      <c r="F284" s="23"/>
      <c r="G284" s="24"/>
      <c r="H284" s="28"/>
      <c r="I284" s="29"/>
      <c r="J284" s="30">
        <v>4.4917425</v>
      </c>
      <c r="N284" t="str">
        <f>CONCATENATE(B284,"-NITROGENO-",J284)</f>
        <v>NIDRO5 (N2 95% + H2 5%) B14 / 300BAR-NITROGENO-4,4917425</v>
      </c>
      <c r="Q284" t="str">
        <f>CONCATENATE(B284,"-HIDROGENO-",C284)</f>
        <v>NIDRO5 (N2 95% + H2 5%) B14 / 300BAR-HIDROGENO-0,016359</v>
      </c>
    </row>
    <row r="285" spans="1:17">
      <c r="A285">
        <v>334</v>
      </c>
      <c r="B285" s="5" t="s">
        <v>284</v>
      </c>
      <c r="C285" s="31">
        <v>2.3369999999999998E-2</v>
      </c>
      <c r="D285" s="22"/>
      <c r="E285" s="32"/>
      <c r="F285" s="23"/>
      <c r="G285" s="24"/>
      <c r="H285" s="25"/>
      <c r="I285" s="26"/>
      <c r="J285" s="27">
        <v>6.4167749999999995</v>
      </c>
      <c r="N285" t="str">
        <f>CONCATENATE(B285,"-NITROGENO-",J285)</f>
        <v>NIDRO5 (N2 95% + H2 5%) B20 / 300BAR-NITROGENO-6,416775</v>
      </c>
      <c r="Q285" t="str">
        <f>CONCATENATE(B285,"-HIDROGENO-",C285)</f>
        <v>NIDRO5 (N2 95% + H2 5%) B20 / 300BAR-HIDROGENO-0,02337</v>
      </c>
    </row>
    <row r="286" spans="1:17">
      <c r="A286">
        <v>335</v>
      </c>
      <c r="B286" s="5" t="s">
        <v>285</v>
      </c>
      <c r="C286" s="43">
        <v>3.5055000000000003E-2</v>
      </c>
      <c r="D286" s="22"/>
      <c r="E286" s="32"/>
      <c r="F286" s="23"/>
      <c r="G286" s="24"/>
      <c r="H286" s="25"/>
      <c r="I286" s="26"/>
      <c r="J286" s="27">
        <v>9.6251624999999983</v>
      </c>
      <c r="N286" t="str">
        <f>CONCATENATE(B286,"-NITROGENO-",J286)</f>
        <v>NIDRO5 (N2 95% + H2 5%) B30 / 200BAR-NITROGENO-9,6251625</v>
      </c>
      <c r="Q286" t="str">
        <f>CONCATENATE(B286,"-HIDROGENO-",C286)</f>
        <v>NIDRO5 (N2 95% + H2 5%) B30 / 200BAR-HIDROGENO-0,035055</v>
      </c>
    </row>
    <row r="287" spans="1:17">
      <c r="A287">
        <v>336</v>
      </c>
      <c r="B287" s="5" t="s">
        <v>286</v>
      </c>
      <c r="C287" s="43">
        <v>5.8424999999999998E-2</v>
      </c>
      <c r="D287" s="32"/>
      <c r="E287" s="32"/>
      <c r="F287" s="23"/>
      <c r="G287" s="24"/>
      <c r="H287" s="25"/>
      <c r="I287" s="26"/>
      <c r="J287" s="27">
        <v>16.0419375</v>
      </c>
      <c r="N287" t="str">
        <f>CONCATENATE(B287,"-NITROGENO-",J287)</f>
        <v>NIDRO5 (N2 95% + H2 5%) B40 / 300BAR-NITROGENO-16,0419375</v>
      </c>
      <c r="Q287" t="str">
        <f>CONCATENATE(B287,"-HIDROGENO-",C287)</f>
        <v>NIDRO5 (N2 95% + H2 5%) B40 / 300BAR-HIDROGENO-0,058425</v>
      </c>
    </row>
    <row r="288" spans="1:17">
      <c r="A288">
        <v>339</v>
      </c>
      <c r="B288" s="4" t="s">
        <v>287</v>
      </c>
      <c r="C288" s="43">
        <v>7.2159999999999988E-2</v>
      </c>
      <c r="D288" s="32"/>
      <c r="E288" s="32"/>
      <c r="F288" s="23"/>
      <c r="G288" s="24"/>
      <c r="H288" s="25"/>
      <c r="I288" s="26"/>
      <c r="J288" s="27"/>
      <c r="Q288" t="str">
        <f>CONCATENATE(B288,"-HIDROGENO-",C288)</f>
        <v>HIDROGENO COMPRIMIDO B5 / 200BAR-HIDROGENO-0,07216</v>
      </c>
    </row>
    <row r="289" spans="1:17">
      <c r="A289">
        <v>340</v>
      </c>
      <c r="B289" s="4" t="s">
        <v>288</v>
      </c>
      <c r="C289" s="43">
        <v>0.101024</v>
      </c>
      <c r="D289" s="22"/>
      <c r="E289" s="32"/>
      <c r="F289" s="23"/>
      <c r="G289" s="24"/>
      <c r="H289" s="25"/>
      <c r="I289" s="26"/>
      <c r="J289" s="27"/>
      <c r="Q289" t="str">
        <f>CONCATENATE(B289,"-HIDROGENO-",C289)</f>
        <v>HIDROGENO COMPRIMIDO B7 / 200BAR-HIDROGENO-0,101024</v>
      </c>
    </row>
    <row r="290" spans="1:17">
      <c r="A290">
        <v>341</v>
      </c>
      <c r="B290" s="3" t="s">
        <v>289</v>
      </c>
      <c r="C290" s="33">
        <v>0.14431999999999998</v>
      </c>
      <c r="D290" s="22"/>
      <c r="E290" s="32"/>
      <c r="F290" s="23"/>
      <c r="G290" s="24"/>
      <c r="H290" s="25"/>
      <c r="I290" s="26"/>
      <c r="J290" s="27"/>
      <c r="Q290" t="str">
        <f>CONCATENATE(B290,"-HIDROGENO-",C290)</f>
        <v>HIDROGENO COMPRIMIDO B10 / 200BAR-HIDROGENO-0,14432</v>
      </c>
    </row>
    <row r="291" spans="1:17">
      <c r="A291">
        <v>342</v>
      </c>
      <c r="B291" s="3" t="s">
        <v>290</v>
      </c>
      <c r="C291" s="43">
        <v>0.20204800000000001</v>
      </c>
      <c r="D291" s="22"/>
      <c r="E291" s="32"/>
      <c r="F291" s="23"/>
      <c r="G291" s="24"/>
      <c r="H291" s="25"/>
      <c r="I291" s="26"/>
      <c r="J291" s="27"/>
      <c r="Q291" t="str">
        <f>CONCATENATE(B291,"-HIDROGENO-",C291)</f>
        <v>HIDROGENO COMPRIMIDO B14 / 200BAR-HIDROGENO-0,202048</v>
      </c>
    </row>
    <row r="292" spans="1:17">
      <c r="A292">
        <v>343</v>
      </c>
      <c r="B292" s="4" t="s">
        <v>291</v>
      </c>
      <c r="C292" s="43">
        <v>0.28863999999999995</v>
      </c>
      <c r="D292" s="22"/>
      <c r="E292" s="32"/>
      <c r="F292" s="23"/>
      <c r="G292" s="24"/>
      <c r="H292" s="25"/>
      <c r="I292" s="26"/>
      <c r="J292" s="27"/>
      <c r="Q292" t="str">
        <f>CONCATENATE(B292,"-HIDROGENO-",C292)</f>
        <v>HIDROGENO COMPRIMIDO B20 / 200BAR-HIDROGENO-0,28864</v>
      </c>
    </row>
    <row r="293" spans="1:17">
      <c r="A293">
        <v>344</v>
      </c>
      <c r="B293" s="4" t="s">
        <v>292</v>
      </c>
      <c r="C293" s="43">
        <v>0.43295999999999996</v>
      </c>
      <c r="D293" s="22"/>
      <c r="E293" s="32"/>
      <c r="F293" s="23"/>
      <c r="H293" s="25"/>
      <c r="J293" s="27"/>
      <c r="Q293" t="str">
        <f>CONCATENATE(B293,"-HIDROGENO-",C293)</f>
        <v>HIDROGENO COMPRIMIDO B30 / 200BAR-HIDROGENO-0,43296</v>
      </c>
    </row>
    <row r="294" spans="1:17">
      <c r="A294">
        <v>345</v>
      </c>
      <c r="B294" s="4" t="s">
        <v>293</v>
      </c>
      <c r="C294" s="43">
        <v>0.5772799999999999</v>
      </c>
      <c r="D294" s="22"/>
      <c r="E294" s="32"/>
      <c r="F294" s="23"/>
      <c r="H294" s="25"/>
      <c r="J294" s="27"/>
      <c r="Q294" t="str">
        <f>CONCATENATE(B294,"-HIDROGENO-",C294)</f>
        <v>HIDROGENO COMPRIMIDO B40 / 200BAR-HIDROGENO-0,57728</v>
      </c>
    </row>
    <row r="295" spans="1:17">
      <c r="A295">
        <v>346</v>
      </c>
      <c r="B295" s="4" t="s">
        <v>294</v>
      </c>
      <c r="C295" s="43">
        <v>0.72159999999999991</v>
      </c>
      <c r="D295" s="22"/>
      <c r="E295" s="32"/>
      <c r="F295" s="23"/>
      <c r="G295" s="24"/>
      <c r="H295" s="25"/>
      <c r="I295" s="26"/>
      <c r="J295" s="27"/>
      <c r="Q295" t="str">
        <f>CONCATENATE(B295,"-HIDROGENO-",C295)</f>
        <v>HIDROGENO COMPRIMIDO B50 / 200BAR-HIDROGENO-0,7216</v>
      </c>
    </row>
    <row r="296" spans="1:17">
      <c r="A296">
        <v>349</v>
      </c>
      <c r="B296" s="5" t="s">
        <v>295</v>
      </c>
      <c r="C296" s="43">
        <v>0.10660000000000001</v>
      </c>
      <c r="D296" s="22"/>
      <c r="E296" s="32"/>
      <c r="F296" s="23"/>
      <c r="G296" s="24"/>
      <c r="H296" s="25"/>
      <c r="I296" s="26"/>
      <c r="J296" s="27"/>
      <c r="Q296" t="str">
        <f>CONCATENATE(B296,"-HIDROGENO-",C296)</f>
        <v>HIDROGENO COMPRIMIDO B5 / 300BAR-HIDROGENO-0,1066</v>
      </c>
    </row>
    <row r="297" spans="1:17">
      <c r="A297">
        <v>350</v>
      </c>
      <c r="B297" s="5" t="s">
        <v>296</v>
      </c>
      <c r="C297" s="43">
        <v>0.14924000000000001</v>
      </c>
      <c r="D297" s="32"/>
      <c r="E297" s="32"/>
      <c r="F297" s="23"/>
      <c r="G297" s="24"/>
      <c r="H297" s="25"/>
      <c r="I297" s="26"/>
      <c r="J297" s="27"/>
      <c r="Q297" t="str">
        <f>CONCATENATE(B297,"-HIDROGENO-",C297)</f>
        <v>HIDROGENO COMPRIMIDO B7 / 300BAR-HIDROGENO-0,14924</v>
      </c>
    </row>
    <row r="298" spans="1:17">
      <c r="A298">
        <v>351</v>
      </c>
      <c r="B298" s="5" t="s">
        <v>297</v>
      </c>
      <c r="C298" s="43">
        <v>0.21320000000000003</v>
      </c>
      <c r="D298" s="32"/>
      <c r="E298" s="32"/>
      <c r="F298" s="23"/>
      <c r="G298" s="24"/>
      <c r="H298" s="25"/>
      <c r="I298" s="26"/>
      <c r="J298" s="27"/>
      <c r="Q298" t="str">
        <f>CONCATENATE(B298,"-HIDROGENO-",C298)</f>
        <v>HIDROGENO COMPRIMIDO B10 / 300BAR-HIDROGENO-0,2132</v>
      </c>
    </row>
    <row r="299" spans="1:17">
      <c r="A299">
        <v>352</v>
      </c>
      <c r="B299" s="5" t="s">
        <v>298</v>
      </c>
      <c r="C299" s="43">
        <v>0.29848000000000002</v>
      </c>
      <c r="D299" s="32"/>
      <c r="E299" s="32"/>
      <c r="F299" s="23"/>
      <c r="G299" s="24"/>
      <c r="H299" s="62"/>
      <c r="I299" s="26"/>
      <c r="J299" s="73"/>
      <c r="Q299" t="str">
        <f>CONCATENATE(B299,"-HIDROGENO-",C299)</f>
        <v>HIDROGENO COMPRIMIDO B14 / 300BAR-HIDROGENO-0,29848</v>
      </c>
    </row>
    <row r="300" spans="1:17">
      <c r="A300">
        <v>353</v>
      </c>
      <c r="B300" s="6" t="s">
        <v>299</v>
      </c>
      <c r="C300" s="43">
        <v>0.42640000000000006</v>
      </c>
      <c r="D300" s="32"/>
      <c r="E300" s="32"/>
      <c r="F300" s="23"/>
      <c r="G300" s="24"/>
      <c r="H300" s="62"/>
      <c r="I300" s="26"/>
      <c r="J300" s="73"/>
      <c r="Q300" t="str">
        <f>CONCATENATE(B300,"-HIDROGENO-",C300)</f>
        <v>HIDROGENO COMPRIMIDO B20 / 300BAR-HIDROGENO-0,4264</v>
      </c>
    </row>
    <row r="301" spans="1:17">
      <c r="A301">
        <v>354</v>
      </c>
      <c r="B301" s="6" t="s">
        <v>292</v>
      </c>
      <c r="C301" s="31">
        <v>0.63960000000000006</v>
      </c>
      <c r="D301" s="32"/>
      <c r="E301" s="32"/>
      <c r="F301" s="23"/>
      <c r="G301" s="24"/>
      <c r="H301" s="25"/>
      <c r="I301" s="26"/>
      <c r="J301" s="27"/>
      <c r="Q301" t="str">
        <f>CONCATENATE(B301,"-HIDROGENO-",C301)</f>
        <v>HIDROGENO COMPRIMIDO B30 / 200BAR-HIDROGENO-0,6396</v>
      </c>
    </row>
    <row r="302" spans="1:17">
      <c r="A302">
        <v>355</v>
      </c>
      <c r="B302" s="5" t="s">
        <v>300</v>
      </c>
      <c r="C302" s="43">
        <v>0.85280000000000011</v>
      </c>
      <c r="D302" s="32"/>
      <c r="E302" s="32"/>
      <c r="F302" s="66"/>
      <c r="H302" s="25"/>
      <c r="Q302" t="str">
        <f>CONCATENATE(B302,"-HIDROGENO-",C302)</f>
        <v>HIDROGENO COMPRIMIDO B40 / 300BAR-HIDROGENO-0,8528</v>
      </c>
    </row>
    <row r="303" spans="1:17">
      <c r="A303">
        <v>356</v>
      </c>
      <c r="B303" s="5" t="s">
        <v>301</v>
      </c>
      <c r="C303" s="43">
        <v>1.0660000000000001</v>
      </c>
      <c r="D303" s="32"/>
      <c r="E303" s="32"/>
      <c r="F303" s="23"/>
      <c r="G303" s="24"/>
      <c r="H303" s="62"/>
      <c r="I303" s="26"/>
      <c r="J303" s="73"/>
      <c r="Q303" t="str">
        <f>CONCATENATE(B303,"-HIDROGENO-",C303)</f>
        <v>HIDROGENO COMPRIMIDO B50 / 300BAR-HIDROGENO-1,066</v>
      </c>
    </row>
    <row r="304" spans="1:17">
      <c r="A304">
        <v>359</v>
      </c>
      <c r="B304" s="3" t="s">
        <v>302</v>
      </c>
      <c r="C304" s="43">
        <v>3.0135000000000006E-2</v>
      </c>
      <c r="D304" s="32"/>
      <c r="E304" s="32"/>
      <c r="F304" s="23"/>
      <c r="G304" s="24"/>
      <c r="H304" s="62">
        <v>1.1534249999999999</v>
      </c>
      <c r="I304" s="26"/>
      <c r="J304" s="73"/>
      <c r="O304" t="str">
        <f>CONCATENATE(B304,"-ARGON-",H304)</f>
        <v>Hidrinac35 (Ar 65% + H2 35%) B5 / 200BAR-ARGON-1,153425</v>
      </c>
      <c r="Q304" t="str">
        <f>CONCATENATE(B304,"-HIDROGENO-",C304)</f>
        <v>Hidrinac35 (Ar 65% + H2 35%) B5 / 200BAR-HIDROGENO-0,030135</v>
      </c>
    </row>
    <row r="305" spans="1:17">
      <c r="A305">
        <v>360</v>
      </c>
      <c r="B305" s="3" t="s">
        <v>303</v>
      </c>
      <c r="C305" s="43">
        <v>4.2188999999999997E-2</v>
      </c>
      <c r="D305" s="32"/>
      <c r="E305" s="32"/>
      <c r="F305" s="23"/>
      <c r="G305" s="24"/>
      <c r="H305" s="62">
        <v>1.614795</v>
      </c>
      <c r="I305" s="26"/>
      <c r="J305" s="73"/>
      <c r="O305" t="str">
        <f>CONCATENATE(B305,"-ARGON-",H305)</f>
        <v>Hidrinac35  (Ar 65% + H2 35%) B7 / 200BAR-ARGON-1,614795</v>
      </c>
      <c r="Q305" t="str">
        <f>CONCATENATE(B305,"-HIDROGENO-",C305)</f>
        <v>Hidrinac35  (Ar 65% + H2 35%) B7 / 200BAR-HIDROGENO-0,042189</v>
      </c>
    </row>
    <row r="306" spans="1:17">
      <c r="A306">
        <v>361</v>
      </c>
      <c r="B306" s="4" t="s">
        <v>304</v>
      </c>
      <c r="C306" s="43">
        <v>6.0270000000000011E-2</v>
      </c>
      <c r="D306" s="32"/>
      <c r="E306" s="32"/>
      <c r="F306" s="23"/>
      <c r="G306" s="24"/>
      <c r="H306" s="62">
        <v>2.3068499999999998</v>
      </c>
      <c r="I306" s="26"/>
      <c r="J306" s="73"/>
      <c r="O306" t="str">
        <f>CONCATENATE(B306,"-ARGON-",H306)</f>
        <v>Hidrinac35  (Ar 65% + H2 35%) B10 / 200BAR-ARGON-2,30685</v>
      </c>
      <c r="Q306" t="str">
        <f>CONCATENATE(B306,"-HIDROGENO-",C306)</f>
        <v>Hidrinac35  (Ar 65% + H2 35%) B10 / 200BAR-HIDROGENO-0,06027</v>
      </c>
    </row>
    <row r="307" spans="1:17">
      <c r="A307">
        <v>362</v>
      </c>
      <c r="B307" s="4" t="s">
        <v>305</v>
      </c>
      <c r="C307" s="43">
        <v>8.4377999999999995E-2</v>
      </c>
      <c r="D307" s="32"/>
      <c r="E307" s="32"/>
      <c r="F307" s="23"/>
      <c r="G307" s="24"/>
      <c r="H307" s="25">
        <v>3.22959</v>
      </c>
      <c r="I307" s="26"/>
      <c r="J307" s="27"/>
      <c r="O307" t="str">
        <f>CONCATENATE(B307,"-ARGON-",H307)</f>
        <v>Hidrinac35 (Ar 65% + H2 35%)  B14 / 200BAR-ARGON-3,22959</v>
      </c>
      <c r="Q307" t="str">
        <f>CONCATENATE(B307,"-HIDROGENO-",C307)</f>
        <v>Hidrinac35 (Ar 65% + H2 35%)  B14 / 200BAR-HIDROGENO-0,084378</v>
      </c>
    </row>
    <row r="308" spans="1:17">
      <c r="A308">
        <v>363</v>
      </c>
      <c r="B308" s="4" t="s">
        <v>306</v>
      </c>
      <c r="C308" s="43">
        <v>0.12054000000000002</v>
      </c>
      <c r="D308" s="32"/>
      <c r="E308" s="32"/>
      <c r="F308" s="23"/>
      <c r="G308" s="24"/>
      <c r="H308" s="25">
        <v>4.6136999999999997</v>
      </c>
      <c r="I308" s="26"/>
      <c r="J308" s="27"/>
      <c r="O308" t="str">
        <f>CONCATENATE(B308,"-ARGON-",H308)</f>
        <v>Hidrinac35  (Ar 65% + H2 35%) B20 / 200BAR-ARGON-4,6137</v>
      </c>
      <c r="Q308" t="str">
        <f>CONCATENATE(B308,"-HIDROGENO-",C308)</f>
        <v>Hidrinac35  (Ar 65% + H2 35%) B20 / 200BAR-HIDROGENO-0,12054</v>
      </c>
    </row>
    <row r="309" spans="1:17">
      <c r="A309">
        <v>364</v>
      </c>
      <c r="B309" s="4" t="s">
        <v>307</v>
      </c>
      <c r="C309" s="43">
        <v>0.18081000000000003</v>
      </c>
      <c r="D309" s="32"/>
      <c r="E309" s="32"/>
      <c r="F309" s="23"/>
      <c r="G309" s="24"/>
      <c r="H309" s="62">
        <v>6.9205499999999995</v>
      </c>
      <c r="J309" s="73"/>
      <c r="O309" t="str">
        <f>CONCATENATE(B309,"-ARGON-",H309)</f>
        <v>Hidrinac35 (Ar 65% + H2 35%)  B30 / 200BAR-ARGON-6,92055</v>
      </c>
      <c r="Q309" t="str">
        <f>CONCATENATE(B309,"-HIDROGENO-",C309)</f>
        <v>Hidrinac35 (Ar 65% + H2 35%)  B30 / 200BAR-HIDROGENO-0,18081</v>
      </c>
    </row>
    <row r="310" spans="1:17">
      <c r="A310">
        <v>365</v>
      </c>
      <c r="B310" s="3" t="s">
        <v>308</v>
      </c>
      <c r="C310" s="43">
        <v>0.24108000000000004</v>
      </c>
      <c r="D310" s="32"/>
      <c r="E310" s="32"/>
      <c r="F310" s="40"/>
      <c r="G310" s="24"/>
      <c r="H310" s="62">
        <v>9.2273999999999994</v>
      </c>
      <c r="J310" s="73"/>
      <c r="O310" t="str">
        <f>CONCATENATE(B310,"-ARGON-",H310)</f>
        <v>Hidrinac35  (Ar 65% + H2 35%) B40 / 200BAR-ARGON-9,2274</v>
      </c>
      <c r="Q310" t="str">
        <f>CONCATENATE(B310,"-HIDROGENO-",C310)</f>
        <v>Hidrinac35  (Ar 65% + H2 35%) B40 / 200BAR-HIDROGENO-0,24108</v>
      </c>
    </row>
    <row r="311" spans="1:17">
      <c r="A311">
        <v>366</v>
      </c>
      <c r="B311" s="3" t="s">
        <v>309</v>
      </c>
      <c r="C311" s="43">
        <v>0.30135000000000001</v>
      </c>
      <c r="D311" s="32"/>
      <c r="E311" s="32"/>
      <c r="F311" s="40"/>
      <c r="G311" s="41"/>
      <c r="H311" s="63">
        <v>11.53425</v>
      </c>
      <c r="I311" s="29"/>
      <c r="J311" s="71"/>
      <c r="O311" t="str">
        <f>CONCATENATE(B311,"-ARGON-",H311)</f>
        <v>Hidrinac35 (Ar 65% + H2 35%) B50 / 200BAR-ARGON-11,53425</v>
      </c>
      <c r="Q311" t="str">
        <f>CONCATENATE(B311,"-HIDROGENO-",C311)</f>
        <v>Hidrinac35 (Ar 65% + H2 35%) B50 / 200BAR-HIDROGENO-0,30135</v>
      </c>
    </row>
    <row r="312" spans="1:17">
      <c r="A312">
        <v>369</v>
      </c>
      <c r="B312" s="5" t="s">
        <v>310</v>
      </c>
      <c r="C312" s="43">
        <v>4.5202500000000007E-2</v>
      </c>
      <c r="D312" s="32"/>
      <c r="E312" s="32"/>
      <c r="F312" s="40"/>
      <c r="G312" s="41"/>
      <c r="H312" s="63">
        <v>1.7301374999999999</v>
      </c>
      <c r="I312" s="29"/>
      <c r="J312" s="71"/>
      <c r="O312" t="str">
        <f>CONCATENATE(B312,"-ARGON-",H312)</f>
        <v>Hidrinac35 (Ar 65% + H2 35%) B5 / 300BAR-ARGON-1,7301375</v>
      </c>
      <c r="Q312" t="str">
        <f>CONCATENATE(B312,"-HIDROGENO-",C312)</f>
        <v>Hidrinac35 (Ar 65% + H2 35%) B5 / 300BAR-HIDROGENO-0,0452025</v>
      </c>
    </row>
    <row r="313" spans="1:17">
      <c r="A313">
        <v>370</v>
      </c>
      <c r="B313" s="5" t="s">
        <v>311</v>
      </c>
      <c r="C313" s="43">
        <v>6.3283500000000006E-2</v>
      </c>
      <c r="D313" s="32"/>
      <c r="E313" s="32"/>
      <c r="F313" s="40"/>
      <c r="G313" s="41"/>
      <c r="H313" s="28">
        <v>2.4221925</v>
      </c>
      <c r="I313" s="29"/>
      <c r="J313" s="30"/>
      <c r="O313" t="str">
        <f>CONCATENATE(B313,"-ARGON-",H313)</f>
        <v>Hidrinac35 (Ar 65% + H2 35%) B7 / 300BAR-ARGON-2,4221925</v>
      </c>
      <c r="Q313" t="str">
        <f>CONCATENATE(B313,"-HIDROGENO-",C313)</f>
        <v>Hidrinac35 (Ar 65% + H2 35%) B7 / 300BAR-HIDROGENO-0,0632835</v>
      </c>
    </row>
    <row r="314" spans="1:17">
      <c r="A314">
        <v>371</v>
      </c>
      <c r="B314" s="5" t="s">
        <v>312</v>
      </c>
      <c r="C314" s="43">
        <v>9.0405000000000013E-2</v>
      </c>
      <c r="D314" s="32"/>
      <c r="E314" s="32"/>
      <c r="F314" s="40"/>
      <c r="G314" s="41"/>
      <c r="H314" s="28">
        <v>3.4602749999999998</v>
      </c>
      <c r="I314" s="29"/>
      <c r="J314" s="30"/>
      <c r="O314" t="str">
        <f>CONCATENATE(B314,"-ARGON-",H314)</f>
        <v>Hidrinac35  (Ar 65% + H2 35%) B10 / 300BAR-ARGON-3,460275</v>
      </c>
      <c r="Q314" t="str">
        <f>CONCATENATE(B314,"-HIDROGENO-",C314)</f>
        <v>Hidrinac35  (Ar 65% + H2 35%) B10 / 300BAR-HIDROGENO-0,090405</v>
      </c>
    </row>
    <row r="315" spans="1:17">
      <c r="A315">
        <v>372</v>
      </c>
      <c r="B315" s="5" t="s">
        <v>313</v>
      </c>
      <c r="C315" s="33">
        <v>0.12656700000000001</v>
      </c>
      <c r="D315" s="32"/>
      <c r="E315" s="32"/>
      <c r="F315" s="40"/>
      <c r="G315" s="41"/>
      <c r="H315" s="63">
        <v>4.8443849999999999</v>
      </c>
      <c r="I315" s="29"/>
      <c r="J315" s="30"/>
      <c r="O315" t="str">
        <f>CONCATENATE(B315,"-ARGON-",H315)</f>
        <v>Hidrinac35  (Ar 65% + H2 35%) B14 / 300BAR-ARGON-4,844385</v>
      </c>
      <c r="Q315" t="str">
        <f>CONCATENATE(B315,"-HIDROGENO-",C315)</f>
        <v>Hidrinac35  (Ar 65% + H2 35%) B14 / 300BAR-HIDROGENO-0,126567</v>
      </c>
    </row>
    <row r="316" spans="1:17">
      <c r="A316">
        <v>373</v>
      </c>
      <c r="B316" s="6" t="s">
        <v>314</v>
      </c>
      <c r="C316" s="43">
        <v>0.18081000000000003</v>
      </c>
      <c r="D316" s="32"/>
      <c r="E316" s="32"/>
      <c r="F316" s="40"/>
      <c r="G316" s="41"/>
      <c r="H316" s="63">
        <v>6.9205499999999995</v>
      </c>
      <c r="I316" s="29"/>
      <c r="J316" s="30"/>
      <c r="O316" t="str">
        <f>CONCATENATE(B316,"-ARGON-",H316)</f>
        <v>Hidrinac35  (Ar 65% + H2 35%) B20 / 300BAR-ARGON-6,92055</v>
      </c>
      <c r="Q316" t="str">
        <f>CONCATENATE(B316,"-HIDROGENO-",C316)</f>
        <v>Hidrinac35  (Ar 65% + H2 35%) B20 / 300BAR-HIDROGENO-0,18081</v>
      </c>
    </row>
    <row r="317" spans="1:17">
      <c r="A317">
        <v>374</v>
      </c>
      <c r="B317" s="6" t="s">
        <v>315</v>
      </c>
      <c r="C317" s="43">
        <v>0.27121499999999998</v>
      </c>
      <c r="D317" s="32"/>
      <c r="E317" s="32"/>
      <c r="F317" s="23"/>
      <c r="G317" s="24"/>
      <c r="H317" s="62">
        <v>10.380824999999998</v>
      </c>
      <c r="O317" t="str">
        <f>CONCATENATE(B317,"-ARGON-",H317)</f>
        <v>Hidrinac35 (Ar 65% + H2 35%) B30 / 300BAR-ARGON-10,380825</v>
      </c>
      <c r="Q317" t="str">
        <f>CONCATENATE(B317,"-HIDROGENO-",C317)</f>
        <v>Hidrinac35 (Ar 65% + H2 35%) B30 / 300BAR-HIDROGENO-0,271215</v>
      </c>
    </row>
    <row r="318" spans="1:17">
      <c r="A318">
        <v>375</v>
      </c>
      <c r="B318" s="5" t="s">
        <v>316</v>
      </c>
      <c r="C318" s="43">
        <v>0.36162000000000005</v>
      </c>
      <c r="D318" s="65"/>
      <c r="E318" s="65"/>
      <c r="F318" s="66"/>
      <c r="G318" s="24"/>
      <c r="H318" s="62">
        <v>13.841099999999999</v>
      </c>
      <c r="I318" s="38"/>
      <c r="J318" s="39"/>
      <c r="O318" t="str">
        <f>CONCATENATE(B318,"-ARGON-",H318)</f>
        <v>Hidrinac35  (Ar 65% + H2 35%) B40 / 300BAR-ARGON-13,8411</v>
      </c>
      <c r="Q318" t="str">
        <f>CONCATENATE(B318,"-HIDROGENO-",C318)</f>
        <v>Hidrinac35  (Ar 65% + H2 35%) B40 / 300BAR-HIDROGENO-0,36162</v>
      </c>
    </row>
    <row r="319" spans="1:17">
      <c r="A319">
        <v>376</v>
      </c>
      <c r="B319" s="5" t="s">
        <v>317</v>
      </c>
      <c r="C319" s="43">
        <v>0.45202500000000001</v>
      </c>
      <c r="D319" s="32"/>
      <c r="E319" s="32"/>
      <c r="F319" s="23"/>
      <c r="G319" s="24"/>
      <c r="H319" s="62">
        <v>17.301375</v>
      </c>
      <c r="I319" s="26"/>
      <c r="J319" s="27"/>
      <c r="O319" t="str">
        <f>CONCATENATE(B319,"-ARGON-",H319)</f>
        <v>Hidrinac35  (Ar 65% + H2 35%) B50 / 300BAR-ARGON-17,301375</v>
      </c>
      <c r="Q319" t="str">
        <f>CONCATENATE(B319,"-HIDROGENO-",C319)</f>
        <v>Hidrinac35  (Ar 65% + H2 35%) B50 / 300BAR-HIDROGENO-0,452025</v>
      </c>
    </row>
    <row r="320" spans="1:17">
      <c r="A320">
        <v>379</v>
      </c>
      <c r="B320" s="7" t="s">
        <v>318</v>
      </c>
      <c r="C320" s="43"/>
      <c r="D320" s="32"/>
      <c r="E320" s="32"/>
      <c r="F320" s="23"/>
      <c r="G320" s="24"/>
      <c r="H320" s="62">
        <v>1.5970500000000001</v>
      </c>
      <c r="I320" s="26"/>
      <c r="J320" s="27"/>
      <c r="K320">
        <v>6.8985000000000005E-2</v>
      </c>
      <c r="O320" t="str">
        <f>CONCATENATE(B320,"-ARGON-",H320)</f>
        <v>Argomet10  (Ar 90% + Metano 10%) B5 / 200BAR-ARGON-1,59705</v>
      </c>
      <c r="P320" t="str">
        <f>CONCATENATE(B320,"-METANO-",K320)</f>
        <v>Argomet10  (Ar 90% + Metano 10%) B5 / 200BAR-METANO-0,068985</v>
      </c>
    </row>
    <row r="321" spans="1:16">
      <c r="A321">
        <v>380</v>
      </c>
      <c r="B321" s="7" t="s">
        <v>319</v>
      </c>
      <c r="C321" s="43"/>
      <c r="D321" s="32"/>
      <c r="E321" s="32"/>
      <c r="F321" s="23"/>
      <c r="G321" s="24"/>
      <c r="H321" s="62">
        <v>2.2358699999999998</v>
      </c>
      <c r="I321" s="26"/>
      <c r="J321" s="27"/>
      <c r="K321">
        <v>9.6578999999999998E-2</v>
      </c>
      <c r="O321" t="str">
        <f>CONCATENATE(B321,"-ARGON-",H321)</f>
        <v>Argomet10 (Ar 90% + Metano 10%) B7 / 200BAR-ARGON-2,23587</v>
      </c>
      <c r="P321" t="str">
        <f>CONCATENATE(B321,"-METANO-",K321)</f>
        <v>Argomet10 (Ar 90% + Metano 10%) B7 / 200BAR-METANO-0,096579</v>
      </c>
    </row>
    <row r="322" spans="1:16">
      <c r="A322">
        <v>381</v>
      </c>
      <c r="B322" s="7" t="s">
        <v>320</v>
      </c>
      <c r="C322" s="43"/>
      <c r="D322" s="32"/>
      <c r="E322" s="32"/>
      <c r="F322" s="23"/>
      <c r="G322" s="24"/>
      <c r="H322" s="62">
        <v>3.1941000000000002</v>
      </c>
      <c r="I322" s="26"/>
      <c r="J322" s="27"/>
      <c r="K322">
        <v>0.13797000000000001</v>
      </c>
      <c r="O322" t="str">
        <f>CONCATENATE(B322,"-ARGON-",H322)</f>
        <v>Argomet10 (Ar 90% + Metano 10%) B10 / 200BAR-ARGON-3,1941</v>
      </c>
      <c r="P322" t="str">
        <f>CONCATENATE(B322,"-METANO-",K322)</f>
        <v>Argomet10 (Ar 90% + Metano 10%) B10 / 200BAR-METANO-0,13797</v>
      </c>
    </row>
    <row r="323" spans="1:16">
      <c r="A323">
        <v>382</v>
      </c>
      <c r="B323" s="7" t="s">
        <v>321</v>
      </c>
      <c r="C323" s="43"/>
      <c r="D323" s="32"/>
      <c r="E323" s="32"/>
      <c r="F323" s="23"/>
      <c r="G323" s="24"/>
      <c r="H323" s="25">
        <v>4.4717399999999996</v>
      </c>
      <c r="I323" s="26"/>
      <c r="J323" s="27"/>
      <c r="K323">
        <v>0.193158</v>
      </c>
      <c r="O323" t="str">
        <f>CONCATENATE(B323,"-ARGON-",H323)</f>
        <v>Argomet10 (Ar 90% + Metano 10%) B14 / 200BAR-ARGON-4,47174</v>
      </c>
      <c r="P323" t="str">
        <f>CONCATENATE(B323,"-METANO-",K323)</f>
        <v>Argomet10 (Ar 90% + Metano 10%) B14 / 200BAR-METANO-0,193158</v>
      </c>
    </row>
    <row r="324" spans="1:16">
      <c r="A324">
        <v>383</v>
      </c>
      <c r="B324" s="7" t="s">
        <v>322</v>
      </c>
      <c r="C324" s="43"/>
      <c r="D324" s="32"/>
      <c r="E324" s="32"/>
      <c r="F324" s="23"/>
      <c r="G324" s="24"/>
      <c r="H324" s="25">
        <v>6.3882000000000003</v>
      </c>
      <c r="I324" s="26"/>
      <c r="J324" s="27"/>
      <c r="K324">
        <v>0.27594000000000002</v>
      </c>
      <c r="O324" t="str">
        <f>CONCATENATE(B324,"-ARGON-",H324)</f>
        <v>Argomet10 (Ar 90% + Metano 10%) B20 / 200BAR-ARGON-6,3882</v>
      </c>
      <c r="P324" t="str">
        <f>CONCATENATE(B324,"-METANO-",K324)</f>
        <v>Argomet10 (Ar 90% + Metano 10%) B20 / 200BAR-METANO-0,27594</v>
      </c>
    </row>
    <row r="325" spans="1:16">
      <c r="A325">
        <v>384</v>
      </c>
      <c r="B325" s="7" t="s">
        <v>323</v>
      </c>
      <c r="D325" s="32"/>
      <c r="E325" s="32"/>
      <c r="F325" s="23"/>
      <c r="H325" s="62">
        <v>9.5823</v>
      </c>
      <c r="K325">
        <v>0.41391</v>
      </c>
      <c r="O325" t="str">
        <f>CONCATENATE(B325,"-ARGON-",H325)</f>
        <v>Argomet10 (Ar 90% + Metano 10%) B30 / 200BAR-ARGON-9,5823</v>
      </c>
      <c r="P325" t="str">
        <f>CONCATENATE(B325,"-METANO-",K325)</f>
        <v>Argomet10 (Ar 90% + Metano 10%) B30 / 200BAR-METANO-0,41391</v>
      </c>
    </row>
    <row r="326" spans="1:16">
      <c r="A326">
        <v>385</v>
      </c>
      <c r="B326" s="11" t="s">
        <v>324</v>
      </c>
      <c r="C326" s="43"/>
      <c r="D326" s="50"/>
      <c r="E326" s="50"/>
      <c r="F326" s="40"/>
      <c r="H326" s="62">
        <v>12.776400000000001</v>
      </c>
      <c r="I326" s="38"/>
      <c r="J326" s="39"/>
      <c r="K326">
        <v>0.55188000000000004</v>
      </c>
      <c r="O326" t="str">
        <f>CONCATENATE(B326,"-ARGON-",H326)</f>
        <v>Argomet10 (Ar 90% + Metano 10%) B40 / 200BAR-ARGON-12,7764</v>
      </c>
      <c r="P326" t="str">
        <f>CONCATENATE(B326,"-METANO-",K326)</f>
        <v>Argomet10 (Ar 90% + Metano 10%) B40 / 200BAR-METANO-0,55188</v>
      </c>
    </row>
    <row r="327" spans="1:16">
      <c r="A327">
        <v>386</v>
      </c>
      <c r="B327" s="11" t="s">
        <v>325</v>
      </c>
      <c r="C327" s="43"/>
      <c r="D327" s="50"/>
      <c r="E327" s="50"/>
      <c r="F327" s="40"/>
      <c r="G327" s="41"/>
      <c r="H327" s="63">
        <v>15.970499999999998</v>
      </c>
      <c r="I327" s="29"/>
      <c r="J327" s="30"/>
      <c r="K327">
        <v>0.68985000000000007</v>
      </c>
      <c r="O327" t="str">
        <f>CONCATENATE(B327,"-ARGON-",H327)</f>
        <v>Argomet10 (Ar 90% + Metano 10%) B50 / 200BAR-ARGON-15,9705</v>
      </c>
      <c r="P327" t="str">
        <f>CONCATENATE(B327,"-METANO-",K327)</f>
        <v>Argomet10 (Ar 90% + Metano 10%) B50 / 200BAR-METANO-0,68985</v>
      </c>
    </row>
    <row r="328" spans="1:16">
      <c r="A328">
        <v>389</v>
      </c>
      <c r="B328" s="8" t="s">
        <v>326</v>
      </c>
      <c r="C328" s="43"/>
      <c r="D328" s="50"/>
      <c r="E328" s="50"/>
      <c r="F328" s="40"/>
      <c r="G328" s="41"/>
      <c r="H328" s="63">
        <v>2.395575</v>
      </c>
      <c r="I328" s="29"/>
      <c r="J328" s="30"/>
      <c r="K328">
        <v>0.1034775</v>
      </c>
      <c r="O328" t="str">
        <f>CONCATENATE(B328,"-ARGON-",H328)</f>
        <v>Argomet10 (Ar 90% + Metano 10%) B5 / 300BAR-ARGON-2,395575</v>
      </c>
      <c r="P328" t="str">
        <f>CONCATENATE(B328,"-METANO-",K328)</f>
        <v>Argomet10 (Ar 90% + Metano 10%) B5 / 300BAR-METANO-0,1034775</v>
      </c>
    </row>
    <row r="329" spans="1:16">
      <c r="A329">
        <v>390</v>
      </c>
      <c r="B329" s="8" t="s">
        <v>327</v>
      </c>
      <c r="C329" s="43"/>
      <c r="D329" s="50"/>
      <c r="E329" s="50"/>
      <c r="F329" s="40"/>
      <c r="G329" s="41"/>
      <c r="H329" s="63">
        <v>3.3538049999999999</v>
      </c>
      <c r="I329" s="29"/>
      <c r="J329" s="30"/>
      <c r="K329">
        <v>0.14486850000000001</v>
      </c>
      <c r="O329" t="str">
        <f>CONCATENATE(B329,"-ARGON-",H329)</f>
        <v>Argomet10 (Ar 90% + Metano 10%) B7 / 300BAR-ARGON-3,353805</v>
      </c>
      <c r="P329" t="str">
        <f>CONCATENATE(B329,"-METANO-",K329)</f>
        <v>Argomet10 (Ar 90% + Metano 10%) B7 / 300BAR-METANO-0,1448685</v>
      </c>
    </row>
    <row r="330" spans="1:16">
      <c r="A330">
        <v>391</v>
      </c>
      <c r="B330" s="8" t="s">
        <v>328</v>
      </c>
      <c r="C330" s="43"/>
      <c r="D330" s="50"/>
      <c r="E330" s="50"/>
      <c r="F330" s="40"/>
      <c r="G330" s="41"/>
      <c r="H330" s="63">
        <v>4.79115</v>
      </c>
      <c r="I330" s="29"/>
      <c r="J330" s="30"/>
      <c r="K330">
        <v>0.206955</v>
      </c>
      <c r="O330" t="str">
        <f>CONCATENATE(B330,"-ARGON-",H330)</f>
        <v>Argomet10 (Ar 90% + Metano 10%) B10 / 300BAR-ARGON-4,79115</v>
      </c>
      <c r="P330" t="str">
        <f>CONCATENATE(B330,"-METANO-",K330)</f>
        <v>Argomet10 (Ar 90% + Metano 10%) B10 / 300BAR-METANO-0,206955</v>
      </c>
    </row>
    <row r="331" spans="1:16">
      <c r="A331">
        <v>392</v>
      </c>
      <c r="B331" s="8" t="s">
        <v>329</v>
      </c>
      <c r="C331" s="43"/>
      <c r="D331" s="50"/>
      <c r="E331" s="50"/>
      <c r="F331" s="40"/>
      <c r="G331" s="41"/>
      <c r="H331" s="63">
        <v>6.7076099999999999</v>
      </c>
      <c r="I331" s="29"/>
      <c r="J331" s="30"/>
      <c r="K331">
        <v>0.28973700000000002</v>
      </c>
      <c r="O331" t="str">
        <f>CONCATENATE(B331,"-ARGON-",H331)</f>
        <v>Argomet10 (Ar 90% + Metano 10%) B14 / 300BAR-ARGON-6,70761</v>
      </c>
      <c r="P331" t="str">
        <f>CONCATENATE(B331,"-METANO-",K331)</f>
        <v>Argomet10 (Ar 90% + Metano 10%) B14 / 300BAR-METANO-0,289737</v>
      </c>
    </row>
    <row r="332" spans="1:16">
      <c r="A332">
        <v>393</v>
      </c>
      <c r="B332" s="8" t="s">
        <v>330</v>
      </c>
      <c r="D332" s="50"/>
      <c r="E332" s="50"/>
      <c r="F332" s="40"/>
      <c r="G332" s="41"/>
      <c r="H332" s="28">
        <v>9.5823</v>
      </c>
      <c r="I332" s="29"/>
      <c r="J332" s="30"/>
      <c r="K332">
        <v>0.41391</v>
      </c>
      <c r="O332" t="str">
        <f>CONCATENATE(B332,"-ARGON-",H332)</f>
        <v>Argomet10 (Ar 90% + Metano 10%) B20 / 300BAR-ARGON-9,5823</v>
      </c>
      <c r="P332" t="str">
        <f>CONCATENATE(B332,"-METANO-",K332)</f>
        <v>Argomet10 (Ar 90% + Metano 10%) B20 / 300BAR-METANO-0,41391</v>
      </c>
    </row>
    <row r="333" spans="1:16">
      <c r="A333">
        <v>394</v>
      </c>
      <c r="B333" s="8" t="s">
        <v>331</v>
      </c>
      <c r="C333" s="43"/>
      <c r="D333" s="76"/>
      <c r="E333" s="76"/>
      <c r="F333" s="16"/>
      <c r="H333" s="46">
        <v>14.373449999999998</v>
      </c>
      <c r="K333">
        <v>0.62086499999999989</v>
      </c>
      <c r="O333" t="str">
        <f>CONCATENATE(B333,"-ARGON-",H333)</f>
        <v>Argomet10 (Ar 90% + Metano 10%) B30 / 300BAR-ARGON-14,37345</v>
      </c>
      <c r="P333" t="str">
        <f>CONCATENATE(B333,"-METANO-",K333)</f>
        <v>Argomet10 (Ar 90% + Metano 10%) B30 / 300BAR-METANO-0,620865</v>
      </c>
    </row>
    <row r="334" spans="1:16">
      <c r="A334">
        <v>395</v>
      </c>
      <c r="B334" s="8" t="s">
        <v>332</v>
      </c>
      <c r="C334" s="43"/>
      <c r="D334" s="42"/>
      <c r="E334" s="65"/>
      <c r="F334" s="66"/>
      <c r="G334" s="69"/>
      <c r="H334" s="70">
        <v>19.1646</v>
      </c>
      <c r="I334" s="38"/>
      <c r="J334" s="39"/>
      <c r="K334">
        <v>0.82782</v>
      </c>
      <c r="O334" t="str">
        <f>CONCATENATE(B334,"-ARGON-",H334)</f>
        <v>Argomet10 (Ar 90% + Metano 10%) B40 / 300BAR-ARGON-19,1646</v>
      </c>
      <c r="P334" t="str">
        <f>CONCATENATE(B334,"-METANO-",K334)</f>
        <v>Argomet10 (Ar 90% + Metano 10%) B40 / 300BAR-METANO-0,82782</v>
      </c>
    </row>
    <row r="335" spans="1:16">
      <c r="A335">
        <v>396</v>
      </c>
      <c r="B335" s="12" t="s">
        <v>333</v>
      </c>
      <c r="C335" s="43"/>
      <c r="D335" s="22"/>
      <c r="E335" s="32"/>
      <c r="F335" s="23"/>
      <c r="G335" s="24"/>
      <c r="H335" s="25">
        <v>23.955750000000002</v>
      </c>
      <c r="I335" s="26"/>
      <c r="J335" s="27"/>
      <c r="K335">
        <v>1.034775</v>
      </c>
      <c r="O335" t="str">
        <f>CONCATENATE(B335,"-ARGON-",H335)</f>
        <v>Argomet10 (Ar 90% + Metano 10%) B50 / 300BAR-ARGON-23,95575</v>
      </c>
      <c r="P335" t="str">
        <f>CONCATENATE(B335,"-METANO-",K335)</f>
        <v>Argomet10 (Ar 90% + Metano 10%) B50 / 300BAR-METANO-1,034775</v>
      </c>
    </row>
    <row r="336" spans="1:16">
      <c r="A336">
        <v>397</v>
      </c>
      <c r="B336" s="13" t="s">
        <v>0</v>
      </c>
      <c r="D336" s="22"/>
      <c r="E336" s="32"/>
      <c r="F336" s="23"/>
      <c r="G336" s="24"/>
      <c r="H336" s="25" t="s">
        <v>371</v>
      </c>
      <c r="I336" s="26"/>
      <c r="J336" s="27"/>
    </row>
    <row r="337" spans="1:16">
      <c r="A337">
        <v>399</v>
      </c>
      <c r="B337" s="4" t="s">
        <v>334</v>
      </c>
      <c r="C337" s="43"/>
      <c r="D337" s="22"/>
      <c r="E337" s="32"/>
      <c r="F337" s="23"/>
      <c r="G337" s="24">
        <v>6.7305599999999993E-2</v>
      </c>
      <c r="H337" s="25">
        <v>0.30825599999999997</v>
      </c>
      <c r="I337" s="26"/>
      <c r="J337" s="27">
        <v>0.28098719999999999</v>
      </c>
      <c r="N337" t="str">
        <f>CONCATENATE(B337,"-NITROGENO-",J337)</f>
        <v>IG541 (Ar 40%, N2 52%, CO2 8%) B2 / 200BAR-NITROGENO-0,2809872</v>
      </c>
      <c r="O337" t="str">
        <f>CONCATENATE(B337,"-ARGON-",H337)</f>
        <v>IG541 (Ar 40%, N2 52%, CO2 8%) B2 / 200BAR-ARGON-0,308256</v>
      </c>
      <c r="P337" t="str">
        <f>CONCATENATE(B337,"-CO2-",G337)</f>
        <v>IG541 (Ar 40%, N2 52%, CO2 8%) B2 / 200BAR-CO2-0,0673056</v>
      </c>
    </row>
    <row r="338" spans="1:16">
      <c r="A338">
        <v>400</v>
      </c>
      <c r="B338" s="4" t="s">
        <v>335</v>
      </c>
      <c r="C338" s="43"/>
      <c r="D338" s="22"/>
      <c r="E338" s="32"/>
      <c r="F338" s="23"/>
      <c r="G338" s="24">
        <v>0.168264</v>
      </c>
      <c r="H338" s="25">
        <v>0.77063999999999999</v>
      </c>
      <c r="I338" s="26"/>
      <c r="J338" s="27">
        <v>0.70246799999999998</v>
      </c>
      <c r="N338" t="str">
        <f>CONCATENATE(B338,"-NITROGENO-",J338)</f>
        <v>IG541 (Ar 40%, N2 52%, CO2 8%) B5 / 200BAR-NITROGENO-0,702468</v>
      </c>
      <c r="O338" t="str">
        <f>CONCATENATE(B338,"-ARGON-",H338)</f>
        <v>IG541 (Ar 40%, N2 52%, CO2 8%) B5 / 200BAR-ARGON-0,77064</v>
      </c>
      <c r="P338" t="str">
        <f>CONCATENATE(B338,"-CO2-",G338)</f>
        <v>IG541 (Ar 40%, N2 52%, CO2 8%) B5 / 200BAR-CO2-0,168264</v>
      </c>
    </row>
    <row r="339" spans="1:16">
      <c r="A339">
        <v>401</v>
      </c>
      <c r="B339" s="4" t="s">
        <v>336</v>
      </c>
      <c r="C339" s="43"/>
      <c r="D339" s="22"/>
      <c r="E339" s="32"/>
      <c r="F339" s="23"/>
      <c r="G339" s="24">
        <v>0.23556960000000002</v>
      </c>
      <c r="H339" s="25">
        <v>1.0788960000000001</v>
      </c>
      <c r="I339" s="26"/>
      <c r="J339" s="27">
        <v>0.9834552000000002</v>
      </c>
      <c r="N339" t="str">
        <f>CONCATENATE(B339,"-NITROGENO-",J339)</f>
        <v>IG541 (Ar 40%, N2 52%, CO2 8%) B7 / 200BAR-NITROGENO-0,9834552</v>
      </c>
      <c r="O339" t="str">
        <f>CONCATENATE(B339,"-ARGON-",H339)</f>
        <v>IG541 (Ar 40%, N2 52%, CO2 8%) B7 / 200BAR-ARGON-1,078896</v>
      </c>
      <c r="P339" t="str">
        <f>CONCATENATE(B339,"-CO2-",G339)</f>
        <v>IG541 (Ar 40%, N2 52%, CO2 8%) B7 / 200BAR-CO2-0,2355696</v>
      </c>
    </row>
    <row r="340" spans="1:16">
      <c r="A340">
        <v>402</v>
      </c>
      <c r="B340" s="4" t="s">
        <v>337</v>
      </c>
      <c r="C340" s="43"/>
      <c r="D340" s="22"/>
      <c r="E340" s="32"/>
      <c r="F340" s="23"/>
      <c r="G340" s="24">
        <v>0.33652799999999999</v>
      </c>
      <c r="H340" s="25">
        <v>1.54128</v>
      </c>
      <c r="I340" s="26"/>
      <c r="J340" s="27">
        <v>1.404936</v>
      </c>
      <c r="N340" t="str">
        <f>CONCATENATE(B340,"-NITROGENO-",J340)</f>
        <v>IG541 (Ar 40%, N2 52%, CO2 8%) B10 / 200BAR-NITROGENO-1,404936</v>
      </c>
      <c r="O340" t="str">
        <f>CONCATENATE(B340,"-ARGON-",H340)</f>
        <v>IG541 (Ar 40%, N2 52%, CO2 8%) B10 / 200BAR-ARGON-1,54128</v>
      </c>
      <c r="P340" t="str">
        <f>CONCATENATE(B340,"-CO2-",G340)</f>
        <v>IG541 (Ar 40%, N2 52%, CO2 8%) B10 / 200BAR-CO2-0,336528</v>
      </c>
    </row>
    <row r="341" spans="1:16">
      <c r="A341">
        <v>403</v>
      </c>
      <c r="B341" s="4" t="s">
        <v>338</v>
      </c>
      <c r="C341" s="43"/>
      <c r="D341" s="22"/>
      <c r="E341" s="32"/>
      <c r="F341" s="23"/>
      <c r="G341" s="24">
        <v>0.47113920000000004</v>
      </c>
      <c r="H341" s="25">
        <v>2.1577920000000002</v>
      </c>
      <c r="I341" s="26"/>
      <c r="J341" s="27">
        <v>1.9669104000000004</v>
      </c>
      <c r="N341" t="str">
        <f>CONCATENATE(B341,"-NITROGENO-",J341)</f>
        <v>IG541 (Ar 40%, N2 52%, CO2 8%) B14 / 200BAR-NITROGENO-1,9669104</v>
      </c>
      <c r="O341" t="str">
        <f>CONCATENATE(B341,"-ARGON-",H341)</f>
        <v>IG541 (Ar 40%, N2 52%, CO2 8%) B14 / 200BAR-ARGON-2,157792</v>
      </c>
      <c r="P341" t="str">
        <f>CONCATENATE(B341,"-CO2-",G341)</f>
        <v>IG541 (Ar 40%, N2 52%, CO2 8%) B14 / 200BAR-CO2-0,4711392</v>
      </c>
    </row>
    <row r="342" spans="1:16">
      <c r="A342">
        <v>404</v>
      </c>
      <c r="B342" s="4" t="s">
        <v>339</v>
      </c>
      <c r="C342" s="43"/>
      <c r="D342" s="32"/>
      <c r="E342" s="32"/>
      <c r="F342" s="23"/>
      <c r="G342" s="24">
        <v>0.53844479999999995</v>
      </c>
      <c r="H342" s="25">
        <v>2.4660479999999998</v>
      </c>
      <c r="I342" s="26"/>
      <c r="J342" s="27">
        <v>2.2478975999999999</v>
      </c>
      <c r="N342" t="str">
        <f>CONCATENATE(B342,"-NITROGENO-",J342)</f>
        <v>IG541 (Ar 40%, N2 52%, CO2 8%) B16 / 200BAR-NITROGENO-2,2478976</v>
      </c>
      <c r="O342" t="str">
        <f>CONCATENATE(B342,"-ARGON-",H342)</f>
        <v>IG541 (Ar 40%, N2 52%, CO2 8%) B16 / 200BAR-ARGON-2,466048</v>
      </c>
      <c r="P342" t="str">
        <f>CONCATENATE(B342,"-CO2-",G342)</f>
        <v>IG541 (Ar 40%, N2 52%, CO2 8%) B16 / 200BAR-CO2-0,5384448</v>
      </c>
    </row>
    <row r="343" spans="1:16">
      <c r="A343">
        <v>405</v>
      </c>
      <c r="B343" s="4" t="s">
        <v>340</v>
      </c>
      <c r="C343" s="43"/>
      <c r="D343" s="32"/>
      <c r="E343" s="32"/>
      <c r="F343" s="23"/>
      <c r="G343" s="24">
        <v>0.67305599999999999</v>
      </c>
      <c r="H343" s="25">
        <v>3.08256</v>
      </c>
      <c r="I343" s="26"/>
      <c r="J343" s="27">
        <v>2.8098719999999999</v>
      </c>
      <c r="N343" t="str">
        <f>CONCATENATE(B343,"-NITROGENO-",J343)</f>
        <v>IG541 (Ar 40%, N2 52%, CO2 8%) B20 / 200BAR-NITROGENO-2,809872</v>
      </c>
      <c r="O343" t="str">
        <f>CONCATENATE(B343,"-ARGON-",H343)</f>
        <v>IG541 (Ar 40%, N2 52%, CO2 8%) B20 / 200BAR-ARGON-3,08256</v>
      </c>
      <c r="P343" t="str">
        <f>CONCATENATE(B343,"-CO2-",G343)</f>
        <v>IG541 (Ar 40%, N2 52%, CO2 8%) B20 / 200BAR-CO2-0,673056</v>
      </c>
    </row>
    <row r="344" spans="1:16">
      <c r="A344">
        <v>406</v>
      </c>
      <c r="B344" s="4" t="s">
        <v>341</v>
      </c>
      <c r="C344" s="43"/>
      <c r="D344" s="22"/>
      <c r="E344" s="32"/>
      <c r="F344" s="23"/>
      <c r="G344" s="24">
        <v>1.009584</v>
      </c>
      <c r="H344" s="25">
        <v>4.6238400000000004</v>
      </c>
      <c r="I344" s="26"/>
      <c r="J344" s="27">
        <v>4.2148080000000006</v>
      </c>
      <c r="N344" t="str">
        <f>CONCATENATE(B344,"-NITROGENO-",J344)</f>
        <v>IG541 (Ar 40%, N2 52%, CO2 8%) B30 / 200BAR-NITROGENO-4,214808</v>
      </c>
      <c r="O344" t="str">
        <f>CONCATENATE(B344,"-ARGON-",H344)</f>
        <v>IG541 (Ar 40%, N2 52%, CO2 8%) B30 / 200BAR-ARGON-4,62384</v>
      </c>
      <c r="P344" t="str">
        <f>CONCATENATE(B344,"-CO2-",G344)</f>
        <v>IG541 (Ar 40%, N2 52%, CO2 8%) B30 / 200BAR-CO2-1,009584</v>
      </c>
    </row>
    <row r="345" spans="1:16">
      <c r="A345">
        <v>407</v>
      </c>
      <c r="B345" s="3" t="s">
        <v>342</v>
      </c>
      <c r="C345" s="43"/>
      <c r="D345" s="22"/>
      <c r="E345" s="32"/>
      <c r="F345" s="23"/>
      <c r="G345" s="24">
        <v>1.346112</v>
      </c>
      <c r="H345" s="25">
        <v>6.1651199999999999</v>
      </c>
      <c r="I345" s="26"/>
      <c r="J345" s="27">
        <v>5.6197439999999999</v>
      </c>
      <c r="N345" t="str">
        <f>CONCATENATE(B345,"-NITROGENO-",J345)</f>
        <v>IG541 (Ar 40%, N2 52%, CO2 8%) B40 / 200BAR-NITROGENO-5,619744</v>
      </c>
      <c r="O345" t="str">
        <f>CONCATENATE(B345,"-ARGON-",H345)</f>
        <v>IG541 (Ar 40%, N2 52%, CO2 8%) B40 / 200BAR-ARGON-6,16512</v>
      </c>
      <c r="P345" t="str">
        <f>CONCATENATE(B345,"-CO2-",G345)</f>
        <v>IG541 (Ar 40%, N2 52%, CO2 8%) B40 / 200BAR-CO2-1,346112</v>
      </c>
    </row>
    <row r="346" spans="1:16">
      <c r="A346">
        <v>408</v>
      </c>
      <c r="B346" s="3" t="s">
        <v>343</v>
      </c>
      <c r="D346" s="22"/>
      <c r="E346" s="32"/>
      <c r="F346" s="23"/>
      <c r="G346" s="24">
        <v>1.6826400000000001</v>
      </c>
      <c r="H346" s="25">
        <v>7.7064000000000004</v>
      </c>
      <c r="I346" s="26"/>
      <c r="J346" s="27">
        <v>7.02468</v>
      </c>
      <c r="N346" t="str">
        <f>CONCATENATE(B346,"-NITROGENO-",J346)</f>
        <v>IG541 (Ar 40%, N2 52%, CO2 8%) B50 / 200BAR-NITROGENO-7,02468</v>
      </c>
      <c r="O346" t="str">
        <f>CONCATENATE(B346,"-ARGON-",H346)</f>
        <v>IG541 (Ar 40%, N2 52%, CO2 8%) B50 / 200BAR-ARGON-7,7064</v>
      </c>
      <c r="P346" t="str">
        <f>CONCATENATE(B346,"-CO2-",G346)</f>
        <v>IG541 (Ar 40%, N2 52%, CO2 8%) B50 / 200BAR-CO2-1,68264</v>
      </c>
    </row>
    <row r="347" spans="1:16">
      <c r="A347">
        <v>409</v>
      </c>
      <c r="B347" s="4" t="s">
        <v>344</v>
      </c>
      <c r="C347" s="43"/>
      <c r="D347" s="22"/>
      <c r="E347" s="32"/>
      <c r="F347" s="23"/>
      <c r="G347" s="24">
        <v>2.692224</v>
      </c>
      <c r="H347" s="25">
        <v>12.33024</v>
      </c>
      <c r="I347" s="26"/>
      <c r="J347" s="27">
        <v>11.239488</v>
      </c>
      <c r="N347" t="str">
        <f>CONCATENATE(B347,"-NITROGENO-",J347)</f>
        <v>IG541 (Ar 40%, N2 52%, CO2 8%) B80 / 200BAR-NITROGENO-11,239488</v>
      </c>
      <c r="O347" t="str">
        <f>CONCATENATE(B347,"-ARGON-",H347)</f>
        <v>IG541 (Ar 40%, N2 52%, CO2 8%) B80 / 200BAR-ARGON-12,33024</v>
      </c>
      <c r="P347" t="str">
        <f>CONCATENATE(B347,"-CO2-",G347)</f>
        <v>IG541 (Ar 40%, N2 52%, CO2 8%) B80 / 200BAR-CO2-2,692224</v>
      </c>
    </row>
    <row r="348" spans="1:16">
      <c r="A348">
        <v>410</v>
      </c>
      <c r="B348" s="4" t="s">
        <v>345</v>
      </c>
      <c r="C348" s="43"/>
      <c r="D348" s="22"/>
      <c r="E348" s="32"/>
      <c r="F348" s="23"/>
      <c r="G348" s="24">
        <v>20.191680000000002</v>
      </c>
      <c r="H348" s="25">
        <v>92.476800000000011</v>
      </c>
      <c r="I348" s="26"/>
      <c r="J348" s="27">
        <v>84.296160000000015</v>
      </c>
      <c r="N348" t="str">
        <f>CONCATENATE(B348,"-NITROGENO-",J348)</f>
        <v>IG541 (Ar 40%, N2 52%, CO2 8%) 12*50 / 200BAR-NITROGENO-84,29616</v>
      </c>
      <c r="O348" t="str">
        <f>CONCATENATE(B348,"-ARGON-",H348)</f>
        <v>IG541 (Ar 40%, N2 52%, CO2 8%) 12*50 / 200BAR-ARGON-92,4768</v>
      </c>
      <c r="P348" t="str">
        <f>CONCATENATE(B348,"-CO2-",G348)</f>
        <v>IG541 (Ar 40%, N2 52%, CO2 8%) 12*50 / 200BAR-CO2-20,19168</v>
      </c>
    </row>
    <row r="349" spans="1:16">
      <c r="A349">
        <v>411</v>
      </c>
      <c r="B349" s="4" t="s">
        <v>346</v>
      </c>
      <c r="C349" s="43"/>
      <c r="D349" s="22"/>
      <c r="E349" s="32"/>
      <c r="F349" s="23"/>
      <c r="G349" s="35">
        <v>26.922240000000002</v>
      </c>
      <c r="H349" s="25">
        <v>123.30240000000001</v>
      </c>
      <c r="J349" s="37">
        <v>112.39488</v>
      </c>
      <c r="N349" t="str">
        <f>CONCATENATE(B349,"-NITROGENO-",J349)</f>
        <v>IG541 (Ar 40%, N2 52%, CO2 8%) 16*50 / 200BAR-NITROGENO-112,39488</v>
      </c>
      <c r="O349" t="str">
        <f>CONCATENATE(B349,"-ARGON-",H349)</f>
        <v>IG541 (Ar 40%, N2 52%, CO2 8%) 16*50 / 200BAR-ARGON-123,3024</v>
      </c>
      <c r="P349" t="str">
        <f>CONCATENATE(B349,"-CO2-",G349)</f>
        <v>IG541 (Ar 40%, N2 52%, CO2 8%) 16*50 / 200BAR-CO2-26,92224</v>
      </c>
    </row>
    <row r="350" spans="1:16">
      <c r="A350">
        <v>412</v>
      </c>
      <c r="B350" s="4" t="s">
        <v>347</v>
      </c>
      <c r="C350" s="43"/>
      <c r="D350" s="51"/>
      <c r="E350" s="50"/>
      <c r="F350" s="40"/>
      <c r="G350" s="41">
        <v>32.306688000000001</v>
      </c>
      <c r="H350" s="28">
        <v>147.96288000000001</v>
      </c>
      <c r="I350" s="29"/>
      <c r="J350" s="30">
        <v>134.87385600000002</v>
      </c>
      <c r="N350" t="str">
        <f>CONCATENATE(B350,"-NITROGENO-",J350)</f>
        <v>IG541 (Ar 40%, N2 52%, CO2 8%) 12*80 / 200BAR-NITROGENO-134,873856</v>
      </c>
      <c r="O350" t="str">
        <f>CONCATENATE(B350,"-ARGON-",H350)</f>
        <v>IG541 (Ar 40%, N2 52%, CO2 8%) 12*80 / 200BAR-ARGON-147,96288</v>
      </c>
      <c r="P350" t="str">
        <f>CONCATENATE(B350,"-CO2-",G350)</f>
        <v>IG541 (Ar 40%, N2 52%, CO2 8%) 12*80 / 200BAR-CO2-32,306688</v>
      </c>
    </row>
    <row r="351" spans="1:16">
      <c r="A351">
        <v>413</v>
      </c>
      <c r="B351" s="4" t="s">
        <v>348</v>
      </c>
      <c r="D351" s="51"/>
      <c r="E351" s="50"/>
      <c r="F351" s="40"/>
      <c r="G351" s="41">
        <v>43.075583999999999</v>
      </c>
      <c r="H351" s="28">
        <v>197.28384</v>
      </c>
      <c r="I351" s="29"/>
      <c r="J351" s="30">
        <v>179.831808</v>
      </c>
      <c r="N351" t="str">
        <f>CONCATENATE(B351,"-NITROGENO-",J351)</f>
        <v>IG541 (Ar 40%, N2 52%, CO2 8%)16*80 / 200BAR-NITROGENO-179,831808</v>
      </c>
      <c r="O351" t="str">
        <f>CONCATENATE(B351,"-ARGON-",H351)</f>
        <v>IG541 (Ar 40%, N2 52%, CO2 8%)16*80 / 200BAR-ARGON-197,28384</v>
      </c>
      <c r="P351" t="str">
        <f>CONCATENATE(B351,"-CO2-",G351)</f>
        <v>IG541 (Ar 40%, N2 52%, CO2 8%)16*80 / 200BAR-CO2-43,075584</v>
      </c>
    </row>
    <row r="352" spans="1:16">
      <c r="A352">
        <v>416</v>
      </c>
      <c r="B352" s="5" t="s">
        <v>349</v>
      </c>
      <c r="C352" s="43"/>
      <c r="D352" s="50"/>
      <c r="E352" s="50"/>
      <c r="F352" s="40"/>
      <c r="G352" s="41">
        <v>0.18929700000000002</v>
      </c>
      <c r="H352" s="28">
        <v>0.98256600000000005</v>
      </c>
      <c r="I352" s="29"/>
      <c r="J352" s="30">
        <v>0.4214808000000001</v>
      </c>
      <c r="N352" t="str">
        <f>CONCATENATE(B352,"-NITROGENO-",J352)</f>
        <v>IG541 (Ar 40%, N2 52%, CO2 8%) B2 / 300BAR-NITROGENO-0,4214808</v>
      </c>
      <c r="O352" t="str">
        <f>CONCATENATE(B352,"-ARGON-",H352)</f>
        <v>IG541 (Ar 40%, N2 52%, CO2 8%) B2 / 300BAR-ARGON-0,982566</v>
      </c>
      <c r="P352" t="str">
        <f>CONCATENATE(B352,"-CO2-",G352)</f>
        <v>IG541 (Ar 40%, N2 52%, CO2 8%) B2 / 300BAR-CO2-0,189297</v>
      </c>
    </row>
    <row r="353" spans="1:16">
      <c r="A353">
        <v>417</v>
      </c>
      <c r="B353" s="5" t="s">
        <v>350</v>
      </c>
      <c r="C353" s="43"/>
      <c r="D353" s="50"/>
      <c r="E353" s="50"/>
      <c r="F353" s="40"/>
      <c r="G353" s="41">
        <v>0.47324250000000001</v>
      </c>
      <c r="H353" s="28">
        <v>2.4564149999999998</v>
      </c>
      <c r="I353" s="29"/>
      <c r="J353" s="30">
        <v>1.0537020000000001</v>
      </c>
      <c r="N353" t="str">
        <f>CONCATENATE(B353,"-NITROGENO-",J353)</f>
        <v>IG541 (Ar 40%, N2 52%, CO2 8%) B5 / 300BAR-NITROGENO-1,053702</v>
      </c>
      <c r="O353" t="str">
        <f>CONCATENATE(B353,"-ARGON-",H353)</f>
        <v>IG541 (Ar 40%, N2 52%, CO2 8%) B5 / 300BAR-ARGON-2,456415</v>
      </c>
      <c r="P353" t="str">
        <f>CONCATENATE(B353,"-CO2-",G353)</f>
        <v>IG541 (Ar 40%, N2 52%, CO2 8%) B5 / 300BAR-CO2-0,4732425</v>
      </c>
    </row>
    <row r="354" spans="1:16">
      <c r="A354">
        <v>418</v>
      </c>
      <c r="B354" s="5" t="s">
        <v>351</v>
      </c>
      <c r="C354" s="43"/>
      <c r="D354" s="50"/>
      <c r="E354" s="50"/>
      <c r="F354" s="52"/>
      <c r="G354" s="41">
        <v>0.66253950000000006</v>
      </c>
      <c r="H354" s="28">
        <v>3.4389810000000005</v>
      </c>
      <c r="I354" s="29"/>
      <c r="J354" s="30">
        <v>1.4751828000000002</v>
      </c>
      <c r="N354" t="str">
        <f>CONCATENATE(B354,"-NITROGENO-",J354)</f>
        <v>IG541 (Ar 40%, N2 52%, CO2 8%) B7 / 300BAR-NITROGENO-1,4751828</v>
      </c>
      <c r="O354" t="str">
        <f>CONCATENATE(B354,"-ARGON-",H354)</f>
        <v>IG541 (Ar 40%, N2 52%, CO2 8%) B7 / 300BAR-ARGON-3,438981</v>
      </c>
      <c r="P354" t="str">
        <f>CONCATENATE(B354,"-CO2-",G354)</f>
        <v>IG541 (Ar 40%, N2 52%, CO2 8%) B7 / 300BAR-CO2-0,6625395</v>
      </c>
    </row>
    <row r="355" spans="1:16">
      <c r="A355">
        <v>419</v>
      </c>
      <c r="B355" s="6" t="s">
        <v>352</v>
      </c>
      <c r="C355" s="43"/>
      <c r="D355" s="50"/>
      <c r="E355" s="50"/>
      <c r="F355" s="52"/>
      <c r="G355" s="41">
        <v>0.94648500000000002</v>
      </c>
      <c r="H355" s="28">
        <v>4.9128299999999996</v>
      </c>
      <c r="I355" s="29"/>
      <c r="J355" s="30">
        <v>2.1074040000000003</v>
      </c>
      <c r="N355" t="str">
        <f>CONCATENATE(B355,"-NITROGENO-",J355)</f>
        <v>IG541 (Ar 40%, N2 52%, CO2 8%) B10 / 300BAR-NITROGENO-2,107404</v>
      </c>
      <c r="O355" t="str">
        <f>CONCATENATE(B355,"-ARGON-",H355)</f>
        <v>IG541 (Ar 40%, N2 52%, CO2 8%) B10 / 300BAR-ARGON-4,91283</v>
      </c>
      <c r="P355" t="str">
        <f>CONCATENATE(B355,"-CO2-",G355)</f>
        <v>IG541 (Ar 40%, N2 52%, CO2 8%) B10 / 300BAR-CO2-0,946485</v>
      </c>
    </row>
    <row r="356" spans="1:16">
      <c r="A356">
        <v>420</v>
      </c>
      <c r="B356" s="6" t="s">
        <v>353</v>
      </c>
      <c r="C356" s="43"/>
      <c r="D356" s="50"/>
      <c r="E356" s="50"/>
      <c r="F356" s="52"/>
      <c r="G356" s="41">
        <v>1.3250790000000001</v>
      </c>
      <c r="H356" s="28">
        <v>6.877962000000001</v>
      </c>
      <c r="I356" s="29"/>
      <c r="J356" s="30">
        <v>2.9503656000000005</v>
      </c>
      <c r="N356" t="str">
        <f>CONCATENATE(B356,"-NITROGENO-",J356)</f>
        <v>IG541 (Ar 40%, N2 52%, CO2 8%) B14 / 300BAR-NITROGENO-2,9503656</v>
      </c>
      <c r="O356" t="str">
        <f>CONCATENATE(B356,"-ARGON-",H356)</f>
        <v>IG541 (Ar 40%, N2 52%, CO2 8%) B14 / 300BAR-ARGON-6,877962</v>
      </c>
      <c r="P356" t="str">
        <f>CONCATENATE(B356,"-CO2-",G356)</f>
        <v>IG541 (Ar 40%, N2 52%, CO2 8%) B14 / 300BAR-CO2-1,325079</v>
      </c>
    </row>
    <row r="357" spans="1:16">
      <c r="A357">
        <v>421</v>
      </c>
      <c r="B357" s="5" t="s">
        <v>354</v>
      </c>
      <c r="C357" s="43"/>
      <c r="D357" s="50"/>
      <c r="E357" s="50"/>
      <c r="F357" s="52"/>
      <c r="G357" s="41">
        <v>1.5143760000000002</v>
      </c>
      <c r="H357" s="28">
        <v>7.8605280000000004</v>
      </c>
      <c r="I357" s="29"/>
      <c r="J357" s="30">
        <v>3.3718464000000008</v>
      </c>
      <c r="N357" t="str">
        <f>CONCATENATE(B357,"-NITROGENO-",J357)</f>
        <v>IG541 (Ar 40%, N2 52%, CO2 8%) B16 / 300BAR-NITROGENO-3,3718464</v>
      </c>
      <c r="O357" t="str">
        <f>CONCATENATE(B357,"-ARGON-",H357)</f>
        <v>IG541 (Ar 40%, N2 52%, CO2 8%) B16 / 300BAR-ARGON-7,860528</v>
      </c>
      <c r="P357" t="str">
        <f>CONCATENATE(B357,"-CO2-",G357)</f>
        <v>IG541 (Ar 40%, N2 52%, CO2 8%) B16 / 300BAR-CO2-1,514376</v>
      </c>
    </row>
    <row r="358" spans="1:16">
      <c r="A358">
        <v>422</v>
      </c>
      <c r="B358" s="5" t="s">
        <v>355</v>
      </c>
      <c r="C358" s="43"/>
      <c r="D358" s="50"/>
      <c r="E358" s="50"/>
      <c r="F358" s="52"/>
      <c r="G358" s="41">
        <v>1.89297</v>
      </c>
      <c r="H358" s="28">
        <v>9.8256599999999992</v>
      </c>
      <c r="I358" s="29"/>
      <c r="J358" s="30">
        <v>4.2148080000000006</v>
      </c>
      <c r="N358" t="str">
        <f>CONCATENATE(B358,"-NITROGENO-",J358)</f>
        <v>IG541 (Ar 40%, N2 52%, CO2 8%) B20 / 300BAR-NITROGENO-4,214808</v>
      </c>
      <c r="O358" t="str">
        <f>CONCATENATE(B358,"-ARGON-",H358)</f>
        <v>IG541 (Ar 40%, N2 52%, CO2 8%) B20 / 300BAR-ARGON-9,82566</v>
      </c>
      <c r="P358" t="str">
        <f>CONCATENATE(B358,"-CO2-",G358)</f>
        <v>IG541 (Ar 40%, N2 52%, CO2 8%) B20 / 300BAR-CO2-1,89297</v>
      </c>
    </row>
    <row r="359" spans="1:16">
      <c r="A359">
        <v>423</v>
      </c>
      <c r="B359" s="5" t="s">
        <v>356</v>
      </c>
      <c r="C359" s="43"/>
      <c r="D359" s="50"/>
      <c r="E359" s="50"/>
      <c r="F359" s="52"/>
      <c r="G359" s="41">
        <v>2.8394550000000001</v>
      </c>
      <c r="H359" s="28">
        <v>14.738490000000001</v>
      </c>
      <c r="I359" s="29"/>
      <c r="J359" s="30">
        <v>6.3222120000000004</v>
      </c>
      <c r="N359" t="str">
        <f>CONCATENATE(B359,"-NITROGENO-",J359)</f>
        <v>IG541 (Ar 40%, N2 52%, CO2 8%) B30 / 300BAR-NITROGENO-6,322212</v>
      </c>
      <c r="O359" t="str">
        <f>CONCATENATE(B359,"-ARGON-",H359)</f>
        <v>IG541 (Ar 40%, N2 52%, CO2 8%) B30 / 300BAR-ARGON-14,73849</v>
      </c>
      <c r="P359" t="str">
        <f>CONCATENATE(B359,"-CO2-",G359)</f>
        <v>IG541 (Ar 40%, N2 52%, CO2 8%) B30 / 300BAR-CO2-2,839455</v>
      </c>
    </row>
    <row r="360" spans="1:16">
      <c r="A360">
        <v>424</v>
      </c>
      <c r="B360" s="5" t="s">
        <v>357</v>
      </c>
      <c r="C360" s="43"/>
      <c r="D360" s="50"/>
      <c r="E360" s="50"/>
      <c r="F360" s="52"/>
      <c r="G360" s="41">
        <v>3.7859400000000001</v>
      </c>
      <c r="H360" s="28">
        <v>19.651319999999998</v>
      </c>
      <c r="I360" s="29"/>
      <c r="J360" s="30">
        <v>8.4296160000000011</v>
      </c>
      <c r="N360" t="str">
        <f>CONCATENATE(B360,"-NITROGENO-",J360)</f>
        <v>IG541 (Ar 40%, N2 52%, CO2 8%) B40 / 300BAR-NITROGENO-8,429616</v>
      </c>
      <c r="O360" t="str">
        <f>CONCATENATE(B360,"-ARGON-",H360)</f>
        <v>IG541 (Ar 40%, N2 52%, CO2 8%) B40 / 300BAR-ARGON-19,65132</v>
      </c>
      <c r="P360" t="str">
        <f>CONCATENATE(B360,"-CO2-",G360)</f>
        <v>IG541 (Ar 40%, N2 52%, CO2 8%) B40 / 300BAR-CO2-3,78594</v>
      </c>
    </row>
    <row r="361" spans="1:16">
      <c r="A361">
        <v>425</v>
      </c>
      <c r="B361" s="5" t="s">
        <v>358</v>
      </c>
      <c r="C361" s="43"/>
      <c r="D361" s="50"/>
      <c r="E361" s="50"/>
      <c r="F361" s="52"/>
      <c r="G361" s="41">
        <v>4.732425000000001</v>
      </c>
      <c r="H361" s="28">
        <v>24.564150000000001</v>
      </c>
      <c r="I361" s="29"/>
      <c r="J361" s="30">
        <v>10.537020000000002</v>
      </c>
      <c r="N361" t="str">
        <f>CONCATENATE(B361,"-NITROGENO-",J361)</f>
        <v>IG541 (Ar 40%, N2 52%, CO2 8%) B50 / 300BAR-NITROGENO-10,53702</v>
      </c>
      <c r="O361" t="str">
        <f>CONCATENATE(B361,"-ARGON-",H361)</f>
        <v>IG541 (Ar 40%, N2 52%, CO2 8%) B50 / 300BAR-ARGON-24,56415</v>
      </c>
      <c r="P361" t="str">
        <f>CONCATENATE(B361,"-CO2-",G361)</f>
        <v>IG541 (Ar 40%, N2 52%, CO2 8%) B50 / 300BAR-CO2-4,732425</v>
      </c>
    </row>
    <row r="362" spans="1:16">
      <c r="A362">
        <v>426</v>
      </c>
      <c r="B362" s="5" t="s">
        <v>359</v>
      </c>
      <c r="D362" s="50"/>
      <c r="E362" s="50"/>
      <c r="F362" s="40"/>
      <c r="G362" s="41">
        <v>7.5718800000000002</v>
      </c>
      <c r="H362" s="28">
        <v>39.302639999999997</v>
      </c>
      <c r="I362" s="29"/>
      <c r="J362" s="30">
        <v>16.859232000000002</v>
      </c>
      <c r="N362" t="str">
        <f>CONCATENATE(B362,"-NITROGENO-",J362)</f>
        <v>IG541 (Ar 40%, N2 52%, CO2 8%) B80 / 300BAR-NITROGENO-16,859232</v>
      </c>
      <c r="O362" t="str">
        <f>CONCATENATE(B362,"-ARGON-",H362)</f>
        <v>IG541 (Ar 40%, N2 52%, CO2 8%) B80 / 300BAR-ARGON-39,30264</v>
      </c>
      <c r="P362" t="str">
        <f>CONCATENATE(B362,"-CO2-",G362)</f>
        <v>IG541 (Ar 40%, N2 52%, CO2 8%) B80 / 300BAR-CO2-7,57188</v>
      </c>
    </row>
    <row r="363" spans="1:16">
      <c r="A363">
        <v>427</v>
      </c>
      <c r="B363" s="5" t="s">
        <v>360</v>
      </c>
      <c r="C363" s="43"/>
      <c r="D363" s="50"/>
      <c r="E363" s="50"/>
      <c r="F363" s="40"/>
      <c r="G363" s="41">
        <v>56.789100000000005</v>
      </c>
      <c r="H363" s="28">
        <v>294.76980000000003</v>
      </c>
      <c r="I363" s="29"/>
      <c r="J363" s="30">
        <v>126.44424000000001</v>
      </c>
      <c r="N363" t="str">
        <f>CONCATENATE(B363,"-NITROGENO-",J363)</f>
        <v>IG541 (Ar 40%, N2 52%, CO2 8%) 12*50 / 300BAR-NITROGENO-126,44424</v>
      </c>
      <c r="O363" t="str">
        <f>CONCATENATE(B363,"-ARGON-",H363)</f>
        <v>IG541 (Ar 40%, N2 52%, CO2 8%) 12*50 / 300BAR-ARGON-294,7698</v>
      </c>
      <c r="P363" t="str">
        <f>CONCATENATE(B363,"-CO2-",G363)</f>
        <v>IG541 (Ar 40%, N2 52%, CO2 8%) 12*50 / 300BAR-CO2-56,7891</v>
      </c>
    </row>
    <row r="364" spans="1:16">
      <c r="A364">
        <v>428</v>
      </c>
      <c r="B364" s="5" t="s">
        <v>361</v>
      </c>
      <c r="D364" s="32"/>
      <c r="E364" s="32"/>
      <c r="F364" s="45"/>
      <c r="G364" s="35">
        <v>75.718800000000016</v>
      </c>
      <c r="H364" s="25">
        <v>393.02640000000002</v>
      </c>
      <c r="J364" s="37">
        <v>168.59232000000003</v>
      </c>
      <c r="N364" t="str">
        <f>CONCATENATE(B364,"-NITROGENO-",J364)</f>
        <v>IG541 (Ar 40%, N2 52%, CO2 8%) 16*50 / 300BAR-NITROGENO-168,59232</v>
      </c>
      <c r="O364" t="str">
        <f>CONCATENATE(B364,"-ARGON-",H364)</f>
        <v>IG541 (Ar 40%, N2 52%, CO2 8%) 16*50 / 300BAR-ARGON-393,0264</v>
      </c>
      <c r="P364" t="str">
        <f>CONCATENATE(B364,"-CO2-",G364)</f>
        <v>IG541 (Ar 40%, N2 52%, CO2 8%) 16*50 / 300BAR-CO2-75,7188</v>
      </c>
    </row>
    <row r="365" spans="1:16">
      <c r="A365">
        <v>429</v>
      </c>
      <c r="B365" s="6" t="s">
        <v>362</v>
      </c>
      <c r="C365" s="43"/>
      <c r="D365" s="32"/>
      <c r="E365" s="32"/>
      <c r="F365" s="45"/>
      <c r="G365" s="35">
        <v>90.862560000000002</v>
      </c>
      <c r="H365" s="25">
        <v>471.63168000000002</v>
      </c>
      <c r="J365" s="37">
        <v>202.31078400000001</v>
      </c>
      <c r="N365" t="str">
        <f>CONCATENATE(B365,"-NITROGENO-",J365)</f>
        <v>IG541 (Ar 40%, N2 52%, CO2 8%) 12*80 / 300BAR-NITROGENO-202,310784</v>
      </c>
      <c r="O365" t="str">
        <f>CONCATENATE(B365,"-ARGON-",H365)</f>
        <v>IG541 (Ar 40%, N2 52%, CO2 8%) 12*80 / 300BAR-ARGON-471,63168</v>
      </c>
      <c r="P365" t="str">
        <f>CONCATENATE(B365,"-CO2-",G365)</f>
        <v>IG541 (Ar 40%, N2 52%, CO2 8%) 12*80 / 300BAR-CO2-90,86256</v>
      </c>
    </row>
    <row r="366" spans="1:16">
      <c r="A366">
        <v>430</v>
      </c>
      <c r="B366" s="6" t="s">
        <v>363</v>
      </c>
      <c r="D366" s="32"/>
      <c r="E366" s="32"/>
      <c r="F366" s="45"/>
      <c r="G366" s="35">
        <v>121.15008</v>
      </c>
      <c r="H366" s="25">
        <v>628.84223999999995</v>
      </c>
      <c r="J366" s="37">
        <v>269.74771200000004</v>
      </c>
      <c r="N366" t="str">
        <f>CONCATENATE(B366,"-NITROGENO-",J366)</f>
        <v>IG541 (Ar 40%, N2 52%, CO2 8%) 16*80 / 300BAR-NITROGENO-269,747712</v>
      </c>
      <c r="O366" t="str">
        <f>CONCATENATE(B366,"-ARGON-",H366)</f>
        <v>IG541 (Ar 40%, N2 52%, CO2 8%) 16*80 / 300BAR-ARGON-628,84224</v>
      </c>
      <c r="P366" t="str">
        <f>CONCATENATE(B366,"-CO2-",G366)</f>
        <v>IG541 (Ar 40%, N2 52%, CO2 8%) 16*80 / 300BAR-CO2-121,15008</v>
      </c>
    </row>
  </sheetData>
  <sortState ref="A2:Q367">
    <sortCondition ref="I2:I367"/>
    <sortCondition ref="A2:A367"/>
  </sortState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1"/>
  <sheetViews>
    <sheetView topLeftCell="A393" workbookViewId="0">
      <selection activeCell="A404" sqref="A1:A1048576"/>
    </sheetView>
  </sheetViews>
  <sheetFormatPr baseColWidth="10" defaultColWidth="50.85546875" defaultRowHeight="15"/>
  <cols>
    <col min="1" max="1" width="61.42578125" customWidth="1"/>
  </cols>
  <sheetData>
    <row r="1" spans="1:1">
      <c r="A1" t="s">
        <v>997</v>
      </c>
    </row>
    <row r="2" spans="1:1">
      <c r="A2" t="s">
        <v>1030</v>
      </c>
    </row>
    <row r="3" spans="1:1">
      <c r="A3" t="s">
        <v>1031</v>
      </c>
    </row>
    <row r="4" spans="1:1">
      <c r="A4" t="s">
        <v>1032</v>
      </c>
    </row>
    <row r="5" spans="1:1">
      <c r="A5" t="s">
        <v>1033</v>
      </c>
    </row>
    <row r="6" spans="1:1">
      <c r="A6" t="s">
        <v>1034</v>
      </c>
    </row>
    <row r="7" spans="1:1">
      <c r="A7" t="s">
        <v>1035</v>
      </c>
    </row>
    <row r="8" spans="1:1">
      <c r="A8" t="s">
        <v>1036</v>
      </c>
    </row>
    <row r="9" spans="1:1">
      <c r="A9" t="s">
        <v>1037</v>
      </c>
    </row>
    <row r="10" spans="1:1">
      <c r="A10" t="s">
        <v>1038</v>
      </c>
    </row>
    <row r="11" spans="1:1">
      <c r="A11" t="s">
        <v>1039</v>
      </c>
    </row>
    <row r="12" spans="1:1">
      <c r="A12" t="s">
        <v>1040</v>
      </c>
    </row>
    <row r="13" spans="1:1">
      <c r="A13" t="s">
        <v>1041</v>
      </c>
    </row>
    <row r="14" spans="1:1">
      <c r="A14" t="s">
        <v>1042</v>
      </c>
    </row>
    <row r="15" spans="1:1">
      <c r="A15" t="s">
        <v>1043</v>
      </c>
    </row>
    <row r="16" spans="1:1">
      <c r="A16" t="s">
        <v>1044</v>
      </c>
    </row>
    <row r="17" spans="1:1">
      <c r="A17" t="s">
        <v>1045</v>
      </c>
    </row>
    <row r="18" spans="1:1">
      <c r="A18" t="s">
        <v>1046</v>
      </c>
    </row>
    <row r="19" spans="1:1">
      <c r="A19" t="s">
        <v>1047</v>
      </c>
    </row>
    <row r="20" spans="1:1">
      <c r="A20" t="s">
        <v>1048</v>
      </c>
    </row>
    <row r="21" spans="1:1">
      <c r="A21" t="s">
        <v>1049</v>
      </c>
    </row>
    <row r="22" spans="1:1">
      <c r="A22" t="s">
        <v>1050</v>
      </c>
    </row>
    <row r="23" spans="1:1">
      <c r="A23" t="s">
        <v>1051</v>
      </c>
    </row>
    <row r="24" spans="1:1">
      <c r="A24" t="s">
        <v>1052</v>
      </c>
    </row>
    <row r="25" spans="1:1">
      <c r="A25" t="s">
        <v>1053</v>
      </c>
    </row>
    <row r="26" spans="1:1">
      <c r="A26" t="s">
        <v>1054</v>
      </c>
    </row>
    <row r="27" spans="1:1">
      <c r="A27" t="s">
        <v>1055</v>
      </c>
    </row>
    <row r="28" spans="1:1">
      <c r="A28" t="s">
        <v>1056</v>
      </c>
    </row>
    <row r="29" spans="1:1">
      <c r="A29" t="s">
        <v>1057</v>
      </c>
    </row>
    <row r="30" spans="1:1">
      <c r="A30" t="s">
        <v>1058</v>
      </c>
    </row>
    <row r="31" spans="1:1">
      <c r="A31" t="s">
        <v>1059</v>
      </c>
    </row>
    <row r="32" spans="1:1">
      <c r="A32" t="s">
        <v>1060</v>
      </c>
    </row>
    <row r="33" spans="1:1">
      <c r="A33" t="s">
        <v>1061</v>
      </c>
    </row>
    <row r="34" spans="1:1">
      <c r="A34" t="s">
        <v>1062</v>
      </c>
    </row>
    <row r="35" spans="1:1">
      <c r="A35" t="s">
        <v>1063</v>
      </c>
    </row>
    <row r="36" spans="1:1">
      <c r="A36" t="s">
        <v>1064</v>
      </c>
    </row>
    <row r="37" spans="1:1">
      <c r="A37" t="s">
        <v>1065</v>
      </c>
    </row>
    <row r="38" spans="1:1">
      <c r="A38" t="s">
        <v>1066</v>
      </c>
    </row>
    <row r="39" spans="1:1">
      <c r="A39" t="s">
        <v>1067</v>
      </c>
    </row>
    <row r="40" spans="1:1">
      <c r="A40" t="s">
        <v>1068</v>
      </c>
    </row>
    <row r="41" spans="1:1">
      <c r="A41" t="s">
        <v>1069</v>
      </c>
    </row>
    <row r="42" spans="1:1">
      <c r="A42" t="s">
        <v>1070</v>
      </c>
    </row>
    <row r="43" spans="1:1">
      <c r="A43" t="s">
        <v>1071</v>
      </c>
    </row>
    <row r="44" spans="1:1">
      <c r="A44" t="s">
        <v>1072</v>
      </c>
    </row>
    <row r="45" spans="1:1">
      <c r="A45" t="s">
        <v>1073</v>
      </c>
    </row>
    <row r="46" spans="1:1">
      <c r="A46" t="s">
        <v>1074</v>
      </c>
    </row>
    <row r="47" spans="1:1">
      <c r="A47" t="s">
        <v>1075</v>
      </c>
    </row>
    <row r="48" spans="1:1">
      <c r="A48" t="s">
        <v>1076</v>
      </c>
    </row>
    <row r="49" spans="1:1">
      <c r="A49" t="s">
        <v>1077</v>
      </c>
    </row>
    <row r="50" spans="1:1">
      <c r="A50" t="s">
        <v>1078</v>
      </c>
    </row>
    <row r="51" spans="1:1">
      <c r="A51" t="s">
        <v>1079</v>
      </c>
    </row>
    <row r="52" spans="1:1">
      <c r="A52" t="s">
        <v>1080</v>
      </c>
    </row>
    <row r="53" spans="1:1">
      <c r="A53" t="s">
        <v>1081</v>
      </c>
    </row>
    <row r="54" spans="1:1">
      <c r="A54" t="s">
        <v>1082</v>
      </c>
    </row>
    <row r="55" spans="1:1">
      <c r="A55" t="s">
        <v>1083</v>
      </c>
    </row>
    <row r="56" spans="1:1">
      <c r="A56" t="s">
        <v>1084</v>
      </c>
    </row>
    <row r="57" spans="1:1">
      <c r="A57" t="s">
        <v>1085</v>
      </c>
    </row>
    <row r="58" spans="1:1">
      <c r="A58" t="s">
        <v>1086</v>
      </c>
    </row>
    <row r="59" spans="1:1">
      <c r="A59" t="s">
        <v>1087</v>
      </c>
    </row>
    <row r="60" spans="1:1">
      <c r="A60" t="s">
        <v>1088</v>
      </c>
    </row>
    <row r="61" spans="1:1">
      <c r="A61" t="s">
        <v>1089</v>
      </c>
    </row>
    <row r="62" spans="1:1">
      <c r="A62" t="s">
        <v>1090</v>
      </c>
    </row>
    <row r="63" spans="1:1">
      <c r="A63" t="s">
        <v>1091</v>
      </c>
    </row>
    <row r="64" spans="1:1">
      <c r="A64" t="s">
        <v>1092</v>
      </c>
    </row>
    <row r="65" spans="1:1">
      <c r="A65" t="s">
        <v>1093</v>
      </c>
    </row>
    <row r="66" spans="1:1">
      <c r="A66" t="s">
        <v>1094</v>
      </c>
    </row>
    <row r="67" spans="1:1">
      <c r="A67" t="s">
        <v>1095</v>
      </c>
    </row>
    <row r="68" spans="1:1">
      <c r="A68" t="s">
        <v>1096</v>
      </c>
    </row>
    <row r="69" spans="1:1">
      <c r="A69" t="s">
        <v>1097</v>
      </c>
    </row>
    <row r="70" spans="1:1">
      <c r="A70" t="s">
        <v>1098</v>
      </c>
    </row>
    <row r="71" spans="1:1">
      <c r="A71" t="s">
        <v>1099</v>
      </c>
    </row>
    <row r="72" spans="1:1">
      <c r="A72" t="s">
        <v>1100</v>
      </c>
    </row>
    <row r="73" spans="1:1">
      <c r="A73" t="s">
        <v>980</v>
      </c>
    </row>
    <row r="74" spans="1:1">
      <c r="A74" t="s">
        <v>983</v>
      </c>
    </row>
    <row r="75" spans="1:1">
      <c r="A75" t="s">
        <v>982</v>
      </c>
    </row>
    <row r="76" spans="1:1">
      <c r="A76" t="s">
        <v>986</v>
      </c>
    </row>
    <row r="77" spans="1:1">
      <c r="A77" t="s">
        <v>984</v>
      </c>
    </row>
    <row r="78" spans="1:1">
      <c r="A78" t="s">
        <v>987</v>
      </c>
    </row>
    <row r="79" spans="1:1">
      <c r="A79" t="s">
        <v>975</v>
      </c>
    </row>
    <row r="80" spans="1:1">
      <c r="A80" t="s">
        <v>976</v>
      </c>
    </row>
    <row r="81" spans="1:1">
      <c r="A81" t="s">
        <v>985</v>
      </c>
    </row>
    <row r="82" spans="1:1">
      <c r="A82" t="s">
        <v>988</v>
      </c>
    </row>
    <row r="83" spans="1:1">
      <c r="A83" t="s">
        <v>989</v>
      </c>
    </row>
    <row r="84" spans="1:1">
      <c r="A84" t="s">
        <v>991</v>
      </c>
    </row>
    <row r="85" spans="1:1">
      <c r="A85" t="s">
        <v>990</v>
      </c>
    </row>
    <row r="86" spans="1:1">
      <c r="A86" t="s">
        <v>993</v>
      </c>
    </row>
    <row r="87" spans="1:1">
      <c r="A87" t="s">
        <v>977</v>
      </c>
    </row>
    <row r="88" spans="1:1">
      <c r="A88" t="s">
        <v>979</v>
      </c>
    </row>
    <row r="89" spans="1:1">
      <c r="A89" t="s">
        <v>992</v>
      </c>
    </row>
    <row r="90" spans="1:1">
      <c r="A90" t="s">
        <v>994</v>
      </c>
    </row>
    <row r="91" spans="1:1">
      <c r="A91" t="s">
        <v>978</v>
      </c>
    </row>
    <row r="92" spans="1:1">
      <c r="A92" t="s">
        <v>981</v>
      </c>
    </row>
    <row r="93" spans="1:1">
      <c r="A93" t="s">
        <v>995</v>
      </c>
    </row>
    <row r="94" spans="1:1">
      <c r="A94" t="s">
        <v>996</v>
      </c>
    </row>
    <row r="95" spans="1:1">
      <c r="A95" t="s">
        <v>543</v>
      </c>
    </row>
    <row r="96" spans="1:1">
      <c r="A96" t="s">
        <v>483</v>
      </c>
    </row>
    <row r="97" spans="1:1">
      <c r="A97" t="s">
        <v>565</v>
      </c>
    </row>
    <row r="98" spans="1:1">
      <c r="A98" t="s">
        <v>490</v>
      </c>
    </row>
    <row r="99" spans="1:1">
      <c r="A99" t="s">
        <v>513</v>
      </c>
    </row>
    <row r="100" spans="1:1">
      <c r="A100" t="s">
        <v>473</v>
      </c>
    </row>
    <row r="101" spans="1:1">
      <c r="A101" t="s">
        <v>520</v>
      </c>
    </row>
    <row r="102" spans="1:1">
      <c r="A102" t="s">
        <v>475</v>
      </c>
    </row>
    <row r="103" spans="1:1">
      <c r="A103" t="s">
        <v>503</v>
      </c>
    </row>
    <row r="104" spans="1:1">
      <c r="A104" t="s">
        <v>470</v>
      </c>
    </row>
    <row r="105" spans="1:1">
      <c r="A105" t="s">
        <v>549</v>
      </c>
    </row>
    <row r="106" spans="1:1">
      <c r="A106" t="s">
        <v>485</v>
      </c>
    </row>
    <row r="107" spans="1:1">
      <c r="A107" t="s">
        <v>507</v>
      </c>
    </row>
    <row r="108" spans="1:1">
      <c r="A108" t="s">
        <v>471</v>
      </c>
    </row>
    <row r="109" spans="1:1">
      <c r="A109" t="s">
        <v>574</v>
      </c>
    </row>
    <row r="110" spans="1:1">
      <c r="A110" t="s">
        <v>493</v>
      </c>
    </row>
    <row r="111" spans="1:1">
      <c r="A111" t="s">
        <v>569</v>
      </c>
    </row>
    <row r="112" spans="1:1">
      <c r="A112" t="s">
        <v>491</v>
      </c>
    </row>
    <row r="113" spans="1:1">
      <c r="A113" t="s">
        <v>578</v>
      </c>
    </row>
    <row r="114" spans="1:1">
      <c r="A114" t="s">
        <v>495</v>
      </c>
    </row>
    <row r="115" spans="1:1">
      <c r="A115" t="s">
        <v>525</v>
      </c>
    </row>
    <row r="116" spans="1:1">
      <c r="A116" t="s">
        <v>477</v>
      </c>
    </row>
    <row r="117" spans="1:1">
      <c r="A117" t="s">
        <v>499</v>
      </c>
    </row>
    <row r="118" spans="1:1">
      <c r="A118" t="s">
        <v>468</v>
      </c>
    </row>
    <row r="119" spans="1:1">
      <c r="A119" t="s">
        <v>528</v>
      </c>
    </row>
    <row r="120" spans="1:1">
      <c r="A120" t="s">
        <v>478</v>
      </c>
    </row>
    <row r="121" spans="1:1">
      <c r="A121" t="s">
        <v>536</v>
      </c>
    </row>
    <row r="122" spans="1:1">
      <c r="A122" t="s">
        <v>481</v>
      </c>
    </row>
    <row r="123" spans="1:1">
      <c r="A123" t="s">
        <v>558</v>
      </c>
    </row>
    <row r="124" spans="1:1">
      <c r="A124" t="s">
        <v>488</v>
      </c>
    </row>
    <row r="125" spans="1:1">
      <c r="A125" t="s">
        <v>571</v>
      </c>
    </row>
    <row r="126" spans="1:1">
      <c r="A126" t="s">
        <v>492</v>
      </c>
    </row>
    <row r="127" spans="1:1">
      <c r="A127" t="s">
        <v>581</v>
      </c>
    </row>
    <row r="128" spans="1:1">
      <c r="A128" t="s">
        <v>496</v>
      </c>
    </row>
    <row r="129" spans="1:1">
      <c r="A129" t="s">
        <v>577</v>
      </c>
    </row>
    <row r="130" spans="1:1">
      <c r="A130" t="s">
        <v>494</v>
      </c>
    </row>
    <row r="131" spans="1:1">
      <c r="A131" t="s">
        <v>582</v>
      </c>
    </row>
    <row r="132" spans="1:1">
      <c r="A132" t="s">
        <v>497</v>
      </c>
    </row>
    <row r="133" spans="1:1">
      <c r="A133" t="s">
        <v>522</v>
      </c>
    </row>
    <row r="134" spans="1:1">
      <c r="A134" t="s">
        <v>476</v>
      </c>
    </row>
    <row r="135" spans="1:1">
      <c r="A135" t="s">
        <v>529</v>
      </c>
    </row>
    <row r="136" spans="1:1">
      <c r="A136" t="s">
        <v>479</v>
      </c>
    </row>
    <row r="137" spans="1:1">
      <c r="A137" t="s">
        <v>534</v>
      </c>
    </row>
    <row r="138" spans="1:1">
      <c r="A138" t="s">
        <v>480</v>
      </c>
    </row>
    <row r="139" spans="1:1">
      <c r="A139" t="s">
        <v>501</v>
      </c>
    </row>
    <row r="140" spans="1:1">
      <c r="A140" t="s">
        <v>469</v>
      </c>
    </row>
    <row r="141" spans="1:1">
      <c r="A141" t="s">
        <v>537</v>
      </c>
    </row>
    <row r="142" spans="1:1">
      <c r="A142" t="s">
        <v>482</v>
      </c>
    </row>
    <row r="143" spans="1:1">
      <c r="A143" t="s">
        <v>546</v>
      </c>
    </row>
    <row r="144" spans="1:1">
      <c r="A144" t="s">
        <v>484</v>
      </c>
    </row>
    <row r="145" spans="1:1">
      <c r="A145" t="s">
        <v>555</v>
      </c>
    </row>
    <row r="146" spans="1:1">
      <c r="A146" t="s">
        <v>486</v>
      </c>
    </row>
    <row r="147" spans="1:1">
      <c r="A147" t="s">
        <v>509</v>
      </c>
    </row>
    <row r="148" spans="1:1">
      <c r="A148" t="s">
        <v>472</v>
      </c>
    </row>
    <row r="149" spans="1:1">
      <c r="A149" t="s">
        <v>557</v>
      </c>
    </row>
    <row r="150" spans="1:1">
      <c r="A150" t="s">
        <v>487</v>
      </c>
    </row>
    <row r="151" spans="1:1">
      <c r="A151" t="s">
        <v>515</v>
      </c>
    </row>
    <row r="152" spans="1:1">
      <c r="A152" t="s">
        <v>474</v>
      </c>
    </row>
    <row r="153" spans="1:1">
      <c r="A153" t="s">
        <v>562</v>
      </c>
    </row>
    <row r="154" spans="1:1">
      <c r="A154" t="s">
        <v>489</v>
      </c>
    </row>
    <row r="155" spans="1:1">
      <c r="A155" t="s">
        <v>597</v>
      </c>
    </row>
    <row r="156" spans="1:1">
      <c r="A156" t="s">
        <v>886</v>
      </c>
    </row>
    <row r="157" spans="1:1">
      <c r="A157" t="s">
        <v>620</v>
      </c>
    </row>
    <row r="158" spans="1:1">
      <c r="A158" t="s">
        <v>889</v>
      </c>
    </row>
    <row r="159" spans="1:1">
      <c r="A159" t="s">
        <v>638</v>
      </c>
    </row>
    <row r="160" spans="1:1">
      <c r="A160" t="s">
        <v>892</v>
      </c>
    </row>
    <row r="161" spans="1:1">
      <c r="A161" t="s">
        <v>633</v>
      </c>
    </row>
    <row r="162" spans="1:1">
      <c r="A162" t="s">
        <v>891</v>
      </c>
    </row>
    <row r="163" spans="1:1">
      <c r="A163" t="s">
        <v>654</v>
      </c>
    </row>
    <row r="164" spans="1:1">
      <c r="A164" t="s">
        <v>894</v>
      </c>
    </row>
    <row r="165" spans="1:1">
      <c r="A165" t="s">
        <v>652</v>
      </c>
    </row>
    <row r="166" spans="1:1">
      <c r="A166" t="s">
        <v>893</v>
      </c>
    </row>
    <row r="167" spans="1:1">
      <c r="A167" t="s">
        <v>674</v>
      </c>
    </row>
    <row r="168" spans="1:1">
      <c r="A168" t="s">
        <v>896</v>
      </c>
    </row>
    <row r="169" spans="1:1">
      <c r="A169" t="s">
        <v>673</v>
      </c>
    </row>
    <row r="170" spans="1:1">
      <c r="A170" t="s">
        <v>895</v>
      </c>
    </row>
    <row r="171" spans="1:1">
      <c r="A171" t="s">
        <v>693</v>
      </c>
    </row>
    <row r="172" spans="1:1">
      <c r="A172" t="s">
        <v>898</v>
      </c>
    </row>
    <row r="173" spans="1:1">
      <c r="A173" t="s">
        <v>687</v>
      </c>
    </row>
    <row r="174" spans="1:1">
      <c r="A174" t="s">
        <v>897</v>
      </c>
    </row>
    <row r="175" spans="1:1">
      <c r="A175" t="s">
        <v>705</v>
      </c>
    </row>
    <row r="176" spans="1:1">
      <c r="A176" t="s">
        <v>900</v>
      </c>
    </row>
    <row r="177" spans="1:1">
      <c r="A177" t="s">
        <v>609</v>
      </c>
    </row>
    <row r="178" spans="1:1">
      <c r="A178" t="s">
        <v>888</v>
      </c>
    </row>
    <row r="179" spans="1:1">
      <c r="A179" t="s">
        <v>699</v>
      </c>
    </row>
    <row r="180" spans="1:1">
      <c r="A180" t="s">
        <v>899</v>
      </c>
    </row>
    <row r="181" spans="1:1">
      <c r="A181" t="s">
        <v>711</v>
      </c>
    </row>
    <row r="182" spans="1:1">
      <c r="A182" t="s">
        <v>901</v>
      </c>
    </row>
    <row r="183" spans="1:1">
      <c r="A183" t="s">
        <v>605</v>
      </c>
    </row>
    <row r="184" spans="1:1">
      <c r="A184" t="s">
        <v>887</v>
      </c>
    </row>
    <row r="185" spans="1:1">
      <c r="A185" t="s">
        <v>623</v>
      </c>
    </row>
    <row r="186" spans="1:1">
      <c r="A186" t="s">
        <v>890</v>
      </c>
    </row>
    <row r="187" spans="1:1">
      <c r="A187" t="s">
        <v>733</v>
      </c>
    </row>
    <row r="188" spans="1:1">
      <c r="A188" t="s">
        <v>743</v>
      </c>
    </row>
    <row r="189" spans="1:1">
      <c r="A189" t="s">
        <v>746</v>
      </c>
    </row>
    <row r="190" spans="1:1">
      <c r="A190" t="s">
        <v>760</v>
      </c>
    </row>
    <row r="191" spans="1:1">
      <c r="A191" t="s">
        <v>737</v>
      </c>
    </row>
    <row r="192" spans="1:1">
      <c r="A192" t="s">
        <v>752</v>
      </c>
    </row>
    <row r="193" spans="1:1">
      <c r="A193" t="s">
        <v>755</v>
      </c>
    </row>
    <row r="194" spans="1:1">
      <c r="A194" t="s">
        <v>765</v>
      </c>
    </row>
    <row r="195" spans="1:1">
      <c r="A195" t="s">
        <v>629</v>
      </c>
    </row>
    <row r="196" spans="1:1">
      <c r="A196" t="s">
        <v>647</v>
      </c>
    </row>
    <row r="197" spans="1:1">
      <c r="A197" t="s">
        <v>643</v>
      </c>
    </row>
    <row r="198" spans="1:1">
      <c r="A198" t="s">
        <v>664</v>
      </c>
    </row>
    <row r="199" spans="1:1">
      <c r="A199" t="s">
        <v>650</v>
      </c>
    </row>
    <row r="200" spans="1:1">
      <c r="A200" t="s">
        <v>670</v>
      </c>
    </row>
    <row r="201" spans="1:1">
      <c r="A201" t="s">
        <v>587</v>
      </c>
    </row>
    <row r="202" spans="1:1">
      <c r="A202" t="s">
        <v>593</v>
      </c>
    </row>
    <row r="203" spans="1:1">
      <c r="A203" t="s">
        <v>661</v>
      </c>
    </row>
    <row r="204" spans="1:1">
      <c r="A204" t="s">
        <v>684</v>
      </c>
    </row>
    <row r="205" spans="1:1">
      <c r="A205" t="s">
        <v>671</v>
      </c>
    </row>
    <row r="206" spans="1:1">
      <c r="A206" t="s">
        <v>683</v>
      </c>
    </row>
    <row r="207" spans="1:1">
      <c r="A207" t="s">
        <v>698</v>
      </c>
    </row>
    <row r="208" spans="1:1">
      <c r="A208" t="s">
        <v>692</v>
      </c>
    </row>
    <row r="209" spans="1:1">
      <c r="A209" t="s">
        <v>710</v>
      </c>
    </row>
    <row r="210" spans="1:1">
      <c r="A210" t="s">
        <v>603</v>
      </c>
    </row>
    <row r="211" spans="1:1">
      <c r="A211" t="s">
        <v>618</v>
      </c>
    </row>
    <row r="212" spans="1:1">
      <c r="A212" t="s">
        <v>704</v>
      </c>
    </row>
    <row r="213" spans="1:1">
      <c r="A213" t="s">
        <v>717</v>
      </c>
    </row>
    <row r="214" spans="1:1">
      <c r="A214" t="s">
        <v>615</v>
      </c>
    </row>
    <row r="215" spans="1:1">
      <c r="A215" t="s">
        <v>632</v>
      </c>
    </row>
    <row r="216" spans="1:1">
      <c r="A216" t="s">
        <v>720</v>
      </c>
    </row>
    <row r="217" spans="1:1">
      <c r="A217" t="s">
        <v>725</v>
      </c>
    </row>
    <row r="218" spans="1:1">
      <c r="A218" t="s">
        <v>915</v>
      </c>
    </row>
    <row r="219" spans="1:1">
      <c r="A219" t="s">
        <v>918</v>
      </c>
    </row>
    <row r="220" spans="1:1">
      <c r="A220" t="s">
        <v>917</v>
      </c>
    </row>
    <row r="221" spans="1:1">
      <c r="A221" t="s">
        <v>920</v>
      </c>
    </row>
    <row r="222" spans="1:1">
      <c r="A222" t="s">
        <v>919</v>
      </c>
    </row>
    <row r="223" spans="1:1">
      <c r="A223" t="s">
        <v>922</v>
      </c>
    </row>
    <row r="224" spans="1:1">
      <c r="A224" t="s">
        <v>921</v>
      </c>
    </row>
    <row r="225" spans="1:1">
      <c r="A225" t="s">
        <v>924</v>
      </c>
    </row>
    <row r="226" spans="1:1">
      <c r="A226" t="s">
        <v>923</v>
      </c>
    </row>
    <row r="227" spans="1:1">
      <c r="A227" t="s">
        <v>926</v>
      </c>
    </row>
    <row r="228" spans="1:1">
      <c r="A228" t="s">
        <v>912</v>
      </c>
    </row>
    <row r="229" spans="1:1">
      <c r="A229" t="s">
        <v>914</v>
      </c>
    </row>
    <row r="230" spans="1:1">
      <c r="A230" t="s">
        <v>925</v>
      </c>
    </row>
    <row r="231" spans="1:1">
      <c r="A231" t="s">
        <v>927</v>
      </c>
    </row>
    <row r="232" spans="1:1">
      <c r="A232" t="s">
        <v>913</v>
      </c>
    </row>
    <row r="233" spans="1:1">
      <c r="A233" t="s">
        <v>916</v>
      </c>
    </row>
    <row r="234" spans="1:1">
      <c r="A234" t="s">
        <v>607</v>
      </c>
    </row>
    <row r="235" spans="1:1">
      <c r="A235" t="s">
        <v>946</v>
      </c>
    </row>
    <row r="236" spans="1:1">
      <c r="A236" t="s">
        <v>627</v>
      </c>
    </row>
    <row r="237" spans="1:1">
      <c r="A237" t="s">
        <v>950</v>
      </c>
    </row>
    <row r="238" spans="1:1">
      <c r="A238" t="s">
        <v>639</v>
      </c>
    </row>
    <row r="239" spans="1:1">
      <c r="A239" t="s">
        <v>954</v>
      </c>
    </row>
    <row r="240" spans="1:1">
      <c r="A240" t="s">
        <v>635</v>
      </c>
    </row>
    <row r="241" spans="1:1">
      <c r="A241" t="s">
        <v>953</v>
      </c>
    </row>
    <row r="242" spans="1:1">
      <c r="A242" t="s">
        <v>659</v>
      </c>
    </row>
    <row r="243" spans="1:1">
      <c r="A243" t="s">
        <v>958</v>
      </c>
    </row>
    <row r="244" spans="1:1">
      <c r="A244" t="s">
        <v>672</v>
      </c>
    </row>
    <row r="245" spans="1:1">
      <c r="A245" t="s">
        <v>961</v>
      </c>
    </row>
    <row r="246" spans="1:1">
      <c r="A246" t="s">
        <v>690</v>
      </c>
    </row>
    <row r="247" spans="1:1">
      <c r="A247" t="s">
        <v>966</v>
      </c>
    </row>
    <row r="248" spans="1:1">
      <c r="A248" t="s">
        <v>702</v>
      </c>
    </row>
    <row r="249" spans="1:1">
      <c r="A249" t="s">
        <v>969</v>
      </c>
    </row>
    <row r="250" spans="1:1">
      <c r="A250" t="s">
        <v>598</v>
      </c>
    </row>
    <row r="251" spans="1:1">
      <c r="A251" t="s">
        <v>943</v>
      </c>
    </row>
    <row r="252" spans="1:1">
      <c r="A252" t="s">
        <v>621</v>
      </c>
    </row>
    <row r="253" spans="1:1">
      <c r="A253" t="s">
        <v>949</v>
      </c>
    </row>
    <row r="254" spans="1:1">
      <c r="A254" t="s">
        <v>658</v>
      </c>
    </row>
    <row r="255" spans="1:1">
      <c r="A255" t="s">
        <v>957</v>
      </c>
    </row>
    <row r="256" spans="1:1">
      <c r="A256" t="s">
        <v>680</v>
      </c>
    </row>
    <row r="257" spans="1:1">
      <c r="A257" t="s">
        <v>962</v>
      </c>
    </row>
    <row r="258" spans="1:1">
      <c r="A258" t="s">
        <v>595</v>
      </c>
    </row>
    <row r="259" spans="1:1">
      <c r="A259" t="s">
        <v>939</v>
      </c>
    </row>
    <row r="260" spans="1:1">
      <c r="A260" t="s">
        <v>601</v>
      </c>
    </row>
    <row r="261" spans="1:1">
      <c r="A261" t="s">
        <v>944</v>
      </c>
    </row>
    <row r="262" spans="1:1">
      <c r="A262" t="s">
        <v>685</v>
      </c>
    </row>
    <row r="263" spans="1:1">
      <c r="A263" t="s">
        <v>965</v>
      </c>
    </row>
    <row r="264" spans="1:1">
      <c r="A264" t="s">
        <v>610</v>
      </c>
    </row>
    <row r="265" spans="1:1">
      <c r="A265" t="s">
        <v>947</v>
      </c>
    </row>
    <row r="266" spans="1:1">
      <c r="A266" t="s">
        <v>955</v>
      </c>
    </row>
    <row r="267" spans="1:1">
      <c r="A267" t="s">
        <v>960</v>
      </c>
    </row>
    <row r="268" spans="1:1">
      <c r="A268" t="s">
        <v>959</v>
      </c>
    </row>
    <row r="269" spans="1:1">
      <c r="A269" t="s">
        <v>964</v>
      </c>
    </row>
    <row r="270" spans="1:1">
      <c r="A270" t="s">
        <v>963</v>
      </c>
    </row>
    <row r="271" spans="1:1">
      <c r="A271" t="s">
        <v>967</v>
      </c>
    </row>
    <row r="272" spans="1:1">
      <c r="A272" t="s">
        <v>968</v>
      </c>
    </row>
    <row r="273" spans="1:1">
      <c r="A273" t="s">
        <v>971</v>
      </c>
    </row>
    <row r="274" spans="1:1">
      <c r="A274" t="s">
        <v>970</v>
      </c>
    </row>
    <row r="275" spans="1:1">
      <c r="A275" t="s">
        <v>973</v>
      </c>
    </row>
    <row r="276" spans="1:1">
      <c r="A276" t="s">
        <v>948</v>
      </c>
    </row>
    <row r="277" spans="1:1">
      <c r="A277" t="s">
        <v>952</v>
      </c>
    </row>
    <row r="278" spans="1:1">
      <c r="A278" t="s">
        <v>972</v>
      </c>
    </row>
    <row r="279" spans="1:1">
      <c r="A279" t="s">
        <v>974</v>
      </c>
    </row>
    <row r="280" spans="1:1">
      <c r="A280" t="s">
        <v>951</v>
      </c>
    </row>
    <row r="281" spans="1:1">
      <c r="A281" t="s">
        <v>956</v>
      </c>
    </row>
    <row r="282" spans="1:1">
      <c r="A282" t="s">
        <v>726</v>
      </c>
    </row>
    <row r="283" spans="1:1">
      <c r="A283" t="s">
        <v>863</v>
      </c>
    </row>
    <row r="284" spans="1:1">
      <c r="A284" t="s">
        <v>563</v>
      </c>
    </row>
    <row r="285" spans="1:1">
      <c r="A285" t="s">
        <v>739</v>
      </c>
    </row>
    <row r="286" spans="1:1">
      <c r="A286" t="s">
        <v>876</v>
      </c>
    </row>
    <row r="287" spans="1:1">
      <c r="A287" t="s">
        <v>566</v>
      </c>
    </row>
    <row r="288" spans="1:1">
      <c r="A288" t="s">
        <v>728</v>
      </c>
    </row>
    <row r="289" spans="1:1">
      <c r="A289" t="s">
        <v>868</v>
      </c>
    </row>
    <row r="290" spans="1:1">
      <c r="A290" t="s">
        <v>568</v>
      </c>
    </row>
    <row r="291" spans="1:1">
      <c r="A291" t="s">
        <v>757</v>
      </c>
    </row>
    <row r="292" spans="1:1">
      <c r="A292" t="s">
        <v>883</v>
      </c>
    </row>
    <row r="293" spans="1:1">
      <c r="A293" t="s">
        <v>576</v>
      </c>
    </row>
    <row r="294" spans="1:1">
      <c r="A294" t="s">
        <v>727</v>
      </c>
    </row>
    <row r="295" spans="1:1">
      <c r="A295" t="s">
        <v>865</v>
      </c>
    </row>
    <row r="296" spans="1:1">
      <c r="A296" t="s">
        <v>564</v>
      </c>
    </row>
    <row r="297" spans="1:1">
      <c r="A297" t="s">
        <v>748</v>
      </c>
    </row>
    <row r="298" spans="1:1">
      <c r="A298" t="s">
        <v>880</v>
      </c>
    </row>
    <row r="299" spans="1:1">
      <c r="A299" t="s">
        <v>570</v>
      </c>
    </row>
    <row r="300" spans="1:1">
      <c r="A300" t="s">
        <v>762</v>
      </c>
    </row>
    <row r="301" spans="1:1">
      <c r="A301" t="s">
        <v>885</v>
      </c>
    </row>
    <row r="302" spans="1:1">
      <c r="A302" t="s">
        <v>580</v>
      </c>
    </row>
    <row r="303" spans="1:1">
      <c r="A303" t="s">
        <v>596</v>
      </c>
    </row>
    <row r="304" spans="1:1">
      <c r="A304" t="s">
        <v>795</v>
      </c>
    </row>
    <row r="305" spans="1:1">
      <c r="A305" t="s">
        <v>508</v>
      </c>
    </row>
    <row r="306" spans="1:1">
      <c r="A306" t="s">
        <v>641</v>
      </c>
    </row>
    <row r="307" spans="1:1">
      <c r="A307" t="s">
        <v>820</v>
      </c>
    </row>
    <row r="308" spans="1:1">
      <c r="A308" t="s">
        <v>516</v>
      </c>
    </row>
    <row r="309" spans="1:1">
      <c r="A309" t="s">
        <v>604</v>
      </c>
    </row>
    <row r="310" spans="1:1">
      <c r="A310" t="s">
        <v>801</v>
      </c>
    </row>
    <row r="311" spans="1:1">
      <c r="A311" t="s">
        <v>514</v>
      </c>
    </row>
    <row r="312" spans="1:1">
      <c r="A312" t="s">
        <v>657</v>
      </c>
    </row>
    <row r="313" spans="1:1">
      <c r="A313" t="s">
        <v>828</v>
      </c>
    </row>
    <row r="314" spans="1:1">
      <c r="A314" t="s">
        <v>523</v>
      </c>
    </row>
    <row r="315" spans="1:1">
      <c r="A315" t="s">
        <v>614</v>
      </c>
    </row>
    <row r="316" spans="1:1">
      <c r="A316" t="s">
        <v>807</v>
      </c>
    </row>
    <row r="317" spans="1:1">
      <c r="A317" t="s">
        <v>519</v>
      </c>
    </row>
    <row r="318" spans="1:1">
      <c r="A318" t="s">
        <v>667</v>
      </c>
    </row>
    <row r="319" spans="1:1">
      <c r="A319" t="s">
        <v>832</v>
      </c>
    </row>
    <row r="320" spans="1:1">
      <c r="A320" t="s">
        <v>527</v>
      </c>
    </row>
    <row r="321" spans="1:1">
      <c r="A321" t="s">
        <v>583</v>
      </c>
    </row>
    <row r="322" spans="1:1">
      <c r="A322" t="s">
        <v>772</v>
      </c>
    </row>
    <row r="323" spans="1:1">
      <c r="A323" t="s">
        <v>498</v>
      </c>
    </row>
    <row r="324" spans="1:1">
      <c r="A324" t="s">
        <v>590</v>
      </c>
    </row>
    <row r="325" spans="1:1">
      <c r="A325" t="s">
        <v>786</v>
      </c>
    </row>
    <row r="326" spans="1:1">
      <c r="A326" t="s">
        <v>500</v>
      </c>
    </row>
    <row r="327" spans="1:1">
      <c r="A327" t="s">
        <v>619</v>
      </c>
    </row>
    <row r="328" spans="1:1">
      <c r="A328" t="s">
        <v>814</v>
      </c>
    </row>
    <row r="329" spans="1:1">
      <c r="A329" t="s">
        <v>521</v>
      </c>
    </row>
    <row r="330" spans="1:1">
      <c r="A330" t="s">
        <v>677</v>
      </c>
    </row>
    <row r="331" spans="1:1">
      <c r="A331" t="s">
        <v>837</v>
      </c>
    </row>
    <row r="332" spans="1:1">
      <c r="A332" t="s">
        <v>531</v>
      </c>
    </row>
    <row r="333" spans="1:1">
      <c r="A333" t="s">
        <v>636</v>
      </c>
    </row>
    <row r="334" spans="1:1">
      <c r="A334" t="s">
        <v>824</v>
      </c>
    </row>
    <row r="335" spans="1:1">
      <c r="A335" t="s">
        <v>530</v>
      </c>
    </row>
    <row r="336" spans="1:1">
      <c r="A336" t="s">
        <v>695</v>
      </c>
    </row>
    <row r="337" spans="1:1">
      <c r="A337" t="s">
        <v>844</v>
      </c>
    </row>
    <row r="338" spans="1:1">
      <c r="A338" t="s">
        <v>538</v>
      </c>
    </row>
    <row r="339" spans="1:1">
      <c r="A339" t="s">
        <v>651</v>
      </c>
    </row>
    <row r="340" spans="1:1">
      <c r="A340" t="s">
        <v>829</v>
      </c>
    </row>
    <row r="341" spans="1:1">
      <c r="A341" t="s">
        <v>535</v>
      </c>
    </row>
    <row r="342" spans="1:1">
      <c r="A342" t="s">
        <v>707</v>
      </c>
    </row>
    <row r="343" spans="1:1">
      <c r="A343" t="s">
        <v>847</v>
      </c>
    </row>
    <row r="344" spans="1:1">
      <c r="A344" t="s">
        <v>545</v>
      </c>
    </row>
    <row r="345" spans="1:1">
      <c r="A345" t="s">
        <v>588</v>
      </c>
    </row>
    <row r="346" spans="1:1">
      <c r="A346" t="s">
        <v>783</v>
      </c>
    </row>
    <row r="347" spans="1:1">
      <c r="A347" t="s">
        <v>502</v>
      </c>
    </row>
    <row r="348" spans="1:1">
      <c r="A348" t="s">
        <v>612</v>
      </c>
    </row>
    <row r="349" spans="1:1">
      <c r="A349" t="s">
        <v>804</v>
      </c>
    </row>
    <row r="350" spans="1:1">
      <c r="A350" t="s">
        <v>505</v>
      </c>
    </row>
    <row r="351" spans="1:1">
      <c r="A351" t="s">
        <v>665</v>
      </c>
    </row>
    <row r="352" spans="1:1">
      <c r="A352" t="s">
        <v>834</v>
      </c>
    </row>
    <row r="353" spans="1:1">
      <c r="A353" t="s">
        <v>542</v>
      </c>
    </row>
    <row r="354" spans="1:1">
      <c r="A354" t="s">
        <v>713</v>
      </c>
    </row>
    <row r="355" spans="1:1">
      <c r="A355" t="s">
        <v>851</v>
      </c>
    </row>
    <row r="356" spans="1:1">
      <c r="A356" t="s">
        <v>551</v>
      </c>
    </row>
    <row r="357" spans="1:1">
      <c r="A357" t="s">
        <v>594</v>
      </c>
    </row>
    <row r="358" spans="1:1">
      <c r="A358" t="s">
        <v>789</v>
      </c>
    </row>
    <row r="359" spans="1:1">
      <c r="A359" t="s">
        <v>504</v>
      </c>
    </row>
    <row r="360" spans="1:1">
      <c r="A360" t="s">
        <v>626</v>
      </c>
    </row>
    <row r="361" spans="1:1">
      <c r="A361" t="s">
        <v>813</v>
      </c>
    </row>
    <row r="362" spans="1:1">
      <c r="A362" t="s">
        <v>510</v>
      </c>
    </row>
    <row r="363" spans="1:1">
      <c r="A363" t="s">
        <v>686</v>
      </c>
    </row>
    <row r="364" spans="1:1">
      <c r="A364" t="s">
        <v>842</v>
      </c>
    </row>
    <row r="365" spans="1:1">
      <c r="A365" t="s">
        <v>554</v>
      </c>
    </row>
    <row r="366" spans="1:1">
      <c r="A366" t="s">
        <v>722</v>
      </c>
    </row>
    <row r="367" spans="1:1">
      <c r="A367" t="s">
        <v>857</v>
      </c>
    </row>
    <row r="368" spans="1:1">
      <c r="A368" t="s">
        <v>561</v>
      </c>
    </row>
    <row r="369" spans="1:1">
      <c r="A369" t="s">
        <v>730</v>
      </c>
    </row>
    <row r="370" spans="1:1">
      <c r="A370" t="s">
        <v>872</v>
      </c>
    </row>
    <row r="371" spans="1:1">
      <c r="A371" t="s">
        <v>573</v>
      </c>
    </row>
    <row r="372" spans="1:1">
      <c r="A372" t="s">
        <v>908</v>
      </c>
    </row>
    <row r="373" spans="1:1">
      <c r="A373" t="s">
        <v>567</v>
      </c>
    </row>
    <row r="374" spans="1:1">
      <c r="A374" t="s">
        <v>910</v>
      </c>
    </row>
    <row r="375" spans="1:1">
      <c r="A375" t="s">
        <v>575</v>
      </c>
    </row>
    <row r="376" spans="1:1">
      <c r="A376" t="s">
        <v>909</v>
      </c>
    </row>
    <row r="377" spans="1:1">
      <c r="A377" t="s">
        <v>572</v>
      </c>
    </row>
    <row r="378" spans="1:1">
      <c r="A378" t="s">
        <v>911</v>
      </c>
    </row>
    <row r="379" spans="1:1">
      <c r="A379" t="s">
        <v>579</v>
      </c>
    </row>
    <row r="380" spans="1:1">
      <c r="A380" t="s">
        <v>902</v>
      </c>
    </row>
    <row r="381" spans="1:1">
      <c r="A381" t="s">
        <v>541</v>
      </c>
    </row>
    <row r="382" spans="1:1">
      <c r="A382" t="s">
        <v>904</v>
      </c>
    </row>
    <row r="383" spans="1:1">
      <c r="A383" t="s">
        <v>548</v>
      </c>
    </row>
    <row r="384" spans="1:1">
      <c r="A384" t="s">
        <v>906</v>
      </c>
    </row>
    <row r="385" spans="1:1">
      <c r="A385" t="s">
        <v>556</v>
      </c>
    </row>
    <row r="386" spans="1:1">
      <c r="A386" t="s">
        <v>903</v>
      </c>
    </row>
    <row r="387" spans="1:1">
      <c r="A387" t="s">
        <v>544</v>
      </c>
    </row>
    <row r="388" spans="1:1">
      <c r="A388" t="s">
        <v>905</v>
      </c>
    </row>
    <row r="389" spans="1:1">
      <c r="A389" t="s">
        <v>553</v>
      </c>
    </row>
    <row r="390" spans="1:1">
      <c r="A390" t="s">
        <v>907</v>
      </c>
    </row>
    <row r="391" spans="1:1">
      <c r="A391" t="s">
        <v>560</v>
      </c>
    </row>
    <row r="392" spans="1:1">
      <c r="A392" t="s">
        <v>931</v>
      </c>
    </row>
    <row r="393" spans="1:1">
      <c r="A393" t="s">
        <v>517</v>
      </c>
    </row>
    <row r="394" spans="1:1">
      <c r="A394" t="s">
        <v>934</v>
      </c>
    </row>
    <row r="395" spans="1:1">
      <c r="A395" t="s">
        <v>526</v>
      </c>
    </row>
    <row r="396" spans="1:1">
      <c r="A396" t="s">
        <v>933</v>
      </c>
    </row>
    <row r="397" spans="1:1">
      <c r="A397" t="s">
        <v>524</v>
      </c>
    </row>
    <row r="398" spans="1:1">
      <c r="A398" t="s">
        <v>936</v>
      </c>
    </row>
    <row r="399" spans="1:1">
      <c r="A399" t="s">
        <v>533</v>
      </c>
    </row>
    <row r="400" spans="1:1">
      <c r="A400" t="s">
        <v>935</v>
      </c>
    </row>
    <row r="401" spans="1:1">
      <c r="A401" t="s">
        <v>532</v>
      </c>
    </row>
    <row r="402" spans="1:1">
      <c r="A402" t="s">
        <v>937</v>
      </c>
    </row>
    <row r="403" spans="1:1">
      <c r="A403" t="s">
        <v>539</v>
      </c>
    </row>
    <row r="404" spans="1:1">
      <c r="A404" t="s">
        <v>938</v>
      </c>
    </row>
    <row r="405" spans="1:1">
      <c r="A405" t="s">
        <v>540</v>
      </c>
    </row>
    <row r="406" spans="1:1">
      <c r="A406" t="s">
        <v>941</v>
      </c>
    </row>
    <row r="407" spans="1:1">
      <c r="A407" t="s">
        <v>550</v>
      </c>
    </row>
    <row r="408" spans="1:1">
      <c r="A408" t="s">
        <v>940</v>
      </c>
    </row>
    <row r="409" spans="1:1">
      <c r="A409" t="s">
        <v>547</v>
      </c>
    </row>
    <row r="410" spans="1:1">
      <c r="A410" t="s">
        <v>945</v>
      </c>
    </row>
    <row r="411" spans="1:1">
      <c r="A411" t="s">
        <v>559</v>
      </c>
    </row>
    <row r="412" spans="1:1">
      <c r="A412" t="s">
        <v>928</v>
      </c>
    </row>
    <row r="413" spans="1:1">
      <c r="A413" t="s">
        <v>506</v>
      </c>
    </row>
    <row r="414" spans="1:1">
      <c r="A414" t="s">
        <v>930</v>
      </c>
    </row>
    <row r="415" spans="1:1">
      <c r="A415" t="s">
        <v>512</v>
      </c>
    </row>
    <row r="416" spans="1:1">
      <c r="A416" t="s">
        <v>942</v>
      </c>
    </row>
    <row r="417" spans="1:1">
      <c r="A417" t="s">
        <v>552</v>
      </c>
    </row>
    <row r="418" spans="1:1">
      <c r="A418" t="s">
        <v>929</v>
      </c>
    </row>
    <row r="419" spans="1:1">
      <c r="A419" t="s">
        <v>511</v>
      </c>
    </row>
    <row r="420" spans="1:1">
      <c r="A420" t="s">
        <v>932</v>
      </c>
    </row>
    <row r="421" spans="1:1">
      <c r="A421" t="s">
        <v>518</v>
      </c>
    </row>
    <row r="422" spans="1:1">
      <c r="A422" t="s">
        <v>729</v>
      </c>
    </row>
    <row r="423" spans="1:1">
      <c r="A423" t="s">
        <v>869</v>
      </c>
    </row>
    <row r="424" spans="1:1">
      <c r="A424" t="s">
        <v>738</v>
      </c>
    </row>
    <row r="425" spans="1:1">
      <c r="A425" t="s">
        <v>875</v>
      </c>
    </row>
    <row r="426" spans="1:1">
      <c r="A426" t="s">
        <v>741</v>
      </c>
    </row>
    <row r="427" spans="1:1">
      <c r="A427" t="s">
        <v>877</v>
      </c>
    </row>
    <row r="428" spans="1:1">
      <c r="A428" t="s">
        <v>756</v>
      </c>
    </row>
    <row r="429" spans="1:1">
      <c r="A429" t="s">
        <v>882</v>
      </c>
    </row>
    <row r="430" spans="1:1">
      <c r="A430" t="s">
        <v>734</v>
      </c>
    </row>
    <row r="431" spans="1:1">
      <c r="A431" t="s">
        <v>874</v>
      </c>
    </row>
    <row r="432" spans="1:1">
      <c r="A432" t="s">
        <v>747</v>
      </c>
    </row>
    <row r="433" spans="1:1">
      <c r="A433" t="s">
        <v>879</v>
      </c>
    </row>
    <row r="434" spans="1:1">
      <c r="A434" t="s">
        <v>750</v>
      </c>
    </row>
    <row r="435" spans="1:1">
      <c r="A435" t="s">
        <v>881</v>
      </c>
    </row>
    <row r="436" spans="1:1">
      <c r="A436" t="s">
        <v>761</v>
      </c>
    </row>
    <row r="437" spans="1:1">
      <c r="A437" t="s">
        <v>884</v>
      </c>
    </row>
    <row r="438" spans="1:1">
      <c r="A438" t="s">
        <v>622</v>
      </c>
    </row>
    <row r="439" spans="1:1">
      <c r="A439" t="s">
        <v>810</v>
      </c>
    </row>
    <row r="440" spans="1:1">
      <c r="A440" t="s">
        <v>640</v>
      </c>
    </row>
    <row r="441" spans="1:1">
      <c r="A441" t="s">
        <v>819</v>
      </c>
    </row>
    <row r="442" spans="1:1">
      <c r="A442" t="s">
        <v>634</v>
      </c>
    </row>
    <row r="443" spans="1:1">
      <c r="A443" t="s">
        <v>817</v>
      </c>
    </row>
    <row r="444" spans="1:1">
      <c r="A444" t="s">
        <v>656</v>
      </c>
    </row>
    <row r="445" spans="1:1">
      <c r="A445" t="s">
        <v>827</v>
      </c>
    </row>
    <row r="446" spans="1:1">
      <c r="A446" t="s">
        <v>645</v>
      </c>
    </row>
    <row r="447" spans="1:1">
      <c r="A447" t="s">
        <v>823</v>
      </c>
    </row>
    <row r="448" spans="1:1">
      <c r="A448" t="s">
        <v>666</v>
      </c>
    </row>
    <row r="449" spans="1:1">
      <c r="A449" t="s">
        <v>831</v>
      </c>
    </row>
    <row r="450" spans="1:1">
      <c r="A450" t="s">
        <v>584</v>
      </c>
    </row>
    <row r="451" spans="1:1">
      <c r="A451" t="s">
        <v>779</v>
      </c>
    </row>
    <row r="452" spans="1:1">
      <c r="A452" t="s">
        <v>589</v>
      </c>
    </row>
    <row r="453" spans="1:1">
      <c r="A453" t="s">
        <v>785</v>
      </c>
    </row>
    <row r="454" spans="1:1">
      <c r="A454" t="s">
        <v>653</v>
      </c>
    </row>
    <row r="455" spans="1:1">
      <c r="A455" t="s">
        <v>825</v>
      </c>
    </row>
    <row r="456" spans="1:1">
      <c r="A456" t="s">
        <v>676</v>
      </c>
    </row>
    <row r="457" spans="1:1">
      <c r="A457" t="s">
        <v>836</v>
      </c>
    </row>
    <row r="458" spans="1:1">
      <c r="A458" t="s">
        <v>675</v>
      </c>
    </row>
    <row r="459" spans="1:1">
      <c r="A459" t="s">
        <v>835</v>
      </c>
    </row>
    <row r="460" spans="1:1">
      <c r="A460" t="s">
        <v>694</v>
      </c>
    </row>
    <row r="461" spans="1:1">
      <c r="A461" t="s">
        <v>843</v>
      </c>
    </row>
    <row r="462" spans="1:1">
      <c r="A462" t="s">
        <v>688</v>
      </c>
    </row>
    <row r="463" spans="1:1">
      <c r="A463" t="s">
        <v>840</v>
      </c>
    </row>
    <row r="464" spans="1:1">
      <c r="A464" t="s">
        <v>706</v>
      </c>
    </row>
    <row r="465" spans="1:1">
      <c r="A465" t="s">
        <v>846</v>
      </c>
    </row>
    <row r="466" spans="1:1">
      <c r="A466" t="s">
        <v>599</v>
      </c>
    </row>
    <row r="467" spans="1:1">
      <c r="A467" t="s">
        <v>793</v>
      </c>
    </row>
    <row r="468" spans="1:1">
      <c r="A468" t="s">
        <v>611</v>
      </c>
    </row>
    <row r="469" spans="1:1">
      <c r="A469" t="s">
        <v>803</v>
      </c>
    </row>
    <row r="470" spans="1:1">
      <c r="A470" t="s">
        <v>700</v>
      </c>
    </row>
    <row r="471" spans="1:1">
      <c r="A471" t="s">
        <v>845</v>
      </c>
    </row>
    <row r="472" spans="1:1">
      <c r="A472" t="s">
        <v>712</v>
      </c>
    </row>
    <row r="473" spans="1:1">
      <c r="A473" t="s">
        <v>850</v>
      </c>
    </row>
    <row r="474" spans="1:1">
      <c r="A474" t="s">
        <v>606</v>
      </c>
    </row>
    <row r="475" spans="1:1">
      <c r="A475" t="s">
        <v>799</v>
      </c>
    </row>
    <row r="476" spans="1:1">
      <c r="A476" t="s">
        <v>625</v>
      </c>
    </row>
    <row r="477" spans="1:1">
      <c r="A477" t="s">
        <v>812</v>
      </c>
    </row>
    <row r="478" spans="1:1">
      <c r="A478" t="s">
        <v>715</v>
      </c>
    </row>
    <row r="479" spans="1:1">
      <c r="A479" t="s">
        <v>852</v>
      </c>
    </row>
    <row r="480" spans="1:1">
      <c r="A480" t="s">
        <v>721</v>
      </c>
    </row>
    <row r="481" spans="1:1">
      <c r="A481" t="s">
        <v>856</v>
      </c>
    </row>
    <row r="482" spans="1:1">
      <c r="A482" t="s">
        <v>732</v>
      </c>
    </row>
    <row r="483" spans="1:1">
      <c r="A483" t="s">
        <v>849</v>
      </c>
    </row>
    <row r="484" spans="1:1">
      <c r="A484" t="s">
        <v>742</v>
      </c>
    </row>
    <row r="485" spans="1:1">
      <c r="A485" t="s">
        <v>854</v>
      </c>
    </row>
    <row r="486" spans="1:1">
      <c r="A486" t="s">
        <v>745</v>
      </c>
    </row>
    <row r="487" spans="1:1">
      <c r="A487" t="s">
        <v>855</v>
      </c>
    </row>
    <row r="488" spans="1:1">
      <c r="A488" t="s">
        <v>759</v>
      </c>
    </row>
    <row r="489" spans="1:1">
      <c r="A489" t="s">
        <v>860</v>
      </c>
    </row>
    <row r="490" spans="1:1">
      <c r="A490" t="s">
        <v>736</v>
      </c>
    </row>
    <row r="491" spans="1:1">
      <c r="A491" t="s">
        <v>853</v>
      </c>
    </row>
    <row r="492" spans="1:1">
      <c r="A492" t="s">
        <v>751</v>
      </c>
    </row>
    <row r="493" spans="1:1">
      <c r="A493" t="s">
        <v>858</v>
      </c>
    </row>
    <row r="494" spans="1:1">
      <c r="A494" t="s">
        <v>754</v>
      </c>
    </row>
    <row r="495" spans="1:1">
      <c r="A495" t="s">
        <v>859</v>
      </c>
    </row>
    <row r="496" spans="1:1">
      <c r="A496" t="s">
        <v>764</v>
      </c>
    </row>
    <row r="497" spans="1:1">
      <c r="A497" t="s">
        <v>861</v>
      </c>
    </row>
    <row r="498" spans="1:1">
      <c r="A498" t="s">
        <v>628</v>
      </c>
    </row>
    <row r="499" spans="1:1">
      <c r="A499" t="s">
        <v>773</v>
      </c>
    </row>
    <row r="500" spans="1:1">
      <c r="A500" t="s">
        <v>646</v>
      </c>
    </row>
    <row r="501" spans="1:1">
      <c r="A501" t="s">
        <v>777</v>
      </c>
    </row>
    <row r="502" spans="1:1">
      <c r="A502" t="s">
        <v>642</v>
      </c>
    </row>
    <row r="503" spans="1:1">
      <c r="A503" t="s">
        <v>776</v>
      </c>
    </row>
    <row r="504" spans="1:1">
      <c r="A504" t="s">
        <v>663</v>
      </c>
    </row>
    <row r="505" spans="1:1">
      <c r="A505" t="s">
        <v>782</v>
      </c>
    </row>
    <row r="506" spans="1:1">
      <c r="A506" t="s">
        <v>649</v>
      </c>
    </row>
    <row r="507" spans="1:1">
      <c r="A507" t="s">
        <v>778</v>
      </c>
    </row>
    <row r="508" spans="1:1">
      <c r="A508" t="s">
        <v>669</v>
      </c>
    </row>
    <row r="509" spans="1:1">
      <c r="A509" t="s">
        <v>784</v>
      </c>
    </row>
    <row r="510" spans="1:1">
      <c r="A510" t="s">
        <v>586</v>
      </c>
    </row>
    <row r="511" spans="1:1">
      <c r="A511" t="s">
        <v>766</v>
      </c>
    </row>
    <row r="512" spans="1:1">
      <c r="A512" t="s">
        <v>592</v>
      </c>
    </row>
    <row r="513" spans="1:1">
      <c r="A513" t="s">
        <v>767</v>
      </c>
    </row>
    <row r="514" spans="1:1">
      <c r="A514" t="s">
        <v>660</v>
      </c>
    </row>
    <row r="515" spans="1:1">
      <c r="A515" t="s">
        <v>780</v>
      </c>
    </row>
    <row r="516" spans="1:1">
      <c r="A516" t="s">
        <v>682</v>
      </c>
    </row>
    <row r="517" spans="1:1">
      <c r="A517" t="s">
        <v>790</v>
      </c>
    </row>
    <row r="518" spans="1:1">
      <c r="A518" t="s">
        <v>681</v>
      </c>
    </row>
    <row r="519" spans="1:1">
      <c r="A519" t="s">
        <v>788</v>
      </c>
    </row>
    <row r="520" spans="1:1">
      <c r="A520" t="s">
        <v>697</v>
      </c>
    </row>
    <row r="521" spans="1:1">
      <c r="A521" t="s">
        <v>797</v>
      </c>
    </row>
    <row r="522" spans="1:1">
      <c r="A522" t="s">
        <v>691</v>
      </c>
    </row>
    <row r="523" spans="1:1">
      <c r="A523" t="s">
        <v>792</v>
      </c>
    </row>
    <row r="524" spans="1:1">
      <c r="A524" t="s">
        <v>709</v>
      </c>
    </row>
    <row r="525" spans="1:1">
      <c r="A525" t="s">
        <v>802</v>
      </c>
    </row>
    <row r="526" spans="1:1">
      <c r="A526" t="s">
        <v>602</v>
      </c>
    </row>
    <row r="527" spans="1:1">
      <c r="A527" t="s">
        <v>768</v>
      </c>
    </row>
    <row r="528" spans="1:1">
      <c r="A528" t="s">
        <v>617</v>
      </c>
    </row>
    <row r="529" spans="1:1">
      <c r="A529" t="s">
        <v>770</v>
      </c>
    </row>
    <row r="530" spans="1:1">
      <c r="A530" t="s">
        <v>703</v>
      </c>
    </row>
    <row r="531" spans="1:1">
      <c r="A531" t="s">
        <v>798</v>
      </c>
    </row>
    <row r="532" spans="1:1">
      <c r="A532" t="s">
        <v>716</v>
      </c>
    </row>
    <row r="533" spans="1:1">
      <c r="A533" t="s">
        <v>808</v>
      </c>
    </row>
    <row r="534" spans="1:1">
      <c r="A534" t="s">
        <v>613</v>
      </c>
    </row>
    <row r="535" spans="1:1">
      <c r="A535" t="s">
        <v>769</v>
      </c>
    </row>
    <row r="536" spans="1:1">
      <c r="A536" t="s">
        <v>631</v>
      </c>
    </row>
    <row r="537" spans="1:1">
      <c r="A537" t="s">
        <v>774</v>
      </c>
    </row>
    <row r="538" spans="1:1">
      <c r="A538" t="s">
        <v>719</v>
      </c>
    </row>
    <row r="539" spans="1:1">
      <c r="A539" t="s">
        <v>809</v>
      </c>
    </row>
    <row r="540" spans="1:1">
      <c r="A540" t="s">
        <v>724</v>
      </c>
    </row>
    <row r="541" spans="1:1">
      <c r="A541" t="s">
        <v>818</v>
      </c>
    </row>
    <row r="542" spans="1:1">
      <c r="A542" t="s">
        <v>731</v>
      </c>
    </row>
    <row r="543" spans="1:1">
      <c r="A543" t="s">
        <v>862</v>
      </c>
    </row>
    <row r="544" spans="1:1">
      <c r="A544" t="s">
        <v>758</v>
      </c>
    </row>
    <row r="545" spans="1:1">
      <c r="A545" t="s">
        <v>873</v>
      </c>
    </row>
    <row r="546" spans="1:1">
      <c r="A546" t="s">
        <v>735</v>
      </c>
    </row>
    <row r="547" spans="1:1">
      <c r="A547" t="s">
        <v>864</v>
      </c>
    </row>
    <row r="548" spans="1:1">
      <c r="A548" t="s">
        <v>749</v>
      </c>
    </row>
    <row r="549" spans="1:1">
      <c r="A549" t="s">
        <v>870</v>
      </c>
    </row>
    <row r="550" spans="1:1">
      <c r="A550" t="s">
        <v>624</v>
      </c>
    </row>
    <row r="551" spans="1:1">
      <c r="A551" t="s">
        <v>794</v>
      </c>
    </row>
    <row r="552" spans="1:1">
      <c r="A552" t="s">
        <v>637</v>
      </c>
    </row>
    <row r="553" spans="1:1">
      <c r="A553" t="s">
        <v>800</v>
      </c>
    </row>
    <row r="554" spans="1:1">
      <c r="A554" t="s">
        <v>648</v>
      </c>
    </row>
    <row r="555" spans="1:1">
      <c r="A555" t="s">
        <v>806</v>
      </c>
    </row>
    <row r="556" spans="1:1">
      <c r="A556" t="s">
        <v>668</v>
      </c>
    </row>
    <row r="557" spans="1:1">
      <c r="A557" t="s">
        <v>816</v>
      </c>
    </row>
    <row r="558" spans="1:1">
      <c r="A558" t="s">
        <v>655</v>
      </c>
    </row>
    <row r="559" spans="1:1">
      <c r="A559" t="s">
        <v>811</v>
      </c>
    </row>
    <row r="560" spans="1:1">
      <c r="A560" t="s">
        <v>678</v>
      </c>
    </row>
    <row r="561" spans="1:1">
      <c r="A561" t="s">
        <v>821</v>
      </c>
    </row>
    <row r="562" spans="1:1">
      <c r="A562" t="s">
        <v>689</v>
      </c>
    </row>
    <row r="563" spans="1:1">
      <c r="A563" t="s">
        <v>826</v>
      </c>
    </row>
    <row r="564" spans="1:1">
      <c r="A564" t="s">
        <v>616</v>
      </c>
    </row>
    <row r="565" spans="1:1">
      <c r="A565" t="s">
        <v>791</v>
      </c>
    </row>
    <row r="566" spans="1:1">
      <c r="A566" t="s">
        <v>608</v>
      </c>
    </row>
    <row r="567" spans="1:1">
      <c r="A567" t="s">
        <v>787</v>
      </c>
    </row>
    <row r="568" spans="1:1">
      <c r="A568" t="s">
        <v>718</v>
      </c>
    </row>
    <row r="569" spans="1:1">
      <c r="A569" t="s">
        <v>841</v>
      </c>
    </row>
    <row r="570" spans="1:1">
      <c r="A570" t="s">
        <v>740</v>
      </c>
    </row>
    <row r="571" spans="1:1">
      <c r="A571" t="s">
        <v>866</v>
      </c>
    </row>
    <row r="572" spans="1:1">
      <c r="A572" t="s">
        <v>744</v>
      </c>
    </row>
    <row r="573" spans="1:1">
      <c r="A573" t="s">
        <v>867</v>
      </c>
    </row>
    <row r="574" spans="1:1">
      <c r="A574" t="s">
        <v>753</v>
      </c>
    </row>
    <row r="575" spans="1:1">
      <c r="A575" t="s">
        <v>871</v>
      </c>
    </row>
    <row r="576" spans="1:1">
      <c r="A576" t="s">
        <v>763</v>
      </c>
    </row>
    <row r="577" spans="1:1">
      <c r="A577" t="s">
        <v>878</v>
      </c>
    </row>
    <row r="578" spans="1:1">
      <c r="A578" t="s">
        <v>644</v>
      </c>
    </row>
    <row r="579" spans="1:1">
      <c r="A579" t="s">
        <v>805</v>
      </c>
    </row>
    <row r="580" spans="1:1">
      <c r="A580" t="s">
        <v>662</v>
      </c>
    </row>
    <row r="581" spans="1:1">
      <c r="A581" t="s">
        <v>815</v>
      </c>
    </row>
    <row r="582" spans="1:1">
      <c r="A582" t="s">
        <v>585</v>
      </c>
    </row>
    <row r="583" spans="1:1">
      <c r="A583" t="s">
        <v>771</v>
      </c>
    </row>
    <row r="584" spans="1:1">
      <c r="A584" t="s">
        <v>591</v>
      </c>
    </row>
    <row r="585" spans="1:1">
      <c r="A585" t="s">
        <v>775</v>
      </c>
    </row>
    <row r="586" spans="1:1">
      <c r="A586" t="s">
        <v>679</v>
      </c>
    </row>
    <row r="587" spans="1:1">
      <c r="A587" t="s">
        <v>822</v>
      </c>
    </row>
    <row r="588" spans="1:1">
      <c r="A588" t="s">
        <v>696</v>
      </c>
    </row>
    <row r="589" spans="1:1">
      <c r="A589" t="s">
        <v>830</v>
      </c>
    </row>
    <row r="590" spans="1:1">
      <c r="A590" t="s">
        <v>708</v>
      </c>
    </row>
    <row r="591" spans="1:1">
      <c r="A591" t="s">
        <v>838</v>
      </c>
    </row>
    <row r="592" spans="1:1">
      <c r="A592" t="s">
        <v>600</v>
      </c>
    </row>
    <row r="593" spans="1:1">
      <c r="A593" t="s">
        <v>781</v>
      </c>
    </row>
    <row r="594" spans="1:1">
      <c r="A594" t="s">
        <v>701</v>
      </c>
    </row>
    <row r="595" spans="1:1">
      <c r="A595" t="s">
        <v>833</v>
      </c>
    </row>
    <row r="596" spans="1:1">
      <c r="A596" t="s">
        <v>714</v>
      </c>
    </row>
    <row r="597" spans="1:1">
      <c r="A597" t="s">
        <v>839</v>
      </c>
    </row>
    <row r="598" spans="1:1">
      <c r="A598" t="s">
        <v>630</v>
      </c>
    </row>
    <row r="599" spans="1:1">
      <c r="A599" t="s">
        <v>796</v>
      </c>
    </row>
    <row r="600" spans="1:1">
      <c r="A600" t="s">
        <v>723</v>
      </c>
    </row>
    <row r="601" spans="1:1">
      <c r="A601" t="s">
        <v>848</v>
      </c>
    </row>
  </sheetData>
  <sortState ref="A1:A601">
    <sortCondition ref="A1:A6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01"/>
  <sheetViews>
    <sheetView workbookViewId="0">
      <selection sqref="A1:XFD1048576"/>
    </sheetView>
  </sheetViews>
  <sheetFormatPr baseColWidth="10" defaultRowHeight="15"/>
  <cols>
    <col min="1" max="1" width="32" customWidth="1"/>
  </cols>
  <sheetData>
    <row r="1" spans="1:1">
      <c r="A1" t="s">
        <v>997</v>
      </c>
    </row>
    <row r="2" spans="1:1">
      <c r="A2" t="s">
        <v>1030</v>
      </c>
    </row>
    <row r="3" spans="1:1">
      <c r="A3" t="s">
        <v>1031</v>
      </c>
    </row>
    <row r="4" spans="1:1">
      <c r="A4" t="s">
        <v>1032</v>
      </c>
    </row>
    <row r="5" spans="1:1">
      <c r="A5" t="s">
        <v>1033</v>
      </c>
    </row>
    <row r="6" spans="1:1">
      <c r="A6" t="s">
        <v>1034</v>
      </c>
    </row>
    <row r="7" spans="1:1">
      <c r="A7" t="s">
        <v>1035</v>
      </c>
    </row>
    <row r="8" spans="1:1">
      <c r="A8" t="s">
        <v>1036</v>
      </c>
    </row>
    <row r="9" spans="1:1">
      <c r="A9" t="s">
        <v>1037</v>
      </c>
    </row>
    <row r="10" spans="1:1">
      <c r="A10" t="s">
        <v>1038</v>
      </c>
    </row>
    <row r="11" spans="1:1">
      <c r="A11" t="s">
        <v>1039</v>
      </c>
    </row>
    <row r="12" spans="1:1">
      <c r="A12" t="s">
        <v>1040</v>
      </c>
    </row>
    <row r="13" spans="1:1">
      <c r="A13" t="s">
        <v>1041</v>
      </c>
    </row>
    <row r="14" spans="1:1">
      <c r="A14" t="s">
        <v>1042</v>
      </c>
    </row>
    <row r="15" spans="1:1">
      <c r="A15" t="s">
        <v>1043</v>
      </c>
    </row>
    <row r="16" spans="1:1">
      <c r="A16" t="s">
        <v>1044</v>
      </c>
    </row>
    <row r="17" spans="1:1">
      <c r="A17" t="s">
        <v>1045</v>
      </c>
    </row>
    <row r="18" spans="1:1">
      <c r="A18" t="s">
        <v>1046</v>
      </c>
    </row>
    <row r="19" spans="1:1">
      <c r="A19" t="s">
        <v>1047</v>
      </c>
    </row>
    <row r="20" spans="1:1">
      <c r="A20" t="s">
        <v>1048</v>
      </c>
    </row>
    <row r="21" spans="1:1">
      <c r="A21" t="s">
        <v>1049</v>
      </c>
    </row>
    <row r="22" spans="1:1">
      <c r="A22" t="s">
        <v>1050</v>
      </c>
    </row>
    <row r="23" spans="1:1">
      <c r="A23" t="s">
        <v>1051</v>
      </c>
    </row>
    <row r="24" spans="1:1">
      <c r="A24" t="s">
        <v>1052</v>
      </c>
    </row>
    <row r="25" spans="1:1">
      <c r="A25" t="s">
        <v>1053</v>
      </c>
    </row>
    <row r="26" spans="1:1">
      <c r="A26" t="s">
        <v>1054</v>
      </c>
    </row>
    <row r="27" spans="1:1">
      <c r="A27" t="s">
        <v>1055</v>
      </c>
    </row>
    <row r="28" spans="1:1">
      <c r="A28" t="s">
        <v>1056</v>
      </c>
    </row>
    <row r="29" spans="1:1">
      <c r="A29" t="s">
        <v>1057</v>
      </c>
    </row>
    <row r="30" spans="1:1">
      <c r="A30" t="s">
        <v>1058</v>
      </c>
    </row>
    <row r="31" spans="1:1">
      <c r="A31" t="s">
        <v>1059</v>
      </c>
    </row>
    <row r="32" spans="1:1">
      <c r="A32" t="s">
        <v>1060</v>
      </c>
    </row>
    <row r="33" spans="1:1">
      <c r="A33" t="s">
        <v>1061</v>
      </c>
    </row>
    <row r="34" spans="1:1">
      <c r="A34" t="s">
        <v>1062</v>
      </c>
    </row>
    <row r="35" spans="1:1">
      <c r="A35" t="s">
        <v>1063</v>
      </c>
    </row>
    <row r="36" spans="1:1">
      <c r="A36" t="s">
        <v>1064</v>
      </c>
    </row>
    <row r="37" spans="1:1">
      <c r="A37" t="s">
        <v>1065</v>
      </c>
    </row>
    <row r="38" spans="1:1">
      <c r="A38" t="s">
        <v>1066</v>
      </c>
    </row>
    <row r="39" spans="1:1">
      <c r="A39" t="s">
        <v>1067</v>
      </c>
    </row>
    <row r="40" spans="1:1">
      <c r="A40" t="s">
        <v>1068</v>
      </c>
    </row>
    <row r="41" spans="1:1">
      <c r="A41" t="s">
        <v>1069</v>
      </c>
    </row>
    <row r="42" spans="1:1">
      <c r="A42" t="s">
        <v>1070</v>
      </c>
    </row>
    <row r="43" spans="1:1">
      <c r="A43" t="s">
        <v>1071</v>
      </c>
    </row>
    <row r="44" spans="1:1">
      <c r="A44" t="s">
        <v>1072</v>
      </c>
    </row>
    <row r="45" spans="1:1">
      <c r="A45" t="s">
        <v>1073</v>
      </c>
    </row>
    <row r="46" spans="1:1">
      <c r="A46" t="s">
        <v>1074</v>
      </c>
    </row>
    <row r="47" spans="1:1">
      <c r="A47" t="s">
        <v>1075</v>
      </c>
    </row>
    <row r="48" spans="1:1">
      <c r="A48" t="s">
        <v>1076</v>
      </c>
    </row>
    <row r="49" spans="1:1">
      <c r="A49" t="s">
        <v>1077</v>
      </c>
    </row>
    <row r="50" spans="1:1">
      <c r="A50" t="s">
        <v>1078</v>
      </c>
    </row>
    <row r="51" spans="1:1">
      <c r="A51" t="s">
        <v>1079</v>
      </c>
    </row>
    <row r="52" spans="1:1">
      <c r="A52" t="s">
        <v>1080</v>
      </c>
    </row>
    <row r="53" spans="1:1">
      <c r="A53" t="s">
        <v>1081</v>
      </c>
    </row>
    <row r="54" spans="1:1">
      <c r="A54" t="s">
        <v>1082</v>
      </c>
    </row>
    <row r="55" spans="1:1">
      <c r="A55" t="s">
        <v>1083</v>
      </c>
    </row>
    <row r="56" spans="1:1">
      <c r="A56" t="s">
        <v>1084</v>
      </c>
    </row>
    <row r="57" spans="1:1">
      <c r="A57" t="s">
        <v>1085</v>
      </c>
    </row>
    <row r="58" spans="1:1">
      <c r="A58" t="s">
        <v>1101</v>
      </c>
    </row>
    <row r="59" spans="1:1">
      <c r="A59" t="s">
        <v>1102</v>
      </c>
    </row>
    <row r="60" spans="1:1">
      <c r="A60" t="s">
        <v>1103</v>
      </c>
    </row>
    <row r="61" spans="1:1">
      <c r="A61" t="s">
        <v>1104</v>
      </c>
    </row>
    <row r="62" spans="1:1">
      <c r="A62" t="s">
        <v>1105</v>
      </c>
    </row>
    <row r="63" spans="1:1">
      <c r="A63" t="s">
        <v>1106</v>
      </c>
    </row>
    <row r="64" spans="1:1">
      <c r="A64" t="s">
        <v>1107</v>
      </c>
    </row>
    <row r="65" spans="1:1">
      <c r="A65" t="s">
        <v>1108</v>
      </c>
    </row>
    <row r="66" spans="1:1">
      <c r="A66" t="s">
        <v>1109</v>
      </c>
    </row>
    <row r="67" spans="1:1">
      <c r="A67" t="s">
        <v>1110</v>
      </c>
    </row>
    <row r="68" spans="1:1">
      <c r="A68" t="s">
        <v>1111</v>
      </c>
    </row>
    <row r="69" spans="1:1">
      <c r="A69" t="s">
        <v>1112</v>
      </c>
    </row>
    <row r="70" spans="1:1">
      <c r="A70" t="s">
        <v>1113</v>
      </c>
    </row>
    <row r="71" spans="1:1">
      <c r="A71" t="s">
        <v>1114</v>
      </c>
    </row>
    <row r="72" spans="1:1">
      <c r="A72" t="s">
        <v>1115</v>
      </c>
    </row>
    <row r="73" spans="1:1">
      <c r="A73" t="s">
        <v>980</v>
      </c>
    </row>
    <row r="74" spans="1:1">
      <c r="A74" t="s">
        <v>983</v>
      </c>
    </row>
    <row r="75" spans="1:1">
      <c r="A75" t="s">
        <v>982</v>
      </c>
    </row>
    <row r="76" spans="1:1">
      <c r="A76" t="s">
        <v>986</v>
      </c>
    </row>
    <row r="77" spans="1:1">
      <c r="A77" t="s">
        <v>984</v>
      </c>
    </row>
    <row r="78" spans="1:1">
      <c r="A78" t="s">
        <v>987</v>
      </c>
    </row>
    <row r="79" spans="1:1">
      <c r="A79" t="s">
        <v>975</v>
      </c>
    </row>
    <row r="80" spans="1:1">
      <c r="A80" t="s">
        <v>976</v>
      </c>
    </row>
    <row r="81" spans="1:1">
      <c r="A81" t="s">
        <v>985</v>
      </c>
    </row>
    <row r="82" spans="1:1">
      <c r="A82" t="s">
        <v>988</v>
      </c>
    </row>
    <row r="83" spans="1:1">
      <c r="A83" t="s">
        <v>989</v>
      </c>
    </row>
    <row r="84" spans="1:1">
      <c r="A84" t="s">
        <v>991</v>
      </c>
    </row>
    <row r="85" spans="1:1">
      <c r="A85" t="s">
        <v>990</v>
      </c>
    </row>
    <row r="86" spans="1:1">
      <c r="A86" t="s">
        <v>993</v>
      </c>
    </row>
    <row r="87" spans="1:1">
      <c r="A87" t="s">
        <v>977</v>
      </c>
    </row>
    <row r="88" spans="1:1">
      <c r="A88" t="s">
        <v>979</v>
      </c>
    </row>
    <row r="89" spans="1:1">
      <c r="A89" t="s">
        <v>992</v>
      </c>
    </row>
    <row r="90" spans="1:1">
      <c r="A90" t="s">
        <v>994</v>
      </c>
    </row>
    <row r="91" spans="1:1">
      <c r="A91" t="s">
        <v>978</v>
      </c>
    </row>
    <row r="92" spans="1:1">
      <c r="A92" t="s">
        <v>981</v>
      </c>
    </row>
    <row r="93" spans="1:1">
      <c r="A93" t="s">
        <v>995</v>
      </c>
    </row>
    <row r="94" spans="1:1">
      <c r="A94" t="s">
        <v>996</v>
      </c>
    </row>
    <row r="95" spans="1:1">
      <c r="A95" t="s">
        <v>543</v>
      </c>
    </row>
    <row r="96" spans="1:1">
      <c r="A96" t="s">
        <v>483</v>
      </c>
    </row>
    <row r="97" spans="1:1">
      <c r="A97" t="s">
        <v>565</v>
      </c>
    </row>
    <row r="98" spans="1:1">
      <c r="A98" t="s">
        <v>490</v>
      </c>
    </row>
    <row r="99" spans="1:1">
      <c r="A99" t="s">
        <v>513</v>
      </c>
    </row>
    <row r="100" spans="1:1">
      <c r="A100" t="s">
        <v>473</v>
      </c>
    </row>
    <row r="101" spans="1:1">
      <c r="A101" t="s">
        <v>520</v>
      </c>
    </row>
    <row r="102" spans="1:1">
      <c r="A102" t="s">
        <v>475</v>
      </c>
    </row>
    <row r="103" spans="1:1">
      <c r="A103" t="s">
        <v>503</v>
      </c>
    </row>
    <row r="104" spans="1:1">
      <c r="A104" t="s">
        <v>470</v>
      </c>
    </row>
    <row r="105" spans="1:1">
      <c r="A105" t="s">
        <v>549</v>
      </c>
    </row>
    <row r="106" spans="1:1">
      <c r="A106" t="s">
        <v>485</v>
      </c>
    </row>
    <row r="107" spans="1:1">
      <c r="A107" t="s">
        <v>507</v>
      </c>
    </row>
    <row r="108" spans="1:1">
      <c r="A108" t="s">
        <v>471</v>
      </c>
    </row>
    <row r="109" spans="1:1">
      <c r="A109" t="s">
        <v>574</v>
      </c>
    </row>
    <row r="110" spans="1:1">
      <c r="A110" t="s">
        <v>493</v>
      </c>
    </row>
    <row r="111" spans="1:1">
      <c r="A111" t="s">
        <v>569</v>
      </c>
    </row>
    <row r="112" spans="1:1">
      <c r="A112" t="s">
        <v>491</v>
      </c>
    </row>
    <row r="113" spans="1:1">
      <c r="A113" t="s">
        <v>578</v>
      </c>
    </row>
    <row r="114" spans="1:1">
      <c r="A114" t="s">
        <v>495</v>
      </c>
    </row>
    <row r="115" spans="1:1">
      <c r="A115" t="s">
        <v>525</v>
      </c>
    </row>
    <row r="116" spans="1:1">
      <c r="A116" t="s">
        <v>477</v>
      </c>
    </row>
    <row r="117" spans="1:1">
      <c r="A117" t="s">
        <v>499</v>
      </c>
    </row>
    <row r="118" spans="1:1">
      <c r="A118" t="s">
        <v>468</v>
      </c>
    </row>
    <row r="119" spans="1:1">
      <c r="A119" t="s">
        <v>528</v>
      </c>
    </row>
    <row r="120" spans="1:1">
      <c r="A120" t="s">
        <v>478</v>
      </c>
    </row>
    <row r="121" spans="1:1">
      <c r="A121" t="s">
        <v>536</v>
      </c>
    </row>
    <row r="122" spans="1:1">
      <c r="A122" t="s">
        <v>481</v>
      </c>
    </row>
    <row r="123" spans="1:1">
      <c r="A123" t="s">
        <v>558</v>
      </c>
    </row>
    <row r="124" spans="1:1">
      <c r="A124" t="s">
        <v>488</v>
      </c>
    </row>
    <row r="125" spans="1:1">
      <c r="A125" t="s">
        <v>571</v>
      </c>
    </row>
    <row r="126" spans="1:1">
      <c r="A126" t="s">
        <v>492</v>
      </c>
    </row>
    <row r="127" spans="1:1">
      <c r="A127" t="s">
        <v>581</v>
      </c>
    </row>
    <row r="128" spans="1:1">
      <c r="A128" t="s">
        <v>496</v>
      </c>
    </row>
    <row r="129" spans="1:1">
      <c r="A129" t="s">
        <v>577</v>
      </c>
    </row>
    <row r="130" spans="1:1">
      <c r="A130" t="s">
        <v>494</v>
      </c>
    </row>
    <row r="131" spans="1:1">
      <c r="A131" t="s">
        <v>582</v>
      </c>
    </row>
    <row r="132" spans="1:1">
      <c r="A132" t="s">
        <v>497</v>
      </c>
    </row>
    <row r="133" spans="1:1">
      <c r="A133" t="s">
        <v>522</v>
      </c>
    </row>
    <row r="134" spans="1:1">
      <c r="A134" t="s">
        <v>476</v>
      </c>
    </row>
    <row r="135" spans="1:1">
      <c r="A135" t="s">
        <v>529</v>
      </c>
    </row>
    <row r="136" spans="1:1">
      <c r="A136" t="s">
        <v>479</v>
      </c>
    </row>
    <row r="137" spans="1:1">
      <c r="A137" t="s">
        <v>534</v>
      </c>
    </row>
    <row r="138" spans="1:1">
      <c r="A138" t="s">
        <v>480</v>
      </c>
    </row>
    <row r="139" spans="1:1">
      <c r="A139" t="s">
        <v>501</v>
      </c>
    </row>
    <row r="140" spans="1:1">
      <c r="A140" t="s">
        <v>469</v>
      </c>
    </row>
    <row r="141" spans="1:1">
      <c r="A141" t="s">
        <v>537</v>
      </c>
    </row>
    <row r="142" spans="1:1">
      <c r="A142" t="s">
        <v>482</v>
      </c>
    </row>
    <row r="143" spans="1:1">
      <c r="A143" t="s">
        <v>546</v>
      </c>
    </row>
    <row r="144" spans="1:1">
      <c r="A144" t="s">
        <v>484</v>
      </c>
    </row>
    <row r="145" spans="1:1">
      <c r="A145" t="s">
        <v>555</v>
      </c>
    </row>
    <row r="146" spans="1:1">
      <c r="A146" t="s">
        <v>486</v>
      </c>
    </row>
    <row r="147" spans="1:1">
      <c r="A147" t="s">
        <v>509</v>
      </c>
    </row>
    <row r="148" spans="1:1">
      <c r="A148" t="s">
        <v>472</v>
      </c>
    </row>
    <row r="149" spans="1:1">
      <c r="A149" t="s">
        <v>557</v>
      </c>
    </row>
    <row r="150" spans="1:1">
      <c r="A150" t="s">
        <v>487</v>
      </c>
    </row>
    <row r="151" spans="1:1">
      <c r="A151" t="s">
        <v>515</v>
      </c>
    </row>
    <row r="152" spans="1:1">
      <c r="A152" t="s">
        <v>474</v>
      </c>
    </row>
    <row r="153" spans="1:1">
      <c r="A153" t="s">
        <v>562</v>
      </c>
    </row>
    <row r="154" spans="1:1">
      <c r="A154" t="s">
        <v>489</v>
      </c>
    </row>
    <row r="155" spans="1:1">
      <c r="A155" t="s">
        <v>597</v>
      </c>
    </row>
    <row r="156" spans="1:1">
      <c r="A156" t="s">
        <v>886</v>
      </c>
    </row>
    <row r="157" spans="1:1">
      <c r="A157" t="s">
        <v>620</v>
      </c>
    </row>
    <row r="158" spans="1:1">
      <c r="A158" t="s">
        <v>889</v>
      </c>
    </row>
    <row r="159" spans="1:1">
      <c r="A159" t="s">
        <v>638</v>
      </c>
    </row>
    <row r="160" spans="1:1">
      <c r="A160" t="s">
        <v>892</v>
      </c>
    </row>
    <row r="161" spans="1:1">
      <c r="A161" t="s">
        <v>633</v>
      </c>
    </row>
    <row r="162" spans="1:1">
      <c r="A162" t="s">
        <v>891</v>
      </c>
    </row>
    <row r="163" spans="1:1">
      <c r="A163" t="s">
        <v>654</v>
      </c>
    </row>
    <row r="164" spans="1:1">
      <c r="A164" t="s">
        <v>894</v>
      </c>
    </row>
    <row r="165" spans="1:1">
      <c r="A165" t="s">
        <v>652</v>
      </c>
    </row>
    <row r="166" spans="1:1">
      <c r="A166" t="s">
        <v>893</v>
      </c>
    </row>
    <row r="167" spans="1:1">
      <c r="A167" t="s">
        <v>674</v>
      </c>
    </row>
    <row r="168" spans="1:1">
      <c r="A168" t="s">
        <v>896</v>
      </c>
    </row>
    <row r="169" spans="1:1">
      <c r="A169" t="s">
        <v>673</v>
      </c>
    </row>
    <row r="170" spans="1:1">
      <c r="A170" t="s">
        <v>895</v>
      </c>
    </row>
    <row r="171" spans="1:1">
      <c r="A171" t="s">
        <v>693</v>
      </c>
    </row>
    <row r="172" spans="1:1">
      <c r="A172" t="s">
        <v>898</v>
      </c>
    </row>
    <row r="173" spans="1:1">
      <c r="A173" t="s">
        <v>687</v>
      </c>
    </row>
    <row r="174" spans="1:1">
      <c r="A174" t="s">
        <v>897</v>
      </c>
    </row>
    <row r="175" spans="1:1">
      <c r="A175" t="s">
        <v>705</v>
      </c>
    </row>
    <row r="176" spans="1:1">
      <c r="A176" t="s">
        <v>900</v>
      </c>
    </row>
    <row r="177" spans="1:1">
      <c r="A177" t="s">
        <v>609</v>
      </c>
    </row>
    <row r="178" spans="1:1">
      <c r="A178" t="s">
        <v>888</v>
      </c>
    </row>
    <row r="179" spans="1:1">
      <c r="A179" t="s">
        <v>699</v>
      </c>
    </row>
    <row r="180" spans="1:1">
      <c r="A180" t="s">
        <v>899</v>
      </c>
    </row>
    <row r="181" spans="1:1">
      <c r="A181" t="s">
        <v>711</v>
      </c>
    </row>
    <row r="182" spans="1:1">
      <c r="A182" t="s">
        <v>901</v>
      </c>
    </row>
    <row r="183" spans="1:1">
      <c r="A183" t="s">
        <v>605</v>
      </c>
    </row>
    <row r="184" spans="1:1">
      <c r="A184" t="s">
        <v>887</v>
      </c>
    </row>
    <row r="185" spans="1:1">
      <c r="A185" t="s">
        <v>623</v>
      </c>
    </row>
    <row r="186" spans="1:1">
      <c r="A186" t="s">
        <v>890</v>
      </c>
    </row>
    <row r="187" spans="1:1">
      <c r="A187" t="s">
        <v>733</v>
      </c>
    </row>
    <row r="188" spans="1:1">
      <c r="A188" t="s">
        <v>743</v>
      </c>
    </row>
    <row r="189" spans="1:1">
      <c r="A189" t="s">
        <v>746</v>
      </c>
    </row>
    <row r="190" spans="1:1">
      <c r="A190" t="s">
        <v>760</v>
      </c>
    </row>
    <row r="191" spans="1:1">
      <c r="A191" t="s">
        <v>737</v>
      </c>
    </row>
    <row r="192" spans="1:1">
      <c r="A192" t="s">
        <v>752</v>
      </c>
    </row>
    <row r="193" spans="1:1">
      <c r="A193" t="s">
        <v>755</v>
      </c>
    </row>
    <row r="194" spans="1:1">
      <c r="A194" t="s">
        <v>765</v>
      </c>
    </row>
    <row r="195" spans="1:1">
      <c r="A195" t="s">
        <v>629</v>
      </c>
    </row>
    <row r="196" spans="1:1">
      <c r="A196" t="s">
        <v>647</v>
      </c>
    </row>
    <row r="197" spans="1:1">
      <c r="A197" t="s">
        <v>643</v>
      </c>
    </row>
    <row r="198" spans="1:1">
      <c r="A198" t="s">
        <v>664</v>
      </c>
    </row>
    <row r="199" spans="1:1">
      <c r="A199" t="s">
        <v>650</v>
      </c>
    </row>
    <row r="200" spans="1:1">
      <c r="A200" t="s">
        <v>670</v>
      </c>
    </row>
    <row r="201" spans="1:1">
      <c r="A201" t="s">
        <v>587</v>
      </c>
    </row>
    <row r="202" spans="1:1">
      <c r="A202" t="s">
        <v>593</v>
      </c>
    </row>
    <row r="203" spans="1:1">
      <c r="A203" t="s">
        <v>661</v>
      </c>
    </row>
    <row r="204" spans="1:1">
      <c r="A204" t="s">
        <v>684</v>
      </c>
    </row>
    <row r="205" spans="1:1">
      <c r="A205" t="s">
        <v>671</v>
      </c>
    </row>
    <row r="206" spans="1:1">
      <c r="A206" t="s">
        <v>683</v>
      </c>
    </row>
    <row r="207" spans="1:1">
      <c r="A207" t="s">
        <v>698</v>
      </c>
    </row>
    <row r="208" spans="1:1">
      <c r="A208" t="s">
        <v>692</v>
      </c>
    </row>
    <row r="209" spans="1:1">
      <c r="A209" t="s">
        <v>710</v>
      </c>
    </row>
    <row r="210" spans="1:1">
      <c r="A210" t="s">
        <v>603</v>
      </c>
    </row>
    <row r="211" spans="1:1">
      <c r="A211" t="s">
        <v>618</v>
      </c>
    </row>
    <row r="212" spans="1:1">
      <c r="A212" t="s">
        <v>704</v>
      </c>
    </row>
    <row r="213" spans="1:1">
      <c r="A213" t="s">
        <v>717</v>
      </c>
    </row>
    <row r="214" spans="1:1">
      <c r="A214" t="s">
        <v>615</v>
      </c>
    </row>
    <row r="215" spans="1:1">
      <c r="A215" t="s">
        <v>632</v>
      </c>
    </row>
    <row r="216" spans="1:1">
      <c r="A216" t="s">
        <v>720</v>
      </c>
    </row>
    <row r="217" spans="1:1">
      <c r="A217" t="s">
        <v>725</v>
      </c>
    </row>
    <row r="218" spans="1:1">
      <c r="A218" t="s">
        <v>915</v>
      </c>
    </row>
    <row r="219" spans="1:1">
      <c r="A219" t="s">
        <v>918</v>
      </c>
    </row>
    <row r="220" spans="1:1">
      <c r="A220" t="s">
        <v>917</v>
      </c>
    </row>
    <row r="221" spans="1:1">
      <c r="A221" t="s">
        <v>920</v>
      </c>
    </row>
    <row r="222" spans="1:1">
      <c r="A222" t="s">
        <v>919</v>
      </c>
    </row>
    <row r="223" spans="1:1">
      <c r="A223" t="s">
        <v>922</v>
      </c>
    </row>
    <row r="224" spans="1:1">
      <c r="A224" t="s">
        <v>921</v>
      </c>
    </row>
    <row r="225" spans="1:1">
      <c r="A225" t="s">
        <v>924</v>
      </c>
    </row>
    <row r="226" spans="1:1">
      <c r="A226" t="s">
        <v>923</v>
      </c>
    </row>
    <row r="227" spans="1:1">
      <c r="A227" t="s">
        <v>926</v>
      </c>
    </row>
    <row r="228" spans="1:1">
      <c r="A228" t="s">
        <v>912</v>
      </c>
    </row>
    <row r="229" spans="1:1">
      <c r="A229" t="s">
        <v>914</v>
      </c>
    </row>
    <row r="230" spans="1:1">
      <c r="A230" t="s">
        <v>925</v>
      </c>
    </row>
    <row r="231" spans="1:1">
      <c r="A231" t="s">
        <v>927</v>
      </c>
    </row>
    <row r="232" spans="1:1">
      <c r="A232" t="s">
        <v>913</v>
      </c>
    </row>
    <row r="233" spans="1:1">
      <c r="A233" t="s">
        <v>916</v>
      </c>
    </row>
    <row r="234" spans="1:1">
      <c r="A234" t="s">
        <v>607</v>
      </c>
    </row>
    <row r="235" spans="1:1">
      <c r="A235" t="s">
        <v>946</v>
      </c>
    </row>
    <row r="236" spans="1:1">
      <c r="A236" t="s">
        <v>627</v>
      </c>
    </row>
    <row r="237" spans="1:1">
      <c r="A237" t="s">
        <v>950</v>
      </c>
    </row>
    <row r="238" spans="1:1">
      <c r="A238" t="s">
        <v>639</v>
      </c>
    </row>
    <row r="239" spans="1:1">
      <c r="A239" t="s">
        <v>954</v>
      </c>
    </row>
    <row r="240" spans="1:1">
      <c r="A240" t="s">
        <v>635</v>
      </c>
    </row>
    <row r="241" spans="1:1">
      <c r="A241" t="s">
        <v>953</v>
      </c>
    </row>
    <row r="242" spans="1:1">
      <c r="A242" t="s">
        <v>659</v>
      </c>
    </row>
    <row r="243" spans="1:1">
      <c r="A243" t="s">
        <v>958</v>
      </c>
    </row>
    <row r="244" spans="1:1">
      <c r="A244" t="s">
        <v>672</v>
      </c>
    </row>
    <row r="245" spans="1:1">
      <c r="A245" t="s">
        <v>961</v>
      </c>
    </row>
    <row r="246" spans="1:1">
      <c r="A246" t="s">
        <v>690</v>
      </c>
    </row>
    <row r="247" spans="1:1">
      <c r="A247" t="s">
        <v>966</v>
      </c>
    </row>
    <row r="248" spans="1:1">
      <c r="A248" t="s">
        <v>702</v>
      </c>
    </row>
    <row r="249" spans="1:1">
      <c r="A249" t="s">
        <v>969</v>
      </c>
    </row>
    <row r="250" spans="1:1">
      <c r="A250" t="s">
        <v>598</v>
      </c>
    </row>
    <row r="251" spans="1:1">
      <c r="A251" t="s">
        <v>943</v>
      </c>
    </row>
    <row r="252" spans="1:1">
      <c r="A252" t="s">
        <v>621</v>
      </c>
    </row>
    <row r="253" spans="1:1">
      <c r="A253" t="s">
        <v>949</v>
      </c>
    </row>
    <row r="254" spans="1:1">
      <c r="A254" t="s">
        <v>658</v>
      </c>
    </row>
    <row r="255" spans="1:1">
      <c r="A255" t="s">
        <v>957</v>
      </c>
    </row>
    <row r="256" spans="1:1">
      <c r="A256" t="s">
        <v>680</v>
      </c>
    </row>
    <row r="257" spans="1:1">
      <c r="A257" t="s">
        <v>962</v>
      </c>
    </row>
    <row r="258" spans="1:1">
      <c r="A258" t="s">
        <v>595</v>
      </c>
    </row>
    <row r="259" spans="1:1">
      <c r="A259" t="s">
        <v>939</v>
      </c>
    </row>
    <row r="260" spans="1:1">
      <c r="A260" t="s">
        <v>601</v>
      </c>
    </row>
    <row r="261" spans="1:1">
      <c r="A261" t="s">
        <v>944</v>
      </c>
    </row>
    <row r="262" spans="1:1">
      <c r="A262" t="s">
        <v>685</v>
      </c>
    </row>
    <row r="263" spans="1:1">
      <c r="A263" t="s">
        <v>965</v>
      </c>
    </row>
    <row r="264" spans="1:1">
      <c r="A264" t="s">
        <v>610</v>
      </c>
    </row>
    <row r="265" spans="1:1">
      <c r="A265" t="s">
        <v>947</v>
      </c>
    </row>
    <row r="266" spans="1:1">
      <c r="A266" t="s">
        <v>955</v>
      </c>
    </row>
    <row r="267" spans="1:1">
      <c r="A267" t="s">
        <v>960</v>
      </c>
    </row>
    <row r="268" spans="1:1">
      <c r="A268" t="s">
        <v>959</v>
      </c>
    </row>
    <row r="269" spans="1:1">
      <c r="A269" t="s">
        <v>964</v>
      </c>
    </row>
    <row r="270" spans="1:1">
      <c r="A270" t="s">
        <v>963</v>
      </c>
    </row>
    <row r="271" spans="1:1">
      <c r="A271" t="s">
        <v>967</v>
      </c>
    </row>
    <row r="272" spans="1:1">
      <c r="A272" t="s">
        <v>968</v>
      </c>
    </row>
    <row r="273" spans="1:1">
      <c r="A273" t="s">
        <v>971</v>
      </c>
    </row>
    <row r="274" spans="1:1">
      <c r="A274" t="s">
        <v>970</v>
      </c>
    </row>
    <row r="275" spans="1:1">
      <c r="A275" t="s">
        <v>973</v>
      </c>
    </row>
    <row r="276" spans="1:1">
      <c r="A276" t="s">
        <v>948</v>
      </c>
    </row>
    <row r="277" spans="1:1">
      <c r="A277" t="s">
        <v>952</v>
      </c>
    </row>
    <row r="278" spans="1:1">
      <c r="A278" t="s">
        <v>972</v>
      </c>
    </row>
    <row r="279" spans="1:1">
      <c r="A279" t="s">
        <v>974</v>
      </c>
    </row>
    <row r="280" spans="1:1">
      <c r="A280" t="s">
        <v>951</v>
      </c>
    </row>
    <row r="281" spans="1:1">
      <c r="A281" t="s">
        <v>956</v>
      </c>
    </row>
    <row r="282" spans="1:1">
      <c r="A282" t="s">
        <v>726</v>
      </c>
    </row>
    <row r="283" spans="1:1">
      <c r="A283" t="s">
        <v>863</v>
      </c>
    </row>
    <row r="284" spans="1:1">
      <c r="A284" t="s">
        <v>563</v>
      </c>
    </row>
    <row r="285" spans="1:1">
      <c r="A285" t="s">
        <v>739</v>
      </c>
    </row>
    <row r="286" spans="1:1">
      <c r="A286" t="s">
        <v>876</v>
      </c>
    </row>
    <row r="287" spans="1:1">
      <c r="A287" t="s">
        <v>566</v>
      </c>
    </row>
    <row r="288" spans="1:1">
      <c r="A288" t="s">
        <v>728</v>
      </c>
    </row>
    <row r="289" spans="1:1">
      <c r="A289" t="s">
        <v>868</v>
      </c>
    </row>
    <row r="290" spans="1:1">
      <c r="A290" t="s">
        <v>568</v>
      </c>
    </row>
    <row r="291" spans="1:1">
      <c r="A291" t="s">
        <v>757</v>
      </c>
    </row>
    <row r="292" spans="1:1">
      <c r="A292" t="s">
        <v>883</v>
      </c>
    </row>
    <row r="293" spans="1:1">
      <c r="A293" t="s">
        <v>576</v>
      </c>
    </row>
    <row r="294" spans="1:1">
      <c r="A294" t="s">
        <v>727</v>
      </c>
    </row>
    <row r="295" spans="1:1">
      <c r="A295" t="s">
        <v>865</v>
      </c>
    </row>
    <row r="296" spans="1:1">
      <c r="A296" t="s">
        <v>564</v>
      </c>
    </row>
    <row r="297" spans="1:1">
      <c r="A297" t="s">
        <v>748</v>
      </c>
    </row>
    <row r="298" spans="1:1">
      <c r="A298" t="s">
        <v>880</v>
      </c>
    </row>
    <row r="299" spans="1:1">
      <c r="A299" t="s">
        <v>570</v>
      </c>
    </row>
    <row r="300" spans="1:1">
      <c r="A300" t="s">
        <v>762</v>
      </c>
    </row>
    <row r="301" spans="1:1">
      <c r="A301" t="s">
        <v>885</v>
      </c>
    </row>
    <row r="302" spans="1:1">
      <c r="A302" t="s">
        <v>580</v>
      </c>
    </row>
    <row r="303" spans="1:1">
      <c r="A303" t="s">
        <v>596</v>
      </c>
    </row>
    <row r="304" spans="1:1">
      <c r="A304" t="s">
        <v>795</v>
      </c>
    </row>
    <row r="305" spans="1:1">
      <c r="A305" t="s">
        <v>508</v>
      </c>
    </row>
    <row r="306" spans="1:1">
      <c r="A306" t="s">
        <v>641</v>
      </c>
    </row>
    <row r="307" spans="1:1">
      <c r="A307" t="s">
        <v>820</v>
      </c>
    </row>
    <row r="308" spans="1:1">
      <c r="A308" t="s">
        <v>516</v>
      </c>
    </row>
    <row r="309" spans="1:1">
      <c r="A309" t="s">
        <v>604</v>
      </c>
    </row>
    <row r="310" spans="1:1">
      <c r="A310" t="s">
        <v>801</v>
      </c>
    </row>
    <row r="311" spans="1:1">
      <c r="A311" t="s">
        <v>514</v>
      </c>
    </row>
    <row r="312" spans="1:1">
      <c r="A312" t="s">
        <v>657</v>
      </c>
    </row>
    <row r="313" spans="1:1">
      <c r="A313" t="s">
        <v>828</v>
      </c>
    </row>
    <row r="314" spans="1:1">
      <c r="A314" t="s">
        <v>523</v>
      </c>
    </row>
    <row r="315" spans="1:1">
      <c r="A315" t="s">
        <v>614</v>
      </c>
    </row>
    <row r="316" spans="1:1">
      <c r="A316" t="s">
        <v>807</v>
      </c>
    </row>
    <row r="317" spans="1:1">
      <c r="A317" t="s">
        <v>519</v>
      </c>
    </row>
    <row r="318" spans="1:1">
      <c r="A318" t="s">
        <v>667</v>
      </c>
    </row>
    <row r="319" spans="1:1">
      <c r="A319" t="s">
        <v>832</v>
      </c>
    </row>
    <row r="320" spans="1:1">
      <c r="A320" t="s">
        <v>527</v>
      </c>
    </row>
    <row r="321" spans="1:1">
      <c r="A321" t="s">
        <v>583</v>
      </c>
    </row>
    <row r="322" spans="1:1">
      <c r="A322" t="s">
        <v>772</v>
      </c>
    </row>
    <row r="323" spans="1:1">
      <c r="A323" t="s">
        <v>498</v>
      </c>
    </row>
    <row r="324" spans="1:1">
      <c r="A324" t="s">
        <v>590</v>
      </c>
    </row>
    <row r="325" spans="1:1">
      <c r="A325" t="s">
        <v>786</v>
      </c>
    </row>
    <row r="326" spans="1:1">
      <c r="A326" t="s">
        <v>500</v>
      </c>
    </row>
    <row r="327" spans="1:1">
      <c r="A327" t="s">
        <v>619</v>
      </c>
    </row>
    <row r="328" spans="1:1">
      <c r="A328" t="s">
        <v>814</v>
      </c>
    </row>
    <row r="329" spans="1:1">
      <c r="A329" t="s">
        <v>521</v>
      </c>
    </row>
    <row r="330" spans="1:1">
      <c r="A330" t="s">
        <v>677</v>
      </c>
    </row>
    <row r="331" spans="1:1">
      <c r="A331" t="s">
        <v>837</v>
      </c>
    </row>
    <row r="332" spans="1:1">
      <c r="A332" t="s">
        <v>531</v>
      </c>
    </row>
    <row r="333" spans="1:1">
      <c r="A333" t="s">
        <v>636</v>
      </c>
    </row>
    <row r="334" spans="1:1">
      <c r="A334" t="s">
        <v>824</v>
      </c>
    </row>
    <row r="335" spans="1:1">
      <c r="A335" t="s">
        <v>530</v>
      </c>
    </row>
    <row r="336" spans="1:1">
      <c r="A336" t="s">
        <v>695</v>
      </c>
    </row>
    <row r="337" spans="1:1">
      <c r="A337" t="s">
        <v>844</v>
      </c>
    </row>
    <row r="338" spans="1:1">
      <c r="A338" t="s">
        <v>538</v>
      </c>
    </row>
    <row r="339" spans="1:1">
      <c r="A339" t="s">
        <v>651</v>
      </c>
    </row>
    <row r="340" spans="1:1">
      <c r="A340" t="s">
        <v>829</v>
      </c>
    </row>
    <row r="341" spans="1:1">
      <c r="A341" t="s">
        <v>535</v>
      </c>
    </row>
    <row r="342" spans="1:1">
      <c r="A342" t="s">
        <v>707</v>
      </c>
    </row>
    <row r="343" spans="1:1">
      <c r="A343" t="s">
        <v>847</v>
      </c>
    </row>
    <row r="344" spans="1:1">
      <c r="A344" t="s">
        <v>545</v>
      </c>
    </row>
    <row r="345" spans="1:1">
      <c r="A345" t="s">
        <v>588</v>
      </c>
    </row>
    <row r="346" spans="1:1">
      <c r="A346" t="s">
        <v>783</v>
      </c>
    </row>
    <row r="347" spans="1:1">
      <c r="A347" t="s">
        <v>502</v>
      </c>
    </row>
    <row r="348" spans="1:1">
      <c r="A348" t="s">
        <v>612</v>
      </c>
    </row>
    <row r="349" spans="1:1">
      <c r="A349" t="s">
        <v>804</v>
      </c>
    </row>
    <row r="350" spans="1:1">
      <c r="A350" t="s">
        <v>505</v>
      </c>
    </row>
    <row r="351" spans="1:1">
      <c r="A351" t="s">
        <v>665</v>
      </c>
    </row>
    <row r="352" spans="1:1">
      <c r="A352" t="s">
        <v>834</v>
      </c>
    </row>
    <row r="353" spans="1:1">
      <c r="A353" t="s">
        <v>542</v>
      </c>
    </row>
    <row r="354" spans="1:1">
      <c r="A354" t="s">
        <v>713</v>
      </c>
    </row>
    <row r="355" spans="1:1">
      <c r="A355" t="s">
        <v>851</v>
      </c>
    </row>
    <row r="356" spans="1:1">
      <c r="A356" t="s">
        <v>551</v>
      </c>
    </row>
    <row r="357" spans="1:1">
      <c r="A357" t="s">
        <v>594</v>
      </c>
    </row>
    <row r="358" spans="1:1">
      <c r="A358" t="s">
        <v>789</v>
      </c>
    </row>
    <row r="359" spans="1:1">
      <c r="A359" t="s">
        <v>504</v>
      </c>
    </row>
    <row r="360" spans="1:1">
      <c r="A360" t="s">
        <v>626</v>
      </c>
    </row>
    <row r="361" spans="1:1">
      <c r="A361" t="s">
        <v>813</v>
      </c>
    </row>
    <row r="362" spans="1:1">
      <c r="A362" t="s">
        <v>510</v>
      </c>
    </row>
    <row r="363" spans="1:1">
      <c r="A363" t="s">
        <v>686</v>
      </c>
    </row>
    <row r="364" spans="1:1">
      <c r="A364" t="s">
        <v>842</v>
      </c>
    </row>
    <row r="365" spans="1:1">
      <c r="A365" t="s">
        <v>554</v>
      </c>
    </row>
    <row r="366" spans="1:1">
      <c r="A366" t="s">
        <v>722</v>
      </c>
    </row>
    <row r="367" spans="1:1">
      <c r="A367" t="s">
        <v>857</v>
      </c>
    </row>
    <row r="368" spans="1:1">
      <c r="A368" t="s">
        <v>561</v>
      </c>
    </row>
    <row r="369" spans="1:1">
      <c r="A369" t="s">
        <v>730</v>
      </c>
    </row>
    <row r="370" spans="1:1">
      <c r="A370" t="s">
        <v>872</v>
      </c>
    </row>
    <row r="371" spans="1:1">
      <c r="A371" t="s">
        <v>573</v>
      </c>
    </row>
    <row r="372" spans="1:1">
      <c r="A372" t="s">
        <v>908</v>
      </c>
    </row>
    <row r="373" spans="1:1">
      <c r="A373" t="s">
        <v>567</v>
      </c>
    </row>
    <row r="374" spans="1:1">
      <c r="A374" t="s">
        <v>910</v>
      </c>
    </row>
    <row r="375" spans="1:1">
      <c r="A375" t="s">
        <v>575</v>
      </c>
    </row>
    <row r="376" spans="1:1">
      <c r="A376" t="s">
        <v>909</v>
      </c>
    </row>
    <row r="377" spans="1:1">
      <c r="A377" t="s">
        <v>572</v>
      </c>
    </row>
    <row r="378" spans="1:1">
      <c r="A378" t="s">
        <v>911</v>
      </c>
    </row>
    <row r="379" spans="1:1">
      <c r="A379" t="s">
        <v>579</v>
      </c>
    </row>
    <row r="380" spans="1:1">
      <c r="A380" t="s">
        <v>902</v>
      </c>
    </row>
    <row r="381" spans="1:1">
      <c r="A381" t="s">
        <v>541</v>
      </c>
    </row>
    <row r="382" spans="1:1">
      <c r="A382" t="s">
        <v>904</v>
      </c>
    </row>
    <row r="383" spans="1:1">
      <c r="A383" t="s">
        <v>548</v>
      </c>
    </row>
    <row r="384" spans="1:1">
      <c r="A384" t="s">
        <v>906</v>
      </c>
    </row>
    <row r="385" spans="1:1">
      <c r="A385" t="s">
        <v>556</v>
      </c>
    </row>
    <row r="386" spans="1:1">
      <c r="A386" t="s">
        <v>903</v>
      </c>
    </row>
    <row r="387" spans="1:1">
      <c r="A387" t="s">
        <v>544</v>
      </c>
    </row>
    <row r="388" spans="1:1">
      <c r="A388" t="s">
        <v>905</v>
      </c>
    </row>
    <row r="389" spans="1:1">
      <c r="A389" t="s">
        <v>553</v>
      </c>
    </row>
    <row r="390" spans="1:1">
      <c r="A390" t="s">
        <v>907</v>
      </c>
    </row>
    <row r="391" spans="1:1">
      <c r="A391" t="s">
        <v>560</v>
      </c>
    </row>
    <row r="392" spans="1:1">
      <c r="A392" t="s">
        <v>931</v>
      </c>
    </row>
    <row r="393" spans="1:1">
      <c r="A393" t="s">
        <v>517</v>
      </c>
    </row>
    <row r="394" spans="1:1">
      <c r="A394" t="s">
        <v>934</v>
      </c>
    </row>
    <row r="395" spans="1:1">
      <c r="A395" t="s">
        <v>526</v>
      </c>
    </row>
    <row r="396" spans="1:1">
      <c r="A396" t="s">
        <v>933</v>
      </c>
    </row>
    <row r="397" spans="1:1">
      <c r="A397" t="s">
        <v>524</v>
      </c>
    </row>
    <row r="398" spans="1:1">
      <c r="A398" t="s">
        <v>936</v>
      </c>
    </row>
    <row r="399" spans="1:1">
      <c r="A399" t="s">
        <v>533</v>
      </c>
    </row>
    <row r="400" spans="1:1">
      <c r="A400" t="s">
        <v>935</v>
      </c>
    </row>
    <row r="401" spans="1:1">
      <c r="A401" t="s">
        <v>532</v>
      </c>
    </row>
    <row r="402" spans="1:1">
      <c r="A402" t="s">
        <v>937</v>
      </c>
    </row>
    <row r="403" spans="1:1">
      <c r="A403" t="s">
        <v>539</v>
      </c>
    </row>
    <row r="404" spans="1:1">
      <c r="A404" t="s">
        <v>938</v>
      </c>
    </row>
    <row r="405" spans="1:1">
      <c r="A405" t="s">
        <v>540</v>
      </c>
    </row>
    <row r="406" spans="1:1">
      <c r="A406" t="s">
        <v>941</v>
      </c>
    </row>
    <row r="407" spans="1:1">
      <c r="A407" t="s">
        <v>550</v>
      </c>
    </row>
    <row r="408" spans="1:1">
      <c r="A408" t="s">
        <v>940</v>
      </c>
    </row>
    <row r="409" spans="1:1">
      <c r="A409" t="s">
        <v>547</v>
      </c>
    </row>
    <row r="410" spans="1:1">
      <c r="A410" t="s">
        <v>945</v>
      </c>
    </row>
    <row r="411" spans="1:1">
      <c r="A411" t="s">
        <v>559</v>
      </c>
    </row>
    <row r="412" spans="1:1">
      <c r="A412" t="s">
        <v>928</v>
      </c>
    </row>
    <row r="413" spans="1:1">
      <c r="A413" t="s">
        <v>506</v>
      </c>
    </row>
    <row r="414" spans="1:1">
      <c r="A414" t="s">
        <v>930</v>
      </c>
    </row>
    <row r="415" spans="1:1">
      <c r="A415" t="s">
        <v>512</v>
      </c>
    </row>
    <row r="416" spans="1:1">
      <c r="A416" t="s">
        <v>942</v>
      </c>
    </row>
    <row r="417" spans="1:1">
      <c r="A417" t="s">
        <v>552</v>
      </c>
    </row>
    <row r="418" spans="1:1">
      <c r="A418" t="s">
        <v>929</v>
      </c>
    </row>
    <row r="419" spans="1:1">
      <c r="A419" t="s">
        <v>511</v>
      </c>
    </row>
    <row r="420" spans="1:1">
      <c r="A420" t="s">
        <v>932</v>
      </c>
    </row>
    <row r="421" spans="1:1">
      <c r="A421" t="s">
        <v>518</v>
      </c>
    </row>
    <row r="422" spans="1:1">
      <c r="A422" t="s">
        <v>729</v>
      </c>
    </row>
    <row r="423" spans="1:1">
      <c r="A423" t="s">
        <v>869</v>
      </c>
    </row>
    <row r="424" spans="1:1">
      <c r="A424" t="s">
        <v>738</v>
      </c>
    </row>
    <row r="425" spans="1:1">
      <c r="A425" t="s">
        <v>875</v>
      </c>
    </row>
    <row r="426" spans="1:1">
      <c r="A426" t="s">
        <v>741</v>
      </c>
    </row>
    <row r="427" spans="1:1">
      <c r="A427" t="s">
        <v>877</v>
      </c>
    </row>
    <row r="428" spans="1:1">
      <c r="A428" t="s">
        <v>756</v>
      </c>
    </row>
    <row r="429" spans="1:1">
      <c r="A429" t="s">
        <v>882</v>
      </c>
    </row>
    <row r="430" spans="1:1">
      <c r="A430" t="s">
        <v>734</v>
      </c>
    </row>
    <row r="431" spans="1:1">
      <c r="A431" t="s">
        <v>874</v>
      </c>
    </row>
    <row r="432" spans="1:1">
      <c r="A432" t="s">
        <v>747</v>
      </c>
    </row>
    <row r="433" spans="1:1">
      <c r="A433" t="s">
        <v>879</v>
      </c>
    </row>
    <row r="434" spans="1:1">
      <c r="A434" t="s">
        <v>750</v>
      </c>
    </row>
    <row r="435" spans="1:1">
      <c r="A435" t="s">
        <v>881</v>
      </c>
    </row>
    <row r="436" spans="1:1">
      <c r="A436" t="s">
        <v>761</v>
      </c>
    </row>
    <row r="437" spans="1:1">
      <c r="A437" t="s">
        <v>884</v>
      </c>
    </row>
    <row r="438" spans="1:1">
      <c r="A438" t="s">
        <v>622</v>
      </c>
    </row>
    <row r="439" spans="1:1">
      <c r="A439" t="s">
        <v>810</v>
      </c>
    </row>
    <row r="440" spans="1:1">
      <c r="A440" t="s">
        <v>640</v>
      </c>
    </row>
    <row r="441" spans="1:1">
      <c r="A441" t="s">
        <v>819</v>
      </c>
    </row>
    <row r="442" spans="1:1">
      <c r="A442" t="s">
        <v>634</v>
      </c>
    </row>
    <row r="443" spans="1:1">
      <c r="A443" t="s">
        <v>817</v>
      </c>
    </row>
    <row r="444" spans="1:1">
      <c r="A444" t="s">
        <v>656</v>
      </c>
    </row>
    <row r="445" spans="1:1">
      <c r="A445" t="s">
        <v>827</v>
      </c>
    </row>
    <row r="446" spans="1:1">
      <c r="A446" t="s">
        <v>645</v>
      </c>
    </row>
    <row r="447" spans="1:1">
      <c r="A447" t="s">
        <v>823</v>
      </c>
    </row>
    <row r="448" spans="1:1">
      <c r="A448" t="s">
        <v>666</v>
      </c>
    </row>
    <row r="449" spans="1:1">
      <c r="A449" t="s">
        <v>831</v>
      </c>
    </row>
    <row r="450" spans="1:1">
      <c r="A450" t="s">
        <v>584</v>
      </c>
    </row>
    <row r="451" spans="1:1">
      <c r="A451" t="s">
        <v>779</v>
      </c>
    </row>
    <row r="452" spans="1:1">
      <c r="A452" t="s">
        <v>589</v>
      </c>
    </row>
    <row r="453" spans="1:1">
      <c r="A453" t="s">
        <v>785</v>
      </c>
    </row>
    <row r="454" spans="1:1">
      <c r="A454" t="s">
        <v>653</v>
      </c>
    </row>
    <row r="455" spans="1:1">
      <c r="A455" t="s">
        <v>825</v>
      </c>
    </row>
    <row r="456" spans="1:1">
      <c r="A456" t="s">
        <v>676</v>
      </c>
    </row>
    <row r="457" spans="1:1">
      <c r="A457" t="s">
        <v>836</v>
      </c>
    </row>
    <row r="458" spans="1:1">
      <c r="A458" t="s">
        <v>675</v>
      </c>
    </row>
    <row r="459" spans="1:1">
      <c r="A459" t="s">
        <v>835</v>
      </c>
    </row>
    <row r="460" spans="1:1">
      <c r="A460" t="s">
        <v>694</v>
      </c>
    </row>
    <row r="461" spans="1:1">
      <c r="A461" t="s">
        <v>843</v>
      </c>
    </row>
    <row r="462" spans="1:1">
      <c r="A462" t="s">
        <v>688</v>
      </c>
    </row>
    <row r="463" spans="1:1">
      <c r="A463" t="s">
        <v>840</v>
      </c>
    </row>
    <row r="464" spans="1:1">
      <c r="A464" t="s">
        <v>706</v>
      </c>
    </row>
    <row r="465" spans="1:1">
      <c r="A465" t="s">
        <v>846</v>
      </c>
    </row>
    <row r="466" spans="1:1">
      <c r="A466" t="s">
        <v>599</v>
      </c>
    </row>
    <row r="467" spans="1:1">
      <c r="A467" t="s">
        <v>793</v>
      </c>
    </row>
    <row r="468" spans="1:1">
      <c r="A468" t="s">
        <v>611</v>
      </c>
    </row>
    <row r="469" spans="1:1">
      <c r="A469" t="s">
        <v>803</v>
      </c>
    </row>
    <row r="470" spans="1:1">
      <c r="A470" t="s">
        <v>700</v>
      </c>
    </row>
    <row r="471" spans="1:1">
      <c r="A471" t="s">
        <v>845</v>
      </c>
    </row>
    <row r="472" spans="1:1">
      <c r="A472" t="s">
        <v>712</v>
      </c>
    </row>
    <row r="473" spans="1:1">
      <c r="A473" t="s">
        <v>850</v>
      </c>
    </row>
    <row r="474" spans="1:1">
      <c r="A474" t="s">
        <v>606</v>
      </c>
    </row>
    <row r="475" spans="1:1">
      <c r="A475" t="s">
        <v>799</v>
      </c>
    </row>
    <row r="476" spans="1:1">
      <c r="A476" t="s">
        <v>625</v>
      </c>
    </row>
    <row r="477" spans="1:1">
      <c r="A477" t="s">
        <v>812</v>
      </c>
    </row>
    <row r="478" spans="1:1">
      <c r="A478" t="s">
        <v>715</v>
      </c>
    </row>
    <row r="479" spans="1:1">
      <c r="A479" t="s">
        <v>852</v>
      </c>
    </row>
    <row r="480" spans="1:1">
      <c r="A480" t="s">
        <v>721</v>
      </c>
    </row>
    <row r="481" spans="1:1">
      <c r="A481" t="s">
        <v>856</v>
      </c>
    </row>
    <row r="482" spans="1:1">
      <c r="A482" t="s">
        <v>732</v>
      </c>
    </row>
    <row r="483" spans="1:1">
      <c r="A483" t="s">
        <v>849</v>
      </c>
    </row>
    <row r="484" spans="1:1">
      <c r="A484" t="s">
        <v>742</v>
      </c>
    </row>
    <row r="485" spans="1:1">
      <c r="A485" t="s">
        <v>854</v>
      </c>
    </row>
    <row r="486" spans="1:1">
      <c r="A486" t="s">
        <v>745</v>
      </c>
    </row>
    <row r="487" spans="1:1">
      <c r="A487" t="s">
        <v>855</v>
      </c>
    </row>
    <row r="488" spans="1:1">
      <c r="A488" t="s">
        <v>759</v>
      </c>
    </row>
    <row r="489" spans="1:1">
      <c r="A489" t="s">
        <v>860</v>
      </c>
    </row>
    <row r="490" spans="1:1">
      <c r="A490" t="s">
        <v>736</v>
      </c>
    </row>
    <row r="491" spans="1:1">
      <c r="A491" t="s">
        <v>853</v>
      </c>
    </row>
    <row r="492" spans="1:1">
      <c r="A492" t="s">
        <v>751</v>
      </c>
    </row>
    <row r="493" spans="1:1">
      <c r="A493" t="s">
        <v>858</v>
      </c>
    </row>
    <row r="494" spans="1:1">
      <c r="A494" t="s">
        <v>754</v>
      </c>
    </row>
    <row r="495" spans="1:1">
      <c r="A495" t="s">
        <v>859</v>
      </c>
    </row>
    <row r="496" spans="1:1">
      <c r="A496" t="s">
        <v>764</v>
      </c>
    </row>
    <row r="497" spans="1:1">
      <c r="A497" t="s">
        <v>861</v>
      </c>
    </row>
    <row r="498" spans="1:1">
      <c r="A498" t="s">
        <v>628</v>
      </c>
    </row>
    <row r="499" spans="1:1">
      <c r="A499" t="s">
        <v>773</v>
      </c>
    </row>
    <row r="500" spans="1:1">
      <c r="A500" t="s">
        <v>646</v>
      </c>
    </row>
    <row r="501" spans="1:1">
      <c r="A501" t="s">
        <v>777</v>
      </c>
    </row>
    <row r="502" spans="1:1">
      <c r="A502" t="s">
        <v>642</v>
      </c>
    </row>
    <row r="503" spans="1:1">
      <c r="A503" t="s">
        <v>776</v>
      </c>
    </row>
    <row r="504" spans="1:1">
      <c r="A504" t="s">
        <v>663</v>
      </c>
    </row>
    <row r="505" spans="1:1">
      <c r="A505" t="s">
        <v>782</v>
      </c>
    </row>
    <row r="506" spans="1:1">
      <c r="A506" t="s">
        <v>649</v>
      </c>
    </row>
    <row r="507" spans="1:1">
      <c r="A507" t="s">
        <v>778</v>
      </c>
    </row>
    <row r="508" spans="1:1">
      <c r="A508" t="s">
        <v>669</v>
      </c>
    </row>
    <row r="509" spans="1:1">
      <c r="A509" t="s">
        <v>784</v>
      </c>
    </row>
    <row r="510" spans="1:1">
      <c r="A510" t="s">
        <v>586</v>
      </c>
    </row>
    <row r="511" spans="1:1">
      <c r="A511" t="s">
        <v>766</v>
      </c>
    </row>
    <row r="512" spans="1:1">
      <c r="A512" t="s">
        <v>592</v>
      </c>
    </row>
    <row r="513" spans="1:1">
      <c r="A513" t="s">
        <v>767</v>
      </c>
    </row>
    <row r="514" spans="1:1">
      <c r="A514" t="s">
        <v>660</v>
      </c>
    </row>
    <row r="515" spans="1:1">
      <c r="A515" t="s">
        <v>780</v>
      </c>
    </row>
    <row r="516" spans="1:1">
      <c r="A516" t="s">
        <v>682</v>
      </c>
    </row>
    <row r="517" spans="1:1">
      <c r="A517" t="s">
        <v>790</v>
      </c>
    </row>
    <row r="518" spans="1:1">
      <c r="A518" t="s">
        <v>681</v>
      </c>
    </row>
    <row r="519" spans="1:1">
      <c r="A519" t="s">
        <v>788</v>
      </c>
    </row>
    <row r="520" spans="1:1">
      <c r="A520" t="s">
        <v>697</v>
      </c>
    </row>
    <row r="521" spans="1:1">
      <c r="A521" t="s">
        <v>797</v>
      </c>
    </row>
    <row r="522" spans="1:1">
      <c r="A522" t="s">
        <v>691</v>
      </c>
    </row>
    <row r="523" spans="1:1">
      <c r="A523" t="s">
        <v>792</v>
      </c>
    </row>
    <row r="524" spans="1:1">
      <c r="A524" t="s">
        <v>709</v>
      </c>
    </row>
    <row r="525" spans="1:1">
      <c r="A525" t="s">
        <v>802</v>
      </c>
    </row>
    <row r="526" spans="1:1">
      <c r="A526" t="s">
        <v>602</v>
      </c>
    </row>
    <row r="527" spans="1:1">
      <c r="A527" t="s">
        <v>768</v>
      </c>
    </row>
    <row r="528" spans="1:1">
      <c r="A528" t="s">
        <v>617</v>
      </c>
    </row>
    <row r="529" spans="1:1">
      <c r="A529" t="s">
        <v>770</v>
      </c>
    </row>
    <row r="530" spans="1:1">
      <c r="A530" t="s">
        <v>703</v>
      </c>
    </row>
    <row r="531" spans="1:1">
      <c r="A531" t="s">
        <v>798</v>
      </c>
    </row>
    <row r="532" spans="1:1">
      <c r="A532" t="s">
        <v>716</v>
      </c>
    </row>
    <row r="533" spans="1:1">
      <c r="A533" t="s">
        <v>808</v>
      </c>
    </row>
    <row r="534" spans="1:1">
      <c r="A534" t="s">
        <v>613</v>
      </c>
    </row>
    <row r="535" spans="1:1">
      <c r="A535" t="s">
        <v>769</v>
      </c>
    </row>
    <row r="536" spans="1:1">
      <c r="A536" t="s">
        <v>631</v>
      </c>
    </row>
    <row r="537" spans="1:1">
      <c r="A537" t="s">
        <v>774</v>
      </c>
    </row>
    <row r="538" spans="1:1">
      <c r="A538" t="s">
        <v>719</v>
      </c>
    </row>
    <row r="539" spans="1:1">
      <c r="A539" t="s">
        <v>809</v>
      </c>
    </row>
    <row r="540" spans="1:1">
      <c r="A540" t="s">
        <v>724</v>
      </c>
    </row>
    <row r="541" spans="1:1">
      <c r="A541" t="s">
        <v>818</v>
      </c>
    </row>
    <row r="542" spans="1:1">
      <c r="A542" t="s">
        <v>731</v>
      </c>
    </row>
    <row r="543" spans="1:1">
      <c r="A543" t="s">
        <v>862</v>
      </c>
    </row>
    <row r="544" spans="1:1">
      <c r="A544" t="s">
        <v>758</v>
      </c>
    </row>
    <row r="545" spans="1:1">
      <c r="A545" t="s">
        <v>873</v>
      </c>
    </row>
    <row r="546" spans="1:1">
      <c r="A546" t="s">
        <v>735</v>
      </c>
    </row>
    <row r="547" spans="1:1">
      <c r="A547" t="s">
        <v>864</v>
      </c>
    </row>
    <row r="548" spans="1:1">
      <c r="A548" t="s">
        <v>749</v>
      </c>
    </row>
    <row r="549" spans="1:1">
      <c r="A549" t="s">
        <v>870</v>
      </c>
    </row>
    <row r="550" spans="1:1">
      <c r="A550" t="s">
        <v>624</v>
      </c>
    </row>
    <row r="551" spans="1:1">
      <c r="A551" t="s">
        <v>794</v>
      </c>
    </row>
    <row r="552" spans="1:1">
      <c r="A552" t="s">
        <v>637</v>
      </c>
    </row>
    <row r="553" spans="1:1">
      <c r="A553" t="s">
        <v>800</v>
      </c>
    </row>
    <row r="554" spans="1:1">
      <c r="A554" t="s">
        <v>648</v>
      </c>
    </row>
    <row r="555" spans="1:1">
      <c r="A555" t="s">
        <v>806</v>
      </c>
    </row>
    <row r="556" spans="1:1">
      <c r="A556" t="s">
        <v>668</v>
      </c>
    </row>
    <row r="557" spans="1:1">
      <c r="A557" t="s">
        <v>816</v>
      </c>
    </row>
    <row r="558" spans="1:1">
      <c r="A558" t="s">
        <v>655</v>
      </c>
    </row>
    <row r="559" spans="1:1">
      <c r="A559" t="s">
        <v>811</v>
      </c>
    </row>
    <row r="560" spans="1:1">
      <c r="A560" t="s">
        <v>678</v>
      </c>
    </row>
    <row r="561" spans="1:1">
      <c r="A561" t="s">
        <v>821</v>
      </c>
    </row>
    <row r="562" spans="1:1">
      <c r="A562" t="s">
        <v>689</v>
      </c>
    </row>
    <row r="563" spans="1:1">
      <c r="A563" t="s">
        <v>826</v>
      </c>
    </row>
    <row r="564" spans="1:1">
      <c r="A564" t="s">
        <v>616</v>
      </c>
    </row>
    <row r="565" spans="1:1">
      <c r="A565" t="s">
        <v>791</v>
      </c>
    </row>
    <row r="566" spans="1:1">
      <c r="A566" t="s">
        <v>608</v>
      </c>
    </row>
    <row r="567" spans="1:1">
      <c r="A567" t="s">
        <v>787</v>
      </c>
    </row>
    <row r="568" spans="1:1">
      <c r="A568" t="s">
        <v>718</v>
      </c>
    </row>
    <row r="569" spans="1:1">
      <c r="A569" t="s">
        <v>841</v>
      </c>
    </row>
    <row r="570" spans="1:1">
      <c r="A570" t="s">
        <v>740</v>
      </c>
    </row>
    <row r="571" spans="1:1">
      <c r="A571" t="s">
        <v>866</v>
      </c>
    </row>
    <row r="572" spans="1:1">
      <c r="A572" t="s">
        <v>744</v>
      </c>
    </row>
    <row r="573" spans="1:1">
      <c r="A573" t="s">
        <v>867</v>
      </c>
    </row>
    <row r="574" spans="1:1">
      <c r="A574" t="s">
        <v>753</v>
      </c>
    </row>
    <row r="575" spans="1:1">
      <c r="A575" t="s">
        <v>871</v>
      </c>
    </row>
    <row r="576" spans="1:1">
      <c r="A576" t="s">
        <v>763</v>
      </c>
    </row>
    <row r="577" spans="1:1">
      <c r="A577" t="s">
        <v>878</v>
      </c>
    </row>
    <row r="578" spans="1:1">
      <c r="A578" t="s">
        <v>644</v>
      </c>
    </row>
    <row r="579" spans="1:1">
      <c r="A579" t="s">
        <v>805</v>
      </c>
    </row>
    <row r="580" spans="1:1">
      <c r="A580" t="s">
        <v>662</v>
      </c>
    </row>
    <row r="581" spans="1:1">
      <c r="A581" t="s">
        <v>815</v>
      </c>
    </row>
    <row r="582" spans="1:1">
      <c r="A582" t="s">
        <v>585</v>
      </c>
    </row>
    <row r="583" spans="1:1">
      <c r="A583" t="s">
        <v>771</v>
      </c>
    </row>
    <row r="584" spans="1:1">
      <c r="A584" t="s">
        <v>591</v>
      </c>
    </row>
    <row r="585" spans="1:1">
      <c r="A585" t="s">
        <v>775</v>
      </c>
    </row>
    <row r="586" spans="1:1">
      <c r="A586" t="s">
        <v>679</v>
      </c>
    </row>
    <row r="587" spans="1:1">
      <c r="A587" t="s">
        <v>822</v>
      </c>
    </row>
    <row r="588" spans="1:1">
      <c r="A588" t="s">
        <v>696</v>
      </c>
    </row>
    <row r="589" spans="1:1">
      <c r="A589" t="s">
        <v>830</v>
      </c>
    </row>
    <row r="590" spans="1:1">
      <c r="A590" t="s">
        <v>708</v>
      </c>
    </row>
    <row r="591" spans="1:1">
      <c r="A591" t="s">
        <v>838</v>
      </c>
    </row>
    <row r="592" spans="1:1">
      <c r="A592" t="s">
        <v>600</v>
      </c>
    </row>
    <row r="593" spans="1:1">
      <c r="A593" t="s">
        <v>781</v>
      </c>
    </row>
    <row r="594" spans="1:1">
      <c r="A594" t="s">
        <v>701</v>
      </c>
    </row>
    <row r="595" spans="1:1">
      <c r="A595" t="s">
        <v>833</v>
      </c>
    </row>
    <row r="596" spans="1:1">
      <c r="A596" t="s">
        <v>714</v>
      </c>
    </row>
    <row r="597" spans="1:1">
      <c r="A597" t="s">
        <v>839</v>
      </c>
    </row>
    <row r="598" spans="1:1">
      <c r="A598" t="s">
        <v>630</v>
      </c>
    </row>
    <row r="599" spans="1:1">
      <c r="A599" t="s">
        <v>796</v>
      </c>
    </row>
    <row r="600" spans="1:1">
      <c r="A600" t="s">
        <v>723</v>
      </c>
    </row>
    <row r="601" spans="1:1">
      <c r="A601" t="s">
        <v>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Views>
    <sheetView workbookViewId="0">
      <selection sqref="A1:XFD1048576"/>
    </sheetView>
  </sheetViews>
  <sheetFormatPr baseColWidth="10" defaultRowHeight="15"/>
  <cols>
    <col min="1" max="1" width="52.28515625" bestFit="1" customWidth="1"/>
  </cols>
  <sheetData>
    <row r="1" spans="1:3">
      <c r="A1" t="s">
        <v>1009</v>
      </c>
      <c r="B1" t="s">
        <v>368</v>
      </c>
      <c r="C1">
        <v>133.66800000000001</v>
      </c>
    </row>
    <row r="2" spans="1:3">
      <c r="A2" t="s">
        <v>1025</v>
      </c>
      <c r="B2" t="s">
        <v>368</v>
      </c>
      <c r="C2">
        <v>200.50200000000001</v>
      </c>
    </row>
    <row r="3" spans="1:3">
      <c r="A3" t="s">
        <v>1012</v>
      </c>
      <c r="B3" t="s">
        <v>368</v>
      </c>
      <c r="C3">
        <v>213.86879999999999</v>
      </c>
    </row>
    <row r="4" spans="1:3">
      <c r="A4" t="s">
        <v>1028</v>
      </c>
      <c r="B4" t="s">
        <v>368</v>
      </c>
      <c r="C4">
        <v>320.8032</v>
      </c>
    </row>
    <row r="5" spans="1:3">
      <c r="A5" t="s">
        <v>1010</v>
      </c>
      <c r="B5" t="s">
        <v>368</v>
      </c>
      <c r="C5">
        <v>178.22399999999999</v>
      </c>
    </row>
    <row r="6" spans="1:3">
      <c r="A6" t="s">
        <v>1026</v>
      </c>
      <c r="B6" t="s">
        <v>368</v>
      </c>
      <c r="C6">
        <v>267.33600000000001</v>
      </c>
    </row>
    <row r="7" spans="1:3">
      <c r="A7" t="s">
        <v>1013</v>
      </c>
      <c r="B7" t="s">
        <v>368</v>
      </c>
      <c r="C7">
        <v>285.15839999999997</v>
      </c>
    </row>
    <row r="8" spans="1:3">
      <c r="A8" t="s">
        <v>1029</v>
      </c>
      <c r="B8" t="s">
        <v>368</v>
      </c>
      <c r="C8">
        <v>427.73759999999999</v>
      </c>
    </row>
    <row r="9" spans="1:3">
      <c r="A9" t="s">
        <v>1011</v>
      </c>
      <c r="B9" t="s">
        <v>368</v>
      </c>
      <c r="C9">
        <v>222.78</v>
      </c>
    </row>
    <row r="10" spans="1:3">
      <c r="A10" t="s">
        <v>1027</v>
      </c>
      <c r="B10" t="s">
        <v>368</v>
      </c>
      <c r="C10">
        <v>334.17</v>
      </c>
    </row>
    <row r="11" spans="1:3">
      <c r="A11" t="s">
        <v>1001</v>
      </c>
      <c r="B11" t="s">
        <v>368</v>
      </c>
      <c r="C11">
        <v>2.2277999999999998</v>
      </c>
    </row>
    <row r="12" spans="1:3">
      <c r="A12" t="s">
        <v>1017</v>
      </c>
      <c r="B12" t="s">
        <v>368</v>
      </c>
      <c r="C12">
        <v>3.3416999999999999</v>
      </c>
    </row>
    <row r="13" spans="1:3">
      <c r="A13" t="s">
        <v>1002</v>
      </c>
      <c r="B13" t="s">
        <v>368</v>
      </c>
      <c r="C13">
        <v>3.1189200000000001</v>
      </c>
    </row>
    <row r="14" spans="1:3">
      <c r="A14" t="s">
        <v>1018</v>
      </c>
      <c r="B14" t="s">
        <v>368</v>
      </c>
      <c r="C14">
        <v>4.6783799999999998</v>
      </c>
    </row>
    <row r="15" spans="1:3">
      <c r="A15" t="s">
        <v>1003</v>
      </c>
      <c r="B15" t="s">
        <v>368</v>
      </c>
      <c r="C15">
        <v>3.5644800000000001</v>
      </c>
    </row>
    <row r="16" spans="1:3">
      <c r="A16" t="s">
        <v>1019</v>
      </c>
      <c r="B16" t="s">
        <v>368</v>
      </c>
      <c r="C16">
        <v>5.3467200000000004</v>
      </c>
    </row>
    <row r="17" spans="1:3">
      <c r="A17" t="s">
        <v>998</v>
      </c>
      <c r="B17" t="s">
        <v>368</v>
      </c>
      <c r="C17">
        <v>0.44556000000000001</v>
      </c>
    </row>
    <row r="18" spans="1:3">
      <c r="A18" t="s">
        <v>1014</v>
      </c>
      <c r="B18" t="s">
        <v>368</v>
      </c>
      <c r="C18">
        <v>0.66834000000000005</v>
      </c>
    </row>
    <row r="19" spans="1:3">
      <c r="A19" t="s">
        <v>1004</v>
      </c>
      <c r="B19" t="s">
        <v>368</v>
      </c>
      <c r="C19">
        <v>4.4555999999999996</v>
      </c>
    </row>
    <row r="20" spans="1:3">
      <c r="A20" t="s">
        <v>1020</v>
      </c>
      <c r="B20" t="s">
        <v>368</v>
      </c>
      <c r="C20">
        <v>6.6833999999999998</v>
      </c>
    </row>
    <row r="21" spans="1:3">
      <c r="A21" t="s">
        <v>1005</v>
      </c>
      <c r="B21" t="s">
        <v>368</v>
      </c>
      <c r="C21">
        <v>6.6833999999999998</v>
      </c>
    </row>
    <row r="22" spans="1:3">
      <c r="A22" t="s">
        <v>1021</v>
      </c>
      <c r="B22" t="s">
        <v>368</v>
      </c>
      <c r="C22">
        <v>10.0251</v>
      </c>
    </row>
    <row r="23" spans="1:3">
      <c r="A23" t="s">
        <v>1006</v>
      </c>
      <c r="B23" t="s">
        <v>368</v>
      </c>
      <c r="C23">
        <v>8.9111999999999991</v>
      </c>
    </row>
    <row r="24" spans="1:3">
      <c r="A24" t="s">
        <v>1022</v>
      </c>
      <c r="B24" t="s">
        <v>368</v>
      </c>
      <c r="C24">
        <v>13.3668</v>
      </c>
    </row>
    <row r="25" spans="1:3">
      <c r="A25" t="s">
        <v>999</v>
      </c>
      <c r="B25" t="s">
        <v>368</v>
      </c>
      <c r="C25">
        <v>1.1138999999999999</v>
      </c>
    </row>
    <row r="26" spans="1:3">
      <c r="A26" t="s">
        <v>1015</v>
      </c>
      <c r="B26" t="s">
        <v>368</v>
      </c>
      <c r="C26">
        <v>1.6708499999999999</v>
      </c>
    </row>
    <row r="27" spans="1:3">
      <c r="A27" t="s">
        <v>1007</v>
      </c>
      <c r="B27" t="s">
        <v>368</v>
      </c>
      <c r="C27">
        <v>11.138999999999999</v>
      </c>
    </row>
    <row r="28" spans="1:3">
      <c r="A28" t="s">
        <v>1023</v>
      </c>
      <c r="B28" t="s">
        <v>368</v>
      </c>
      <c r="C28">
        <v>16.708500000000001</v>
      </c>
    </row>
    <row r="29" spans="1:3">
      <c r="A29" t="s">
        <v>1000</v>
      </c>
      <c r="B29" t="s">
        <v>368</v>
      </c>
      <c r="C29">
        <v>1.5594600000000001</v>
      </c>
    </row>
    <row r="30" spans="1:3">
      <c r="A30" t="s">
        <v>1016</v>
      </c>
      <c r="B30" t="s">
        <v>368</v>
      </c>
      <c r="C30">
        <v>2.3391899999999999</v>
      </c>
    </row>
    <row r="31" spans="1:3">
      <c r="A31" t="s">
        <v>1008</v>
      </c>
      <c r="B31" t="s">
        <v>368</v>
      </c>
      <c r="C31">
        <v>17.822399999999998</v>
      </c>
    </row>
    <row r="32" spans="1:3">
      <c r="A32" t="s">
        <v>1024</v>
      </c>
      <c r="B32" t="s">
        <v>368</v>
      </c>
      <c r="C32">
        <v>26.733599999999999</v>
      </c>
    </row>
    <row r="33" spans="1:3">
      <c r="A33" t="s">
        <v>449</v>
      </c>
      <c r="B33" t="s">
        <v>364</v>
      </c>
      <c r="C33">
        <v>150.9864</v>
      </c>
    </row>
    <row r="34" spans="1:3">
      <c r="A34" t="s">
        <v>456</v>
      </c>
      <c r="B34" t="s">
        <v>364</v>
      </c>
      <c r="C34">
        <v>227.904</v>
      </c>
    </row>
    <row r="35" spans="1:3">
      <c r="A35" t="s">
        <v>436</v>
      </c>
      <c r="B35" t="s">
        <v>364</v>
      </c>
      <c r="C35">
        <v>241.57823999999999</v>
      </c>
    </row>
    <row r="36" spans="1:3">
      <c r="A36" t="s">
        <v>458</v>
      </c>
      <c r="B36" t="s">
        <v>364</v>
      </c>
      <c r="C36">
        <v>364.64640000000003</v>
      </c>
    </row>
    <row r="37" spans="1:3">
      <c r="A37" t="s">
        <v>435</v>
      </c>
      <c r="B37" t="s">
        <v>364</v>
      </c>
      <c r="C37">
        <v>201.3152</v>
      </c>
    </row>
    <row r="38" spans="1:3">
      <c r="A38" t="s">
        <v>457</v>
      </c>
      <c r="B38" t="s">
        <v>364</v>
      </c>
      <c r="C38">
        <v>303.87200000000001</v>
      </c>
    </row>
    <row r="39" spans="1:3">
      <c r="A39" t="s">
        <v>437</v>
      </c>
      <c r="B39" t="s">
        <v>364</v>
      </c>
      <c r="C39">
        <v>322.10431999999997</v>
      </c>
    </row>
    <row r="40" spans="1:3">
      <c r="A40" t="s">
        <v>459</v>
      </c>
      <c r="B40" t="s">
        <v>364</v>
      </c>
      <c r="C40">
        <v>486.1952</v>
      </c>
    </row>
    <row r="41" spans="1:3">
      <c r="A41" t="s">
        <v>439</v>
      </c>
      <c r="B41" t="s">
        <v>364</v>
      </c>
      <c r="C41">
        <v>1.32944</v>
      </c>
    </row>
    <row r="42" spans="1:3">
      <c r="A42" t="s">
        <v>444</v>
      </c>
      <c r="B42" t="s">
        <v>364</v>
      </c>
      <c r="C42">
        <v>1.7615080000000001</v>
      </c>
    </row>
    <row r="43" spans="1:3">
      <c r="A43" t="s">
        <v>440</v>
      </c>
      <c r="B43" t="s">
        <v>364</v>
      </c>
      <c r="C43">
        <v>2.6588799999999999</v>
      </c>
    </row>
    <row r="44" spans="1:3">
      <c r="A44" t="s">
        <v>445</v>
      </c>
      <c r="B44" t="s">
        <v>364</v>
      </c>
      <c r="C44">
        <v>3.5230160000000001</v>
      </c>
    </row>
    <row r="45" spans="1:3">
      <c r="A45" t="s">
        <v>452</v>
      </c>
      <c r="B45" t="s">
        <v>364</v>
      </c>
      <c r="C45">
        <v>5.3177599999999998</v>
      </c>
    </row>
    <row r="46" spans="1:3">
      <c r="A46" t="s">
        <v>438</v>
      </c>
      <c r="B46" t="s">
        <v>364</v>
      </c>
      <c r="C46">
        <v>0.37984000000000001</v>
      </c>
    </row>
    <row r="47" spans="1:3">
      <c r="A47" t="s">
        <v>443</v>
      </c>
      <c r="B47" t="s">
        <v>364</v>
      </c>
      <c r="C47">
        <v>0.50328799999999996</v>
      </c>
    </row>
    <row r="48" spans="1:3">
      <c r="A48" t="s">
        <v>450</v>
      </c>
      <c r="B48" t="s">
        <v>364</v>
      </c>
      <c r="C48">
        <v>0.75968000000000002</v>
      </c>
    </row>
    <row r="49" spans="1:3">
      <c r="A49" t="s">
        <v>441</v>
      </c>
      <c r="B49" t="s">
        <v>364</v>
      </c>
      <c r="C49">
        <v>7.5968</v>
      </c>
    </row>
    <row r="50" spans="1:3">
      <c r="A50" t="s">
        <v>446</v>
      </c>
      <c r="B50" t="s">
        <v>364</v>
      </c>
      <c r="C50">
        <v>10.065759999999999</v>
      </c>
    </row>
    <row r="51" spans="1:3">
      <c r="A51" t="s">
        <v>453</v>
      </c>
      <c r="B51" t="s">
        <v>364</v>
      </c>
      <c r="C51">
        <v>15.1936</v>
      </c>
    </row>
    <row r="52" spans="1:3">
      <c r="A52" t="s">
        <v>442</v>
      </c>
      <c r="B52" t="s">
        <v>364</v>
      </c>
      <c r="C52">
        <v>9.4960000000000004</v>
      </c>
    </row>
    <row r="53" spans="1:3">
      <c r="A53" t="s">
        <v>447</v>
      </c>
      <c r="B53" t="s">
        <v>364</v>
      </c>
      <c r="C53">
        <v>12.5822</v>
      </c>
    </row>
    <row r="54" spans="1:3">
      <c r="A54" t="s">
        <v>454</v>
      </c>
      <c r="B54" t="s">
        <v>364</v>
      </c>
      <c r="C54">
        <v>18.992000000000001</v>
      </c>
    </row>
    <row r="55" spans="1:3">
      <c r="A55" t="s">
        <v>451</v>
      </c>
      <c r="B55" t="s">
        <v>364</v>
      </c>
      <c r="C55">
        <v>2.6588799999999999</v>
      </c>
    </row>
    <row r="56" spans="1:3">
      <c r="A56" t="s">
        <v>448</v>
      </c>
      <c r="B56" t="s">
        <v>364</v>
      </c>
      <c r="C56">
        <v>20.131519999999998</v>
      </c>
    </row>
    <row r="57" spans="1:3">
      <c r="A57" t="s">
        <v>455</v>
      </c>
      <c r="B57" t="s">
        <v>364</v>
      </c>
      <c r="C57">
        <v>30.3872</v>
      </c>
    </row>
    <row r="58" spans="1:3">
      <c r="A58" t="s">
        <v>1116</v>
      </c>
      <c r="B58" t="s">
        <v>364</v>
      </c>
      <c r="C58">
        <v>1.8992</v>
      </c>
    </row>
    <row r="59" spans="1:3">
      <c r="A59" t="s">
        <v>1117</v>
      </c>
      <c r="B59" t="s">
        <v>364</v>
      </c>
      <c r="C59">
        <v>2.5164399999999998</v>
      </c>
    </row>
    <row r="60" spans="1:3">
      <c r="A60" t="s">
        <v>1118</v>
      </c>
      <c r="B60" t="s">
        <v>364</v>
      </c>
      <c r="C60">
        <v>3.7984</v>
      </c>
    </row>
    <row r="61" spans="1:3">
      <c r="A61" t="s">
        <v>1119</v>
      </c>
      <c r="B61" t="s">
        <v>364</v>
      </c>
      <c r="C61">
        <v>3.0387200000000001</v>
      </c>
    </row>
    <row r="62" spans="1:3">
      <c r="A62" t="s">
        <v>1120</v>
      </c>
      <c r="B62" t="s">
        <v>364</v>
      </c>
      <c r="C62">
        <v>4.0263039999999997</v>
      </c>
    </row>
    <row r="63" spans="1:3">
      <c r="A63" t="s">
        <v>1121</v>
      </c>
      <c r="B63" t="s">
        <v>364</v>
      </c>
      <c r="C63">
        <v>6.0774400000000002</v>
      </c>
    </row>
    <row r="64" spans="1:3">
      <c r="A64" t="s">
        <v>1122</v>
      </c>
      <c r="B64" t="s">
        <v>364</v>
      </c>
      <c r="C64">
        <v>3.7984</v>
      </c>
    </row>
    <row r="65" spans="1:3">
      <c r="A65" t="s">
        <v>1123</v>
      </c>
      <c r="B65" t="s">
        <v>364</v>
      </c>
      <c r="C65">
        <v>5.0328799999999996</v>
      </c>
    </row>
    <row r="66" spans="1:3">
      <c r="A66" t="s">
        <v>1124</v>
      </c>
      <c r="B66" t="s">
        <v>364</v>
      </c>
      <c r="C66">
        <v>7.5968</v>
      </c>
    </row>
    <row r="67" spans="1:3">
      <c r="A67" t="s">
        <v>1125</v>
      </c>
      <c r="B67" t="s">
        <v>364</v>
      </c>
      <c r="C67">
        <v>5.6976000000000004</v>
      </c>
    </row>
    <row r="68" spans="1:3">
      <c r="A68" t="s">
        <v>1126</v>
      </c>
      <c r="B68" t="s">
        <v>364</v>
      </c>
      <c r="C68">
        <v>7.5493199999999998</v>
      </c>
    </row>
    <row r="69" spans="1:3">
      <c r="A69" t="s">
        <v>1127</v>
      </c>
      <c r="B69" t="s">
        <v>364</v>
      </c>
      <c r="C69">
        <v>11.395200000000001</v>
      </c>
    </row>
    <row r="70" spans="1:3">
      <c r="A70" t="s">
        <v>1128</v>
      </c>
      <c r="B70" t="s">
        <v>364</v>
      </c>
      <c r="C70">
        <v>0.9496</v>
      </c>
    </row>
    <row r="71" spans="1:3">
      <c r="A71" t="s">
        <v>1129</v>
      </c>
      <c r="B71" t="s">
        <v>364</v>
      </c>
      <c r="C71">
        <v>1.2582199999999999</v>
      </c>
    </row>
    <row r="72" spans="1:3">
      <c r="A72" t="s">
        <v>1130</v>
      </c>
      <c r="B72" t="s">
        <v>364</v>
      </c>
      <c r="C72">
        <v>1.8992</v>
      </c>
    </row>
    <row r="73" spans="1:3">
      <c r="A73" t="s">
        <v>165</v>
      </c>
      <c r="B73" t="s">
        <v>367</v>
      </c>
      <c r="C73">
        <v>2.5601400000000001</v>
      </c>
    </row>
    <row r="74" spans="1:3">
      <c r="A74" t="s">
        <v>176</v>
      </c>
      <c r="B74" t="s">
        <v>367</v>
      </c>
      <c r="C74">
        <v>3.8402099999999999</v>
      </c>
    </row>
    <row r="75" spans="1:3">
      <c r="A75" t="s">
        <v>166</v>
      </c>
      <c r="B75" t="s">
        <v>367</v>
      </c>
      <c r="C75">
        <v>3.5841959999999999</v>
      </c>
    </row>
    <row r="76" spans="1:3">
      <c r="A76" t="s">
        <v>177</v>
      </c>
      <c r="B76" t="s">
        <v>367</v>
      </c>
      <c r="C76">
        <v>5.3762939999999997</v>
      </c>
    </row>
    <row r="77" spans="1:3">
      <c r="A77" t="s">
        <v>167</v>
      </c>
      <c r="B77" t="s">
        <v>367</v>
      </c>
      <c r="C77">
        <v>4.0962240000000003</v>
      </c>
    </row>
    <row r="78" spans="1:3">
      <c r="A78" t="s">
        <v>178</v>
      </c>
      <c r="B78" t="s">
        <v>367</v>
      </c>
      <c r="C78">
        <v>6.144336</v>
      </c>
    </row>
    <row r="79" spans="1:3">
      <c r="A79" t="s">
        <v>162</v>
      </c>
      <c r="B79" t="s">
        <v>367</v>
      </c>
      <c r="C79">
        <v>0.51202800000000004</v>
      </c>
    </row>
    <row r="80" spans="1:3">
      <c r="A80" t="s">
        <v>173</v>
      </c>
      <c r="B80" t="s">
        <v>367</v>
      </c>
      <c r="C80">
        <v>0.768042</v>
      </c>
    </row>
    <row r="81" spans="1:3">
      <c r="A81" t="s">
        <v>168</v>
      </c>
      <c r="B81" t="s">
        <v>367</v>
      </c>
      <c r="C81">
        <v>5.1202800000000002</v>
      </c>
    </row>
    <row r="82" spans="1:3">
      <c r="A82" t="s">
        <v>179</v>
      </c>
      <c r="B82" t="s">
        <v>367</v>
      </c>
      <c r="C82">
        <v>7.6804199999999998</v>
      </c>
    </row>
    <row r="83" spans="1:3">
      <c r="A83" t="s">
        <v>169</v>
      </c>
      <c r="B83" t="s">
        <v>367</v>
      </c>
      <c r="C83">
        <v>7.6804199999999998</v>
      </c>
    </row>
    <row r="84" spans="1:3">
      <c r="A84" t="s">
        <v>180</v>
      </c>
      <c r="B84" t="s">
        <v>367</v>
      </c>
      <c r="C84">
        <v>11.520630000000001</v>
      </c>
    </row>
    <row r="85" spans="1:3">
      <c r="A85" t="s">
        <v>170</v>
      </c>
      <c r="B85" t="s">
        <v>367</v>
      </c>
      <c r="C85">
        <v>10.24056</v>
      </c>
    </row>
    <row r="86" spans="1:3">
      <c r="A86" t="s">
        <v>181</v>
      </c>
      <c r="B86" t="s">
        <v>367</v>
      </c>
      <c r="C86">
        <v>15.36084</v>
      </c>
    </row>
    <row r="87" spans="1:3">
      <c r="A87" t="s">
        <v>163</v>
      </c>
      <c r="B87" t="s">
        <v>367</v>
      </c>
      <c r="C87">
        <v>1.28007</v>
      </c>
    </row>
    <row r="88" spans="1:3">
      <c r="A88" t="s">
        <v>174</v>
      </c>
      <c r="B88" t="s">
        <v>367</v>
      </c>
      <c r="C88">
        <v>1.920105</v>
      </c>
    </row>
    <row r="89" spans="1:3">
      <c r="A89" t="s">
        <v>171</v>
      </c>
      <c r="B89" t="s">
        <v>367</v>
      </c>
      <c r="C89">
        <v>12.800700000000001</v>
      </c>
    </row>
    <row r="90" spans="1:3">
      <c r="A90" t="s">
        <v>182</v>
      </c>
      <c r="B90" t="s">
        <v>367</v>
      </c>
      <c r="C90">
        <v>19.201049999999999</v>
      </c>
    </row>
    <row r="91" spans="1:3">
      <c r="A91" t="s">
        <v>164</v>
      </c>
      <c r="B91" t="s">
        <v>367</v>
      </c>
      <c r="C91">
        <v>1.792098</v>
      </c>
    </row>
    <row r="92" spans="1:3">
      <c r="A92" t="s">
        <v>175</v>
      </c>
      <c r="B92" t="s">
        <v>367</v>
      </c>
      <c r="C92">
        <v>2.6881469999999998</v>
      </c>
    </row>
    <row r="93" spans="1:3">
      <c r="A93" t="s">
        <v>172</v>
      </c>
      <c r="B93" t="s">
        <v>367</v>
      </c>
      <c r="C93">
        <v>20.481120000000001</v>
      </c>
    </row>
    <row r="94" spans="1:3">
      <c r="A94" t="s">
        <v>183</v>
      </c>
      <c r="B94" t="s">
        <v>367</v>
      </c>
      <c r="C94">
        <v>30.721679999999999</v>
      </c>
    </row>
    <row r="95" spans="1:3">
      <c r="A95" t="s">
        <v>192</v>
      </c>
      <c r="B95" t="s">
        <v>368</v>
      </c>
      <c r="C95">
        <v>7.5081600000000002</v>
      </c>
    </row>
    <row r="96" spans="1:3">
      <c r="A96" t="s">
        <v>192</v>
      </c>
      <c r="B96" t="s">
        <v>364</v>
      </c>
      <c r="C96">
        <v>2.144736</v>
      </c>
    </row>
    <row r="97" spans="1:3">
      <c r="A97" t="s">
        <v>195</v>
      </c>
      <c r="B97" t="s">
        <v>368</v>
      </c>
      <c r="C97">
        <v>112.6224</v>
      </c>
    </row>
    <row r="98" spans="1:3">
      <c r="A98" t="s">
        <v>195</v>
      </c>
      <c r="B98" t="s">
        <v>364</v>
      </c>
      <c r="C98">
        <v>32.171039999999998</v>
      </c>
    </row>
    <row r="99" spans="1:3">
      <c r="A99" t="s">
        <v>187</v>
      </c>
      <c r="B99" t="s">
        <v>368</v>
      </c>
      <c r="C99">
        <v>1.87704</v>
      </c>
    </row>
    <row r="100" spans="1:3">
      <c r="A100" t="s">
        <v>187</v>
      </c>
      <c r="B100" t="s">
        <v>364</v>
      </c>
      <c r="C100">
        <v>0.53618399999999999</v>
      </c>
    </row>
    <row r="101" spans="1:3">
      <c r="A101" t="s">
        <v>188</v>
      </c>
      <c r="B101" t="s">
        <v>368</v>
      </c>
      <c r="C101">
        <v>2.627856</v>
      </c>
    </row>
    <row r="102" spans="1:3">
      <c r="A102" t="s">
        <v>188</v>
      </c>
      <c r="B102" t="s">
        <v>364</v>
      </c>
      <c r="C102">
        <v>0.75065760000000004</v>
      </c>
    </row>
    <row r="103" spans="1:3">
      <c r="A103" t="s">
        <v>185</v>
      </c>
      <c r="B103" t="s">
        <v>368</v>
      </c>
      <c r="C103">
        <v>0.93852000000000002</v>
      </c>
    </row>
    <row r="104" spans="1:3">
      <c r="A104" t="s">
        <v>185</v>
      </c>
      <c r="B104" t="s">
        <v>364</v>
      </c>
      <c r="C104">
        <v>0.268092</v>
      </c>
    </row>
    <row r="105" spans="1:3">
      <c r="A105" t="s">
        <v>193</v>
      </c>
      <c r="B105" t="s">
        <v>368</v>
      </c>
      <c r="C105">
        <v>9.3851999999999993</v>
      </c>
    </row>
    <row r="106" spans="1:3">
      <c r="A106" t="s">
        <v>193</v>
      </c>
      <c r="B106" t="s">
        <v>364</v>
      </c>
      <c r="C106">
        <v>2.68092</v>
      </c>
    </row>
    <row r="107" spans="1:3">
      <c r="A107" t="s">
        <v>186</v>
      </c>
      <c r="B107" t="s">
        <v>368</v>
      </c>
      <c r="C107">
        <v>1.313928</v>
      </c>
    </row>
    <row r="108" spans="1:3">
      <c r="A108" t="s">
        <v>186</v>
      </c>
      <c r="B108" t="s">
        <v>364</v>
      </c>
      <c r="C108">
        <v>0.37532880000000002</v>
      </c>
    </row>
    <row r="109" spans="1:3">
      <c r="A109" t="s">
        <v>197</v>
      </c>
      <c r="B109" t="s">
        <v>368</v>
      </c>
      <c r="C109">
        <v>180.19584</v>
      </c>
    </row>
    <row r="110" spans="1:3">
      <c r="A110" t="s">
        <v>197</v>
      </c>
      <c r="B110" t="s">
        <v>364</v>
      </c>
      <c r="C110">
        <v>51.473663999999999</v>
      </c>
    </row>
    <row r="111" spans="1:3">
      <c r="A111" t="s">
        <v>196</v>
      </c>
      <c r="B111" t="s">
        <v>368</v>
      </c>
      <c r="C111">
        <v>150.16319999999999</v>
      </c>
    </row>
    <row r="112" spans="1:3">
      <c r="A112" t="s">
        <v>196</v>
      </c>
      <c r="B112" t="s">
        <v>364</v>
      </c>
      <c r="C112">
        <v>42.89472</v>
      </c>
    </row>
    <row r="113" spans="1:3">
      <c r="A113" t="s">
        <v>198</v>
      </c>
      <c r="B113" t="s">
        <v>368</v>
      </c>
      <c r="C113">
        <v>240.26112000000001</v>
      </c>
    </row>
    <row r="114" spans="1:3">
      <c r="A114" t="s">
        <v>198</v>
      </c>
      <c r="B114" t="s">
        <v>364</v>
      </c>
      <c r="C114">
        <v>68.631551999999999</v>
      </c>
    </row>
    <row r="115" spans="1:3">
      <c r="A115" t="s">
        <v>189</v>
      </c>
      <c r="B115" t="s">
        <v>368</v>
      </c>
      <c r="C115">
        <v>3.0032640000000002</v>
      </c>
    </row>
    <row r="116" spans="1:3">
      <c r="A116" t="s">
        <v>189</v>
      </c>
      <c r="B116" t="s">
        <v>364</v>
      </c>
      <c r="C116">
        <v>0.85789439999999995</v>
      </c>
    </row>
    <row r="117" spans="1:3">
      <c r="A117" t="s">
        <v>184</v>
      </c>
      <c r="B117" t="s">
        <v>368</v>
      </c>
      <c r="C117">
        <v>0.37540800000000002</v>
      </c>
    </row>
    <row r="118" spans="1:3">
      <c r="A118" t="s">
        <v>184</v>
      </c>
      <c r="B118" t="s">
        <v>364</v>
      </c>
      <c r="C118">
        <v>0.10723679999999999</v>
      </c>
    </row>
    <row r="119" spans="1:3">
      <c r="A119" t="s">
        <v>190</v>
      </c>
      <c r="B119" t="s">
        <v>368</v>
      </c>
      <c r="C119">
        <v>3.7540800000000001</v>
      </c>
    </row>
    <row r="120" spans="1:3">
      <c r="A120" t="s">
        <v>190</v>
      </c>
      <c r="B120" t="s">
        <v>364</v>
      </c>
      <c r="C120">
        <v>1.072368</v>
      </c>
    </row>
    <row r="121" spans="1:3">
      <c r="A121" t="s">
        <v>191</v>
      </c>
      <c r="B121" t="s">
        <v>368</v>
      </c>
      <c r="C121">
        <v>5.6311200000000001</v>
      </c>
    </row>
    <row r="122" spans="1:3">
      <c r="A122" t="s">
        <v>191</v>
      </c>
      <c r="B122" t="s">
        <v>364</v>
      </c>
      <c r="C122">
        <v>1.608552</v>
      </c>
    </row>
    <row r="123" spans="1:3">
      <c r="A123" t="s">
        <v>194</v>
      </c>
      <c r="B123" t="s">
        <v>368</v>
      </c>
      <c r="C123">
        <v>15.01632</v>
      </c>
    </row>
    <row r="124" spans="1:3">
      <c r="A124" t="s">
        <v>194</v>
      </c>
      <c r="B124" t="s">
        <v>364</v>
      </c>
      <c r="C124">
        <v>4.289472</v>
      </c>
    </row>
    <row r="125" spans="1:3">
      <c r="A125" t="s">
        <v>210</v>
      </c>
      <c r="B125" t="s">
        <v>368</v>
      </c>
      <c r="C125">
        <v>171.04526999999999</v>
      </c>
    </row>
    <row r="126" spans="1:3">
      <c r="A126" t="s">
        <v>210</v>
      </c>
      <c r="B126" t="s">
        <v>364</v>
      </c>
      <c r="C126">
        <v>48.25656</v>
      </c>
    </row>
    <row r="127" spans="1:3">
      <c r="A127" t="s">
        <v>212</v>
      </c>
      <c r="B127" t="s">
        <v>368</v>
      </c>
      <c r="C127">
        <v>273.67243200000001</v>
      </c>
    </row>
    <row r="128" spans="1:3">
      <c r="A128" t="s">
        <v>212</v>
      </c>
      <c r="B128" t="s">
        <v>364</v>
      </c>
      <c r="C128">
        <v>77.210496000000006</v>
      </c>
    </row>
    <row r="129" spans="1:3">
      <c r="A129" t="s">
        <v>211</v>
      </c>
      <c r="B129" t="s">
        <v>368</v>
      </c>
      <c r="C129">
        <v>228.06036</v>
      </c>
    </row>
    <row r="130" spans="1:3">
      <c r="A130" t="s">
        <v>211</v>
      </c>
      <c r="B130" t="s">
        <v>364</v>
      </c>
      <c r="C130">
        <v>64.342079999999996</v>
      </c>
    </row>
    <row r="131" spans="1:3">
      <c r="A131" t="s">
        <v>213</v>
      </c>
      <c r="B131" t="s">
        <v>368</v>
      </c>
      <c r="C131">
        <v>364.89657599999998</v>
      </c>
    </row>
    <row r="132" spans="1:3">
      <c r="A132" t="s">
        <v>213</v>
      </c>
      <c r="B132" t="s">
        <v>364</v>
      </c>
      <c r="C132">
        <v>102.947328</v>
      </c>
    </row>
    <row r="133" spans="1:3">
      <c r="A133" t="s">
        <v>202</v>
      </c>
      <c r="B133" t="s">
        <v>368</v>
      </c>
      <c r="C133">
        <v>2.8507544999999999</v>
      </c>
    </row>
    <row r="134" spans="1:3">
      <c r="A134" t="s">
        <v>202</v>
      </c>
      <c r="B134" t="s">
        <v>364</v>
      </c>
      <c r="C134">
        <v>0.80427599999999999</v>
      </c>
    </row>
    <row r="135" spans="1:3">
      <c r="A135" t="s">
        <v>203</v>
      </c>
      <c r="B135" t="s">
        <v>368</v>
      </c>
      <c r="C135">
        <v>3.9910562999999999</v>
      </c>
    </row>
    <row r="136" spans="1:3">
      <c r="A136" t="s">
        <v>203</v>
      </c>
      <c r="B136" t="s">
        <v>364</v>
      </c>
      <c r="C136">
        <v>1.1259863999999999</v>
      </c>
    </row>
    <row r="137" spans="1:3">
      <c r="A137" t="s">
        <v>204</v>
      </c>
      <c r="B137" t="s">
        <v>368</v>
      </c>
      <c r="C137">
        <v>4.5612072000000001</v>
      </c>
    </row>
    <row r="138" spans="1:3">
      <c r="A138" t="s">
        <v>204</v>
      </c>
      <c r="B138" t="s">
        <v>364</v>
      </c>
      <c r="C138">
        <v>1.2868416</v>
      </c>
    </row>
    <row r="139" spans="1:3">
      <c r="A139" t="s">
        <v>199</v>
      </c>
      <c r="B139" t="s">
        <v>368</v>
      </c>
      <c r="C139">
        <v>0.57015090000000002</v>
      </c>
    </row>
    <row r="140" spans="1:3">
      <c r="A140" t="s">
        <v>199</v>
      </c>
      <c r="B140" t="s">
        <v>364</v>
      </c>
      <c r="C140">
        <v>0.1608552</v>
      </c>
    </row>
    <row r="141" spans="1:3">
      <c r="A141" t="s">
        <v>205</v>
      </c>
      <c r="B141" t="s">
        <v>368</v>
      </c>
      <c r="C141">
        <v>5.7015089999999997</v>
      </c>
    </row>
    <row r="142" spans="1:3">
      <c r="A142" t="s">
        <v>205</v>
      </c>
      <c r="B142" t="s">
        <v>364</v>
      </c>
      <c r="C142">
        <v>1.608552</v>
      </c>
    </row>
    <row r="143" spans="1:3">
      <c r="A143" t="s">
        <v>206</v>
      </c>
      <c r="B143" t="s">
        <v>368</v>
      </c>
      <c r="C143">
        <v>8.5522635000000005</v>
      </c>
    </row>
    <row r="144" spans="1:3">
      <c r="A144" t="s">
        <v>206</v>
      </c>
      <c r="B144" t="s">
        <v>364</v>
      </c>
      <c r="C144">
        <v>2.4128280000000002</v>
      </c>
    </row>
    <row r="145" spans="1:3">
      <c r="A145" t="s">
        <v>207</v>
      </c>
      <c r="B145" t="s">
        <v>368</v>
      </c>
      <c r="C145">
        <v>11.403017999999999</v>
      </c>
    </row>
    <row r="146" spans="1:3">
      <c r="A146" t="s">
        <v>207</v>
      </c>
      <c r="B146" t="s">
        <v>364</v>
      </c>
      <c r="C146">
        <v>3.217104</v>
      </c>
    </row>
    <row r="147" spans="1:3">
      <c r="A147" t="s">
        <v>200</v>
      </c>
      <c r="B147" t="s">
        <v>368</v>
      </c>
      <c r="C147">
        <v>1.4253772499999999</v>
      </c>
    </row>
    <row r="148" spans="1:3">
      <c r="A148" t="s">
        <v>200</v>
      </c>
      <c r="B148" t="s">
        <v>364</v>
      </c>
      <c r="C148">
        <v>0.402138</v>
      </c>
    </row>
    <row r="149" spans="1:3">
      <c r="A149" t="s">
        <v>208</v>
      </c>
      <c r="B149" t="s">
        <v>368</v>
      </c>
      <c r="C149">
        <v>14.2537725</v>
      </c>
    </row>
    <row r="150" spans="1:3">
      <c r="A150" t="s">
        <v>208</v>
      </c>
      <c r="B150" t="s">
        <v>364</v>
      </c>
      <c r="C150">
        <v>4.0213799999999997</v>
      </c>
    </row>
    <row r="151" spans="1:3">
      <c r="A151" t="s">
        <v>201</v>
      </c>
      <c r="B151" t="s">
        <v>368</v>
      </c>
      <c r="C151">
        <v>1.9955281499999999</v>
      </c>
    </row>
    <row r="152" spans="1:3">
      <c r="A152" t="s">
        <v>201</v>
      </c>
      <c r="B152" t="s">
        <v>364</v>
      </c>
      <c r="C152">
        <v>0.56299319999999997</v>
      </c>
    </row>
    <row r="153" spans="1:3">
      <c r="A153" t="s">
        <v>209</v>
      </c>
      <c r="B153" t="s">
        <v>368</v>
      </c>
      <c r="C153">
        <v>22.806035999999999</v>
      </c>
    </row>
    <row r="154" spans="1:3">
      <c r="A154" t="s">
        <v>209</v>
      </c>
      <c r="B154" t="s">
        <v>364</v>
      </c>
      <c r="C154">
        <v>6.4342079999999999</v>
      </c>
    </row>
    <row r="155" spans="1:3">
      <c r="A155" t="s">
        <v>318</v>
      </c>
      <c r="B155" t="s">
        <v>366</v>
      </c>
      <c r="C155">
        <v>1.5970500000000001</v>
      </c>
    </row>
    <row r="156" spans="1:3">
      <c r="A156" t="s">
        <v>318</v>
      </c>
      <c r="B156" t="s">
        <v>369</v>
      </c>
      <c r="C156">
        <v>6.8985000000000005E-2</v>
      </c>
    </row>
    <row r="157" spans="1:3">
      <c r="A157" t="s">
        <v>320</v>
      </c>
      <c r="B157" t="s">
        <v>366</v>
      </c>
      <c r="C157">
        <v>3.1941000000000002</v>
      </c>
    </row>
    <row r="158" spans="1:3">
      <c r="A158" t="s">
        <v>320</v>
      </c>
      <c r="B158" t="s">
        <v>369</v>
      </c>
      <c r="C158">
        <v>0.13797000000000001</v>
      </c>
    </row>
    <row r="159" spans="1:3">
      <c r="A159" t="s">
        <v>328</v>
      </c>
      <c r="B159" t="s">
        <v>366</v>
      </c>
      <c r="C159">
        <v>4.79115</v>
      </c>
    </row>
    <row r="160" spans="1:3">
      <c r="A160" t="s">
        <v>328</v>
      </c>
      <c r="B160" t="s">
        <v>369</v>
      </c>
      <c r="C160">
        <v>0.206955</v>
      </c>
    </row>
    <row r="161" spans="1:3">
      <c r="A161" t="s">
        <v>321</v>
      </c>
      <c r="B161" t="s">
        <v>366</v>
      </c>
      <c r="C161">
        <v>4.4717399999999996</v>
      </c>
    </row>
    <row r="162" spans="1:3">
      <c r="A162" t="s">
        <v>321</v>
      </c>
      <c r="B162" t="s">
        <v>369</v>
      </c>
      <c r="C162">
        <v>0.193158</v>
      </c>
    </row>
    <row r="163" spans="1:3">
      <c r="A163" t="s">
        <v>329</v>
      </c>
      <c r="B163" t="s">
        <v>366</v>
      </c>
      <c r="C163">
        <v>6.7076099999999999</v>
      </c>
    </row>
    <row r="164" spans="1:3">
      <c r="A164" t="s">
        <v>329</v>
      </c>
      <c r="B164" t="s">
        <v>369</v>
      </c>
      <c r="C164">
        <v>0.28973700000000002</v>
      </c>
    </row>
    <row r="165" spans="1:3">
      <c r="A165" t="s">
        <v>322</v>
      </c>
      <c r="B165" t="s">
        <v>366</v>
      </c>
      <c r="C165">
        <v>6.3882000000000003</v>
      </c>
    </row>
    <row r="166" spans="1:3">
      <c r="A166" t="s">
        <v>322</v>
      </c>
      <c r="B166" t="s">
        <v>369</v>
      </c>
      <c r="C166">
        <v>0.27594000000000002</v>
      </c>
    </row>
    <row r="167" spans="1:3">
      <c r="A167" t="s">
        <v>330</v>
      </c>
      <c r="B167" t="s">
        <v>366</v>
      </c>
      <c r="C167">
        <v>9.5823</v>
      </c>
    </row>
    <row r="168" spans="1:3">
      <c r="A168" t="s">
        <v>330</v>
      </c>
      <c r="B168" t="s">
        <v>369</v>
      </c>
      <c r="C168">
        <v>0.41391</v>
      </c>
    </row>
    <row r="169" spans="1:3">
      <c r="A169" t="s">
        <v>323</v>
      </c>
      <c r="B169" t="s">
        <v>366</v>
      </c>
      <c r="C169">
        <v>9.5823</v>
      </c>
    </row>
    <row r="170" spans="1:3">
      <c r="A170" t="s">
        <v>323</v>
      </c>
      <c r="B170" t="s">
        <v>369</v>
      </c>
      <c r="C170">
        <v>0.41391</v>
      </c>
    </row>
    <row r="171" spans="1:3">
      <c r="A171" t="s">
        <v>331</v>
      </c>
      <c r="B171" t="s">
        <v>366</v>
      </c>
      <c r="C171">
        <v>14.37345</v>
      </c>
    </row>
    <row r="172" spans="1:3">
      <c r="A172" t="s">
        <v>331</v>
      </c>
      <c r="B172" t="s">
        <v>369</v>
      </c>
      <c r="C172">
        <v>0.620865</v>
      </c>
    </row>
    <row r="173" spans="1:3">
      <c r="A173" t="s">
        <v>324</v>
      </c>
      <c r="B173" t="s">
        <v>366</v>
      </c>
      <c r="C173">
        <v>12.776400000000001</v>
      </c>
    </row>
    <row r="174" spans="1:3">
      <c r="A174" t="s">
        <v>324</v>
      </c>
      <c r="B174" t="s">
        <v>369</v>
      </c>
      <c r="C174">
        <v>0.55188000000000004</v>
      </c>
    </row>
    <row r="175" spans="1:3">
      <c r="A175" t="s">
        <v>332</v>
      </c>
      <c r="B175" t="s">
        <v>366</v>
      </c>
      <c r="C175">
        <v>19.1646</v>
      </c>
    </row>
    <row r="176" spans="1:3">
      <c r="A176" t="s">
        <v>332</v>
      </c>
      <c r="B176" t="s">
        <v>369</v>
      </c>
      <c r="C176">
        <v>0.82782</v>
      </c>
    </row>
    <row r="177" spans="1:3">
      <c r="A177" t="s">
        <v>326</v>
      </c>
      <c r="B177" t="s">
        <v>366</v>
      </c>
      <c r="C177">
        <v>2.395575</v>
      </c>
    </row>
    <row r="178" spans="1:3">
      <c r="A178" t="s">
        <v>326</v>
      </c>
      <c r="B178" t="s">
        <v>369</v>
      </c>
      <c r="C178">
        <v>0.1034775</v>
      </c>
    </row>
    <row r="179" spans="1:3">
      <c r="A179" t="s">
        <v>325</v>
      </c>
      <c r="B179" t="s">
        <v>366</v>
      </c>
      <c r="C179">
        <v>15.970499999999999</v>
      </c>
    </row>
    <row r="180" spans="1:3">
      <c r="A180" t="s">
        <v>325</v>
      </c>
      <c r="B180" t="s">
        <v>369</v>
      </c>
      <c r="C180">
        <v>0.68984999999999996</v>
      </c>
    </row>
    <row r="181" spans="1:3">
      <c r="A181" t="s">
        <v>333</v>
      </c>
      <c r="B181" t="s">
        <v>366</v>
      </c>
      <c r="C181">
        <v>23.955749999999998</v>
      </c>
    </row>
    <row r="182" spans="1:3">
      <c r="A182" t="s">
        <v>333</v>
      </c>
      <c r="B182" t="s">
        <v>369</v>
      </c>
      <c r="C182">
        <v>1.034775</v>
      </c>
    </row>
    <row r="183" spans="1:3">
      <c r="A183" t="s">
        <v>319</v>
      </c>
      <c r="B183" t="s">
        <v>366</v>
      </c>
      <c r="C183">
        <v>2.2358699999999998</v>
      </c>
    </row>
    <row r="184" spans="1:3">
      <c r="A184" t="s">
        <v>319</v>
      </c>
      <c r="B184" t="s">
        <v>369</v>
      </c>
      <c r="C184">
        <v>9.6578999999999998E-2</v>
      </c>
    </row>
    <row r="185" spans="1:3">
      <c r="A185" t="s">
        <v>327</v>
      </c>
      <c r="B185" t="s">
        <v>366</v>
      </c>
      <c r="C185">
        <v>3.3538049999999999</v>
      </c>
    </row>
    <row r="186" spans="1:3">
      <c r="A186" t="s">
        <v>327</v>
      </c>
      <c r="B186" t="s">
        <v>369</v>
      </c>
      <c r="C186">
        <v>0.14486850000000001</v>
      </c>
    </row>
    <row r="187" spans="1:3">
      <c r="A187" t="s">
        <v>460</v>
      </c>
      <c r="B187" t="s">
        <v>366</v>
      </c>
      <c r="C187">
        <v>212.94</v>
      </c>
    </row>
    <row r="188" spans="1:3">
      <c r="A188" t="s">
        <v>462</v>
      </c>
      <c r="B188" t="s">
        <v>366</v>
      </c>
      <c r="C188">
        <v>319.41000000000003</v>
      </c>
    </row>
    <row r="189" spans="1:3">
      <c r="A189" t="s">
        <v>463</v>
      </c>
      <c r="B189" t="s">
        <v>366</v>
      </c>
      <c r="C189">
        <v>340.70400000000001</v>
      </c>
    </row>
    <row r="190" spans="1:3">
      <c r="A190" t="s">
        <v>466</v>
      </c>
      <c r="B190" t="s">
        <v>366</v>
      </c>
      <c r="C190">
        <v>511.05599999999998</v>
      </c>
    </row>
    <row r="191" spans="1:3">
      <c r="A191" t="s">
        <v>461</v>
      </c>
      <c r="B191" t="s">
        <v>366</v>
      </c>
      <c r="C191">
        <v>283.92</v>
      </c>
    </row>
    <row r="192" spans="1:3">
      <c r="A192" t="s">
        <v>464</v>
      </c>
      <c r="B192" t="s">
        <v>366</v>
      </c>
      <c r="C192">
        <v>425.88</v>
      </c>
    </row>
    <row r="193" spans="1:3">
      <c r="A193" t="s">
        <v>465</v>
      </c>
      <c r="B193" t="s">
        <v>366</v>
      </c>
      <c r="C193">
        <v>454.27199999999999</v>
      </c>
    </row>
    <row r="194" spans="1:3">
      <c r="A194" t="s">
        <v>467</v>
      </c>
      <c r="B194" t="s">
        <v>366</v>
      </c>
      <c r="C194">
        <v>681.40800000000002</v>
      </c>
    </row>
    <row r="195" spans="1:3">
      <c r="A195" t="s">
        <v>415</v>
      </c>
      <c r="B195" t="s">
        <v>366</v>
      </c>
      <c r="C195">
        <v>3.5489999999999999</v>
      </c>
    </row>
    <row r="196" spans="1:3">
      <c r="A196" t="s">
        <v>427</v>
      </c>
      <c r="B196" t="s">
        <v>366</v>
      </c>
      <c r="C196">
        <v>5.3235000000000001</v>
      </c>
    </row>
    <row r="197" spans="1:3">
      <c r="A197" t="s">
        <v>416</v>
      </c>
      <c r="B197" t="s">
        <v>366</v>
      </c>
      <c r="C197">
        <v>4.9686000000000003</v>
      </c>
    </row>
    <row r="198" spans="1:3">
      <c r="A198" t="s">
        <v>428</v>
      </c>
      <c r="B198" t="s">
        <v>366</v>
      </c>
      <c r="C198">
        <v>7.4528999999999996</v>
      </c>
    </row>
    <row r="199" spans="1:3">
      <c r="A199" t="s">
        <v>417</v>
      </c>
      <c r="B199" t="s">
        <v>366</v>
      </c>
      <c r="C199">
        <v>5.6783999999999999</v>
      </c>
    </row>
    <row r="200" spans="1:3">
      <c r="A200" t="s">
        <v>429</v>
      </c>
      <c r="B200" t="s">
        <v>366</v>
      </c>
      <c r="C200">
        <v>8.5175999999999998</v>
      </c>
    </row>
    <row r="201" spans="1:3">
      <c r="A201" t="s">
        <v>412</v>
      </c>
      <c r="B201" t="s">
        <v>366</v>
      </c>
      <c r="C201">
        <v>0.70979999999999999</v>
      </c>
    </row>
    <row r="202" spans="1:3">
      <c r="A202" t="s">
        <v>424</v>
      </c>
      <c r="B202" t="s">
        <v>366</v>
      </c>
      <c r="C202">
        <v>1.0647</v>
      </c>
    </row>
    <row r="203" spans="1:3">
      <c r="A203" t="s">
        <v>418</v>
      </c>
      <c r="B203" t="s">
        <v>366</v>
      </c>
      <c r="C203">
        <v>7.0979999999999999</v>
      </c>
    </row>
    <row r="204" spans="1:3">
      <c r="A204" t="s">
        <v>430</v>
      </c>
      <c r="B204" t="s">
        <v>366</v>
      </c>
      <c r="C204">
        <v>10.647</v>
      </c>
    </row>
    <row r="205" spans="1:3">
      <c r="A205" t="s">
        <v>419</v>
      </c>
      <c r="B205" t="s">
        <v>366</v>
      </c>
      <c r="C205">
        <v>8.8725000000000005</v>
      </c>
    </row>
    <row r="206" spans="1:3">
      <c r="A206" t="s">
        <v>420</v>
      </c>
      <c r="B206" t="s">
        <v>366</v>
      </c>
      <c r="C206">
        <v>10.647</v>
      </c>
    </row>
    <row r="207" spans="1:3">
      <c r="A207" t="s">
        <v>431</v>
      </c>
      <c r="B207" t="s">
        <v>366</v>
      </c>
      <c r="C207">
        <v>15.970499999999999</v>
      </c>
    </row>
    <row r="208" spans="1:3">
      <c r="A208" t="s">
        <v>421</v>
      </c>
      <c r="B208" t="s">
        <v>366</v>
      </c>
      <c r="C208">
        <v>14.196</v>
      </c>
    </row>
    <row r="209" spans="1:3">
      <c r="A209" t="s">
        <v>432</v>
      </c>
      <c r="B209" t="s">
        <v>366</v>
      </c>
      <c r="C209">
        <v>21.294</v>
      </c>
    </row>
    <row r="210" spans="1:3">
      <c r="A210" t="s">
        <v>413</v>
      </c>
      <c r="B210" t="s">
        <v>366</v>
      </c>
      <c r="C210">
        <v>1.7745</v>
      </c>
    </row>
    <row r="211" spans="1:3">
      <c r="A211" t="s">
        <v>425</v>
      </c>
      <c r="B211" t="s">
        <v>366</v>
      </c>
      <c r="C211">
        <v>2.6617500000000001</v>
      </c>
    </row>
    <row r="212" spans="1:3">
      <c r="A212" t="s">
        <v>422</v>
      </c>
      <c r="B212" t="s">
        <v>366</v>
      </c>
      <c r="C212">
        <v>17.745000000000001</v>
      </c>
    </row>
    <row r="213" spans="1:3">
      <c r="A213" t="s">
        <v>433</v>
      </c>
      <c r="B213" t="s">
        <v>366</v>
      </c>
      <c r="C213">
        <v>26.6175</v>
      </c>
    </row>
    <row r="214" spans="1:3">
      <c r="A214" t="s">
        <v>414</v>
      </c>
      <c r="B214" t="s">
        <v>366</v>
      </c>
      <c r="C214">
        <v>2.4843000000000002</v>
      </c>
    </row>
    <row r="215" spans="1:3">
      <c r="A215" t="s">
        <v>426</v>
      </c>
      <c r="B215" t="s">
        <v>366</v>
      </c>
      <c r="C215">
        <v>3.7264499999999998</v>
      </c>
    </row>
    <row r="216" spans="1:3">
      <c r="A216" t="s">
        <v>423</v>
      </c>
      <c r="B216" t="s">
        <v>366</v>
      </c>
      <c r="C216">
        <v>28.391999999999999</v>
      </c>
    </row>
    <row r="217" spans="1:3">
      <c r="A217" t="s">
        <v>434</v>
      </c>
      <c r="B217" t="s">
        <v>366</v>
      </c>
      <c r="C217">
        <v>42.588000000000001</v>
      </c>
    </row>
    <row r="218" spans="1:3">
      <c r="A218" t="s">
        <v>248</v>
      </c>
      <c r="B218" t="s">
        <v>373</v>
      </c>
      <c r="C218">
        <v>0.30393999999999999</v>
      </c>
    </row>
    <row r="219" spans="1:3">
      <c r="A219" t="s">
        <v>256</v>
      </c>
      <c r="B219" t="s">
        <v>373</v>
      </c>
      <c r="C219">
        <v>0.45590999999999998</v>
      </c>
    </row>
    <row r="220" spans="1:3">
      <c r="A220" t="s">
        <v>249</v>
      </c>
      <c r="B220" t="s">
        <v>373</v>
      </c>
      <c r="C220">
        <v>0.42551600000000001</v>
      </c>
    </row>
    <row r="221" spans="1:3">
      <c r="A221" t="s">
        <v>257</v>
      </c>
      <c r="B221" t="s">
        <v>373</v>
      </c>
      <c r="C221">
        <v>0.63827400000000001</v>
      </c>
    </row>
    <row r="222" spans="1:3">
      <c r="A222" t="s">
        <v>250</v>
      </c>
      <c r="B222" t="s">
        <v>373</v>
      </c>
      <c r="C222">
        <v>0.60787999999999998</v>
      </c>
    </row>
    <row r="223" spans="1:3">
      <c r="A223" t="s">
        <v>258</v>
      </c>
      <c r="B223" t="s">
        <v>373</v>
      </c>
      <c r="C223">
        <v>0.91181999999999996</v>
      </c>
    </row>
    <row r="224" spans="1:3">
      <c r="A224" t="s">
        <v>251</v>
      </c>
      <c r="B224" t="s">
        <v>373</v>
      </c>
      <c r="C224">
        <v>0.91181999999999996</v>
      </c>
    </row>
    <row r="225" spans="1:3">
      <c r="A225" t="s">
        <v>259</v>
      </c>
      <c r="B225" t="s">
        <v>373</v>
      </c>
      <c r="C225">
        <v>1.3677299999999999</v>
      </c>
    </row>
    <row r="226" spans="1:3">
      <c r="A226" t="s">
        <v>252</v>
      </c>
      <c r="B226" t="s">
        <v>373</v>
      </c>
      <c r="C226">
        <v>1.21576</v>
      </c>
    </row>
    <row r="227" spans="1:3">
      <c r="A227" t="s">
        <v>260</v>
      </c>
      <c r="B227" t="s">
        <v>373</v>
      </c>
      <c r="C227">
        <v>1.8236399999999999</v>
      </c>
    </row>
    <row r="228" spans="1:3">
      <c r="A228" t="s">
        <v>246</v>
      </c>
      <c r="B228" t="s">
        <v>373</v>
      </c>
      <c r="C228">
        <v>0.15196999999999999</v>
      </c>
    </row>
    <row r="229" spans="1:3">
      <c r="A229" t="s">
        <v>254</v>
      </c>
      <c r="B229" t="s">
        <v>373</v>
      </c>
      <c r="C229">
        <v>0.22795499999999999</v>
      </c>
    </row>
    <row r="230" spans="1:3">
      <c r="A230" t="s">
        <v>253</v>
      </c>
      <c r="B230" t="s">
        <v>373</v>
      </c>
      <c r="C230">
        <v>1.5197000000000001</v>
      </c>
    </row>
    <row r="231" spans="1:3">
      <c r="A231" t="s">
        <v>261</v>
      </c>
      <c r="B231" t="s">
        <v>373</v>
      </c>
      <c r="C231">
        <v>2.27955</v>
      </c>
    </row>
    <row r="232" spans="1:3">
      <c r="A232" t="s">
        <v>247</v>
      </c>
      <c r="B232" t="s">
        <v>373</v>
      </c>
      <c r="C232">
        <v>0.212758</v>
      </c>
    </row>
    <row r="233" spans="1:3">
      <c r="A233" t="s">
        <v>255</v>
      </c>
      <c r="B233" t="s">
        <v>373</v>
      </c>
      <c r="C233">
        <v>0.319137</v>
      </c>
    </row>
    <row r="234" spans="1:3">
      <c r="A234" t="s">
        <v>304</v>
      </c>
      <c r="B234" t="s">
        <v>366</v>
      </c>
      <c r="C234">
        <v>2.3068499999999998</v>
      </c>
    </row>
    <row r="235" spans="1:3">
      <c r="A235" t="s">
        <v>304</v>
      </c>
      <c r="B235" t="s">
        <v>1131</v>
      </c>
      <c r="C235">
        <v>6.0269999999999997E-2</v>
      </c>
    </row>
    <row r="236" spans="1:3">
      <c r="A236" t="s">
        <v>312</v>
      </c>
      <c r="B236" t="s">
        <v>366</v>
      </c>
      <c r="C236">
        <v>3.4602750000000002</v>
      </c>
    </row>
    <row r="237" spans="1:3">
      <c r="A237" t="s">
        <v>312</v>
      </c>
      <c r="B237" t="s">
        <v>1131</v>
      </c>
      <c r="C237">
        <v>9.0404999999999999E-2</v>
      </c>
    </row>
    <row r="238" spans="1:3">
      <c r="A238" t="s">
        <v>313</v>
      </c>
      <c r="B238" t="s">
        <v>366</v>
      </c>
      <c r="C238">
        <v>4.8443849999999999</v>
      </c>
    </row>
    <row r="239" spans="1:3">
      <c r="A239" t="s">
        <v>313</v>
      </c>
      <c r="B239" t="s">
        <v>1131</v>
      </c>
      <c r="C239">
        <v>0.12656700000000001</v>
      </c>
    </row>
    <row r="240" spans="1:3">
      <c r="A240" t="s">
        <v>306</v>
      </c>
      <c r="B240" t="s">
        <v>366</v>
      </c>
      <c r="C240">
        <v>4.6136999999999997</v>
      </c>
    </row>
    <row r="241" spans="1:3">
      <c r="A241" t="s">
        <v>306</v>
      </c>
      <c r="B241" t="s">
        <v>1131</v>
      </c>
      <c r="C241">
        <v>0.12053999999999999</v>
      </c>
    </row>
    <row r="242" spans="1:3">
      <c r="A242" t="s">
        <v>314</v>
      </c>
      <c r="B242" t="s">
        <v>366</v>
      </c>
      <c r="C242">
        <v>6.9205500000000004</v>
      </c>
    </row>
    <row r="243" spans="1:3">
      <c r="A243" t="s">
        <v>314</v>
      </c>
      <c r="B243" t="s">
        <v>1131</v>
      </c>
      <c r="C243">
        <v>0.18081</v>
      </c>
    </row>
    <row r="244" spans="1:3">
      <c r="A244" t="s">
        <v>308</v>
      </c>
      <c r="B244" t="s">
        <v>366</v>
      </c>
      <c r="C244">
        <v>9.2273999999999994</v>
      </c>
    </row>
    <row r="245" spans="1:3">
      <c r="A245" t="s">
        <v>308</v>
      </c>
      <c r="B245" t="s">
        <v>1131</v>
      </c>
      <c r="C245">
        <v>0.24107999999999999</v>
      </c>
    </row>
    <row r="246" spans="1:3">
      <c r="A246" t="s">
        <v>316</v>
      </c>
      <c r="B246" t="s">
        <v>366</v>
      </c>
      <c r="C246">
        <v>13.841100000000001</v>
      </c>
    </row>
    <row r="247" spans="1:3">
      <c r="A247" t="s">
        <v>316</v>
      </c>
      <c r="B247" t="s">
        <v>1131</v>
      </c>
      <c r="C247">
        <v>0.36162</v>
      </c>
    </row>
    <row r="248" spans="1:3">
      <c r="A248" t="s">
        <v>317</v>
      </c>
      <c r="B248" t="s">
        <v>366</v>
      </c>
      <c r="C248">
        <v>17.301375</v>
      </c>
    </row>
    <row r="249" spans="1:3">
      <c r="A249" t="s">
        <v>317</v>
      </c>
      <c r="B249" t="s">
        <v>1131</v>
      </c>
      <c r="C249">
        <v>0.45202500000000001</v>
      </c>
    </row>
    <row r="250" spans="1:3">
      <c r="A250" t="s">
        <v>303</v>
      </c>
      <c r="B250" t="s">
        <v>366</v>
      </c>
      <c r="C250">
        <v>1.614795</v>
      </c>
    </row>
    <row r="251" spans="1:3">
      <c r="A251" t="s">
        <v>303</v>
      </c>
      <c r="B251" t="s">
        <v>1131</v>
      </c>
      <c r="C251">
        <v>4.2188999999999997E-2</v>
      </c>
    </row>
    <row r="252" spans="1:3">
      <c r="A252" t="s">
        <v>305</v>
      </c>
      <c r="B252" t="s">
        <v>366</v>
      </c>
      <c r="C252">
        <v>3.22959</v>
      </c>
    </row>
    <row r="253" spans="1:3">
      <c r="A253" t="s">
        <v>305</v>
      </c>
      <c r="B253" t="s">
        <v>1131</v>
      </c>
      <c r="C253">
        <v>8.4377999999999995E-2</v>
      </c>
    </row>
    <row r="254" spans="1:3">
      <c r="A254" t="s">
        <v>307</v>
      </c>
      <c r="B254" t="s">
        <v>366</v>
      </c>
      <c r="C254">
        <v>6.9205500000000004</v>
      </c>
    </row>
    <row r="255" spans="1:3">
      <c r="A255" t="s">
        <v>307</v>
      </c>
      <c r="B255" t="s">
        <v>1131</v>
      </c>
      <c r="C255">
        <v>0.18081</v>
      </c>
    </row>
    <row r="256" spans="1:3">
      <c r="A256" t="s">
        <v>315</v>
      </c>
      <c r="B256" t="s">
        <v>366</v>
      </c>
      <c r="C256">
        <v>10.380825</v>
      </c>
    </row>
    <row r="257" spans="1:3">
      <c r="A257" t="s">
        <v>315</v>
      </c>
      <c r="B257" t="s">
        <v>1131</v>
      </c>
      <c r="C257">
        <v>0.27121499999999998</v>
      </c>
    </row>
    <row r="258" spans="1:3">
      <c r="A258" t="s">
        <v>302</v>
      </c>
      <c r="B258" t="s">
        <v>366</v>
      </c>
      <c r="C258">
        <v>1.1534249999999999</v>
      </c>
    </row>
    <row r="259" spans="1:3">
      <c r="A259" t="s">
        <v>302</v>
      </c>
      <c r="B259" t="s">
        <v>1131</v>
      </c>
      <c r="C259">
        <v>3.0134999999999999E-2</v>
      </c>
    </row>
    <row r="260" spans="1:3">
      <c r="A260" t="s">
        <v>310</v>
      </c>
      <c r="B260" t="s">
        <v>366</v>
      </c>
      <c r="C260">
        <v>1.7301375000000001</v>
      </c>
    </row>
    <row r="261" spans="1:3">
      <c r="A261" t="s">
        <v>310</v>
      </c>
      <c r="B261" t="s">
        <v>1131</v>
      </c>
      <c r="C261">
        <v>4.52025E-2</v>
      </c>
    </row>
    <row r="262" spans="1:3">
      <c r="A262" t="s">
        <v>309</v>
      </c>
      <c r="B262" t="s">
        <v>366</v>
      </c>
      <c r="C262">
        <v>11.53425</v>
      </c>
    </row>
    <row r="263" spans="1:3">
      <c r="A263" t="s">
        <v>309</v>
      </c>
      <c r="B263" t="s">
        <v>1131</v>
      </c>
      <c r="C263">
        <v>0.30135000000000001</v>
      </c>
    </row>
    <row r="264" spans="1:3">
      <c r="A264" t="s">
        <v>311</v>
      </c>
      <c r="B264" t="s">
        <v>366</v>
      </c>
      <c r="C264">
        <v>2.4221925</v>
      </c>
    </row>
    <row r="265" spans="1:3">
      <c r="A265" t="s">
        <v>311</v>
      </c>
      <c r="B265" t="s">
        <v>1131</v>
      </c>
      <c r="C265">
        <v>6.3283500000000006E-2</v>
      </c>
    </row>
    <row r="266" spans="1:3">
      <c r="A266" t="s">
        <v>289</v>
      </c>
      <c r="B266" t="s">
        <v>1131</v>
      </c>
      <c r="C266">
        <v>0.14432</v>
      </c>
    </row>
    <row r="267" spans="1:3">
      <c r="A267" t="s">
        <v>297</v>
      </c>
      <c r="B267" t="s">
        <v>1131</v>
      </c>
      <c r="C267">
        <v>0.2132</v>
      </c>
    </row>
    <row r="268" spans="1:3">
      <c r="A268" t="s">
        <v>290</v>
      </c>
      <c r="B268" t="s">
        <v>1131</v>
      </c>
      <c r="C268">
        <v>0.20204800000000001</v>
      </c>
    </row>
    <row r="269" spans="1:3">
      <c r="A269" t="s">
        <v>298</v>
      </c>
      <c r="B269" t="s">
        <v>1131</v>
      </c>
      <c r="C269">
        <v>0.29848000000000002</v>
      </c>
    </row>
    <row r="270" spans="1:3">
      <c r="A270" t="s">
        <v>291</v>
      </c>
      <c r="B270" t="s">
        <v>1131</v>
      </c>
      <c r="C270">
        <v>0.28864000000000001</v>
      </c>
    </row>
    <row r="271" spans="1:3">
      <c r="A271" t="s">
        <v>299</v>
      </c>
      <c r="B271" t="s">
        <v>1131</v>
      </c>
      <c r="C271">
        <v>0.4264</v>
      </c>
    </row>
    <row r="272" spans="1:3">
      <c r="A272" t="s">
        <v>292</v>
      </c>
      <c r="B272" t="s">
        <v>1131</v>
      </c>
      <c r="C272">
        <v>0.43296000000000001</v>
      </c>
    </row>
    <row r="273" spans="1:3">
      <c r="A273" t="s">
        <v>292</v>
      </c>
      <c r="B273" t="s">
        <v>1131</v>
      </c>
      <c r="C273">
        <v>0.63959999999999995</v>
      </c>
    </row>
    <row r="274" spans="1:3">
      <c r="A274" t="s">
        <v>293</v>
      </c>
      <c r="B274" t="s">
        <v>1131</v>
      </c>
      <c r="C274">
        <v>0.57728000000000002</v>
      </c>
    </row>
    <row r="275" spans="1:3">
      <c r="A275" t="s">
        <v>300</v>
      </c>
      <c r="B275" t="s">
        <v>1131</v>
      </c>
      <c r="C275">
        <v>0.8528</v>
      </c>
    </row>
    <row r="276" spans="1:3">
      <c r="A276" t="s">
        <v>287</v>
      </c>
      <c r="B276" t="s">
        <v>1131</v>
      </c>
      <c r="C276">
        <v>7.2160000000000002E-2</v>
      </c>
    </row>
    <row r="277" spans="1:3">
      <c r="A277" t="s">
        <v>295</v>
      </c>
      <c r="B277" t="s">
        <v>1131</v>
      </c>
      <c r="C277">
        <v>0.1066</v>
      </c>
    </row>
    <row r="278" spans="1:3">
      <c r="A278" t="s">
        <v>294</v>
      </c>
      <c r="B278" t="s">
        <v>1131</v>
      </c>
      <c r="C278">
        <v>0.72160000000000002</v>
      </c>
    </row>
    <row r="279" spans="1:3">
      <c r="A279" t="s">
        <v>301</v>
      </c>
      <c r="B279" t="s">
        <v>1131</v>
      </c>
      <c r="C279">
        <v>1.0660000000000001</v>
      </c>
    </row>
    <row r="280" spans="1:3">
      <c r="A280" t="s">
        <v>288</v>
      </c>
      <c r="B280" t="s">
        <v>1131</v>
      </c>
      <c r="C280">
        <v>0.101024</v>
      </c>
    </row>
    <row r="281" spans="1:3">
      <c r="A281" t="s">
        <v>296</v>
      </c>
      <c r="B281" t="s">
        <v>1131</v>
      </c>
      <c r="C281">
        <v>0.14924000000000001</v>
      </c>
    </row>
    <row r="282" spans="1:3">
      <c r="A282" t="s">
        <v>345</v>
      </c>
      <c r="B282" t="s">
        <v>366</v>
      </c>
      <c r="C282">
        <v>92.476799999999997</v>
      </c>
    </row>
    <row r="283" spans="1:3">
      <c r="A283" t="s">
        <v>345</v>
      </c>
      <c r="B283" t="s">
        <v>1132</v>
      </c>
      <c r="C283">
        <v>20.191680000000002</v>
      </c>
    </row>
    <row r="284" spans="1:3">
      <c r="A284" t="s">
        <v>345</v>
      </c>
      <c r="B284" t="s">
        <v>368</v>
      </c>
      <c r="C284">
        <v>84.29616</v>
      </c>
    </row>
    <row r="285" spans="1:3">
      <c r="A285" t="s">
        <v>360</v>
      </c>
      <c r="B285" t="s">
        <v>366</v>
      </c>
      <c r="C285">
        <v>294.76979999999998</v>
      </c>
    </row>
    <row r="286" spans="1:3">
      <c r="A286" t="s">
        <v>360</v>
      </c>
      <c r="B286" t="s">
        <v>1132</v>
      </c>
      <c r="C286">
        <v>56.789099999999998</v>
      </c>
    </row>
    <row r="287" spans="1:3">
      <c r="A287" t="s">
        <v>360</v>
      </c>
      <c r="B287" t="s">
        <v>368</v>
      </c>
      <c r="C287">
        <v>126.44423999999999</v>
      </c>
    </row>
    <row r="288" spans="1:3">
      <c r="A288" t="s">
        <v>347</v>
      </c>
      <c r="B288" t="s">
        <v>366</v>
      </c>
      <c r="C288">
        <v>147.96288000000001</v>
      </c>
    </row>
    <row r="289" spans="1:3">
      <c r="A289" t="s">
        <v>347</v>
      </c>
      <c r="B289" t="s">
        <v>1132</v>
      </c>
      <c r="C289">
        <v>32.306688000000001</v>
      </c>
    </row>
    <row r="290" spans="1:3">
      <c r="A290" t="s">
        <v>347</v>
      </c>
      <c r="B290" t="s">
        <v>368</v>
      </c>
      <c r="C290">
        <v>134.87385599999999</v>
      </c>
    </row>
    <row r="291" spans="1:3">
      <c r="A291" t="s">
        <v>362</v>
      </c>
      <c r="B291" t="s">
        <v>366</v>
      </c>
      <c r="C291">
        <v>471.63168000000002</v>
      </c>
    </row>
    <row r="292" spans="1:3">
      <c r="A292" t="s">
        <v>362</v>
      </c>
      <c r="B292" t="s">
        <v>1132</v>
      </c>
      <c r="C292">
        <v>90.862560000000002</v>
      </c>
    </row>
    <row r="293" spans="1:3">
      <c r="A293" t="s">
        <v>362</v>
      </c>
      <c r="B293" t="s">
        <v>368</v>
      </c>
      <c r="C293">
        <v>202.31078400000001</v>
      </c>
    </row>
    <row r="294" spans="1:3">
      <c r="A294" t="s">
        <v>346</v>
      </c>
      <c r="B294" t="s">
        <v>366</v>
      </c>
      <c r="C294">
        <v>123.30240000000001</v>
      </c>
    </row>
    <row r="295" spans="1:3">
      <c r="A295" t="s">
        <v>346</v>
      </c>
      <c r="B295" t="s">
        <v>1132</v>
      </c>
      <c r="C295">
        <v>26.922239999999999</v>
      </c>
    </row>
    <row r="296" spans="1:3">
      <c r="A296" t="s">
        <v>346</v>
      </c>
      <c r="B296" t="s">
        <v>368</v>
      </c>
      <c r="C296">
        <v>112.39488</v>
      </c>
    </row>
    <row r="297" spans="1:3">
      <c r="A297" t="s">
        <v>361</v>
      </c>
      <c r="B297" t="s">
        <v>366</v>
      </c>
      <c r="C297">
        <v>393.02640000000002</v>
      </c>
    </row>
    <row r="298" spans="1:3">
      <c r="A298" t="s">
        <v>361</v>
      </c>
      <c r="B298" t="s">
        <v>1132</v>
      </c>
      <c r="C298">
        <v>75.718800000000002</v>
      </c>
    </row>
    <row r="299" spans="1:3">
      <c r="A299" t="s">
        <v>361</v>
      </c>
      <c r="B299" t="s">
        <v>368</v>
      </c>
      <c r="C299">
        <v>168.59232</v>
      </c>
    </row>
    <row r="300" spans="1:3">
      <c r="A300" t="s">
        <v>363</v>
      </c>
      <c r="B300" t="s">
        <v>366</v>
      </c>
      <c r="C300">
        <v>628.84223999999995</v>
      </c>
    </row>
    <row r="301" spans="1:3">
      <c r="A301" t="s">
        <v>363</v>
      </c>
      <c r="B301" t="s">
        <v>1132</v>
      </c>
      <c r="C301">
        <v>121.15008</v>
      </c>
    </row>
    <row r="302" spans="1:3">
      <c r="A302" t="s">
        <v>363</v>
      </c>
      <c r="B302" t="s">
        <v>368</v>
      </c>
      <c r="C302">
        <v>269.74771199999998</v>
      </c>
    </row>
    <row r="303" spans="1:3">
      <c r="A303" t="s">
        <v>337</v>
      </c>
      <c r="B303" t="s">
        <v>366</v>
      </c>
      <c r="C303">
        <v>1.54128</v>
      </c>
    </row>
    <row r="304" spans="1:3">
      <c r="A304" t="s">
        <v>337</v>
      </c>
      <c r="B304" t="s">
        <v>1132</v>
      </c>
      <c r="C304">
        <v>0.33652799999999999</v>
      </c>
    </row>
    <row r="305" spans="1:3">
      <c r="A305" t="s">
        <v>337</v>
      </c>
      <c r="B305" t="s">
        <v>368</v>
      </c>
      <c r="C305">
        <v>1.404936</v>
      </c>
    </row>
    <row r="306" spans="1:3">
      <c r="A306" t="s">
        <v>352</v>
      </c>
      <c r="B306" t="s">
        <v>366</v>
      </c>
      <c r="C306">
        <v>4.9128299999999996</v>
      </c>
    </row>
    <row r="307" spans="1:3">
      <c r="A307" t="s">
        <v>352</v>
      </c>
      <c r="B307" t="s">
        <v>1132</v>
      </c>
      <c r="C307">
        <v>0.94648500000000002</v>
      </c>
    </row>
    <row r="308" spans="1:3">
      <c r="A308" t="s">
        <v>352</v>
      </c>
      <c r="B308" t="s">
        <v>368</v>
      </c>
      <c r="C308">
        <v>2.1074039999999998</v>
      </c>
    </row>
    <row r="309" spans="1:3">
      <c r="A309" t="s">
        <v>338</v>
      </c>
      <c r="B309" t="s">
        <v>366</v>
      </c>
      <c r="C309">
        <v>2.1577920000000002</v>
      </c>
    </row>
    <row r="310" spans="1:3">
      <c r="A310" t="s">
        <v>338</v>
      </c>
      <c r="B310" t="s">
        <v>1132</v>
      </c>
      <c r="C310">
        <v>0.47113919999999998</v>
      </c>
    </row>
    <row r="311" spans="1:3">
      <c r="A311" t="s">
        <v>338</v>
      </c>
      <c r="B311" t="s">
        <v>368</v>
      </c>
      <c r="C311">
        <v>1.9669103999999999</v>
      </c>
    </row>
    <row r="312" spans="1:3">
      <c r="A312" t="s">
        <v>353</v>
      </c>
      <c r="B312" t="s">
        <v>366</v>
      </c>
      <c r="C312">
        <v>6.8779620000000001</v>
      </c>
    </row>
    <row r="313" spans="1:3">
      <c r="A313" t="s">
        <v>353</v>
      </c>
      <c r="B313" t="s">
        <v>1132</v>
      </c>
      <c r="C313">
        <v>1.3250789999999999</v>
      </c>
    </row>
    <row r="314" spans="1:3">
      <c r="A314" t="s">
        <v>353</v>
      </c>
      <c r="B314" t="s">
        <v>368</v>
      </c>
      <c r="C314">
        <v>2.9503656</v>
      </c>
    </row>
    <row r="315" spans="1:3">
      <c r="A315" t="s">
        <v>339</v>
      </c>
      <c r="B315" t="s">
        <v>366</v>
      </c>
      <c r="C315">
        <v>2.4660479999999998</v>
      </c>
    </row>
    <row r="316" spans="1:3">
      <c r="A316" t="s">
        <v>339</v>
      </c>
      <c r="B316" t="s">
        <v>1132</v>
      </c>
      <c r="C316">
        <v>0.53844479999999995</v>
      </c>
    </row>
    <row r="317" spans="1:3">
      <c r="A317" t="s">
        <v>339</v>
      </c>
      <c r="B317" t="s">
        <v>368</v>
      </c>
      <c r="C317">
        <v>2.2478975999999999</v>
      </c>
    </row>
    <row r="318" spans="1:3">
      <c r="A318" t="s">
        <v>354</v>
      </c>
      <c r="B318" t="s">
        <v>366</v>
      </c>
      <c r="C318">
        <v>7.8605280000000004</v>
      </c>
    </row>
    <row r="319" spans="1:3">
      <c r="A319" t="s">
        <v>354</v>
      </c>
      <c r="B319" t="s">
        <v>1132</v>
      </c>
      <c r="C319">
        <v>1.5143759999999999</v>
      </c>
    </row>
    <row r="320" spans="1:3">
      <c r="A320" t="s">
        <v>354</v>
      </c>
      <c r="B320" t="s">
        <v>368</v>
      </c>
      <c r="C320">
        <v>3.3718463999999999</v>
      </c>
    </row>
    <row r="321" spans="1:3">
      <c r="A321" t="s">
        <v>334</v>
      </c>
      <c r="B321" t="s">
        <v>366</v>
      </c>
      <c r="C321">
        <v>0.30825599999999997</v>
      </c>
    </row>
    <row r="322" spans="1:3">
      <c r="A322" t="s">
        <v>334</v>
      </c>
      <c r="B322" t="s">
        <v>1132</v>
      </c>
      <c r="C322">
        <v>6.7305599999999993E-2</v>
      </c>
    </row>
    <row r="323" spans="1:3">
      <c r="A323" t="s">
        <v>334</v>
      </c>
      <c r="B323" t="s">
        <v>368</v>
      </c>
      <c r="C323">
        <v>0.28098719999999999</v>
      </c>
    </row>
    <row r="324" spans="1:3">
      <c r="A324" t="s">
        <v>349</v>
      </c>
      <c r="B324" t="s">
        <v>366</v>
      </c>
      <c r="C324">
        <v>0.98256600000000005</v>
      </c>
    </row>
    <row r="325" spans="1:3">
      <c r="A325" t="s">
        <v>349</v>
      </c>
      <c r="B325" t="s">
        <v>1132</v>
      </c>
      <c r="C325">
        <v>0.18929699999999999</v>
      </c>
    </row>
    <row r="326" spans="1:3">
      <c r="A326" t="s">
        <v>349</v>
      </c>
      <c r="B326" t="s">
        <v>368</v>
      </c>
      <c r="C326">
        <v>0.42148079999999999</v>
      </c>
    </row>
    <row r="327" spans="1:3">
      <c r="A327" t="s">
        <v>340</v>
      </c>
      <c r="B327" t="s">
        <v>366</v>
      </c>
      <c r="C327">
        <v>3.08256</v>
      </c>
    </row>
    <row r="328" spans="1:3">
      <c r="A328" t="s">
        <v>340</v>
      </c>
      <c r="B328" t="s">
        <v>1132</v>
      </c>
      <c r="C328">
        <v>0.67305599999999999</v>
      </c>
    </row>
    <row r="329" spans="1:3">
      <c r="A329" t="s">
        <v>340</v>
      </c>
      <c r="B329" t="s">
        <v>368</v>
      </c>
      <c r="C329">
        <v>2.8098719999999999</v>
      </c>
    </row>
    <row r="330" spans="1:3">
      <c r="A330" t="s">
        <v>355</v>
      </c>
      <c r="B330" t="s">
        <v>366</v>
      </c>
      <c r="C330">
        <v>9.8256599999999992</v>
      </c>
    </row>
    <row r="331" spans="1:3">
      <c r="A331" t="s">
        <v>355</v>
      </c>
      <c r="B331" t="s">
        <v>1132</v>
      </c>
      <c r="C331">
        <v>1.89297</v>
      </c>
    </row>
    <row r="332" spans="1:3">
      <c r="A332" t="s">
        <v>355</v>
      </c>
      <c r="B332" t="s">
        <v>368</v>
      </c>
      <c r="C332">
        <v>4.2148079999999997</v>
      </c>
    </row>
    <row r="333" spans="1:3">
      <c r="A333" t="s">
        <v>341</v>
      </c>
      <c r="B333" t="s">
        <v>366</v>
      </c>
      <c r="C333">
        <v>4.6238400000000004</v>
      </c>
    </row>
    <row r="334" spans="1:3">
      <c r="A334" t="s">
        <v>341</v>
      </c>
      <c r="B334" t="s">
        <v>1132</v>
      </c>
      <c r="C334">
        <v>1.009584</v>
      </c>
    </row>
    <row r="335" spans="1:3">
      <c r="A335" t="s">
        <v>341</v>
      </c>
      <c r="B335" t="s">
        <v>368</v>
      </c>
      <c r="C335">
        <v>4.2148079999999997</v>
      </c>
    </row>
    <row r="336" spans="1:3">
      <c r="A336" t="s">
        <v>356</v>
      </c>
      <c r="B336" t="s">
        <v>366</v>
      </c>
      <c r="C336">
        <v>14.738490000000001</v>
      </c>
    </row>
    <row r="337" spans="1:3">
      <c r="A337" t="s">
        <v>356</v>
      </c>
      <c r="B337" t="s">
        <v>1132</v>
      </c>
      <c r="C337">
        <v>2.8394550000000001</v>
      </c>
    </row>
    <row r="338" spans="1:3">
      <c r="A338" t="s">
        <v>356</v>
      </c>
      <c r="B338" t="s">
        <v>368</v>
      </c>
      <c r="C338">
        <v>6.3222120000000004</v>
      </c>
    </row>
    <row r="339" spans="1:3">
      <c r="A339" t="s">
        <v>342</v>
      </c>
      <c r="B339" t="s">
        <v>366</v>
      </c>
      <c r="C339">
        <v>6.1651199999999999</v>
      </c>
    </row>
    <row r="340" spans="1:3">
      <c r="A340" t="s">
        <v>342</v>
      </c>
      <c r="B340" t="s">
        <v>1132</v>
      </c>
      <c r="C340">
        <v>1.346112</v>
      </c>
    </row>
    <row r="341" spans="1:3">
      <c r="A341" t="s">
        <v>342</v>
      </c>
      <c r="B341" t="s">
        <v>368</v>
      </c>
      <c r="C341">
        <v>5.6197439999999999</v>
      </c>
    </row>
    <row r="342" spans="1:3">
      <c r="A342" t="s">
        <v>357</v>
      </c>
      <c r="B342" t="s">
        <v>366</v>
      </c>
      <c r="C342">
        <v>19.651319999999998</v>
      </c>
    </row>
    <row r="343" spans="1:3">
      <c r="A343" t="s">
        <v>357</v>
      </c>
      <c r="B343" t="s">
        <v>1132</v>
      </c>
      <c r="C343">
        <v>3.7859400000000001</v>
      </c>
    </row>
    <row r="344" spans="1:3">
      <c r="A344" t="s">
        <v>357</v>
      </c>
      <c r="B344" t="s">
        <v>368</v>
      </c>
      <c r="C344">
        <v>8.4296159999999993</v>
      </c>
    </row>
    <row r="345" spans="1:3">
      <c r="A345" t="s">
        <v>335</v>
      </c>
      <c r="B345" t="s">
        <v>366</v>
      </c>
      <c r="C345">
        <v>0.77063999999999999</v>
      </c>
    </row>
    <row r="346" spans="1:3">
      <c r="A346" t="s">
        <v>335</v>
      </c>
      <c r="B346" t="s">
        <v>1132</v>
      </c>
      <c r="C346">
        <v>0.168264</v>
      </c>
    </row>
    <row r="347" spans="1:3">
      <c r="A347" t="s">
        <v>335</v>
      </c>
      <c r="B347" t="s">
        <v>368</v>
      </c>
      <c r="C347">
        <v>0.70246799999999998</v>
      </c>
    </row>
    <row r="348" spans="1:3">
      <c r="A348" t="s">
        <v>350</v>
      </c>
      <c r="B348" t="s">
        <v>366</v>
      </c>
      <c r="C348">
        <v>2.4564149999999998</v>
      </c>
    </row>
    <row r="349" spans="1:3">
      <c r="A349" t="s">
        <v>350</v>
      </c>
      <c r="B349" t="s">
        <v>1132</v>
      </c>
      <c r="C349">
        <v>0.47324250000000001</v>
      </c>
    </row>
    <row r="350" spans="1:3">
      <c r="A350" t="s">
        <v>350</v>
      </c>
      <c r="B350" t="s">
        <v>368</v>
      </c>
      <c r="C350">
        <v>1.0537019999999999</v>
      </c>
    </row>
    <row r="351" spans="1:3">
      <c r="A351" t="s">
        <v>343</v>
      </c>
      <c r="B351" t="s">
        <v>366</v>
      </c>
      <c r="C351">
        <v>7.7064000000000004</v>
      </c>
    </row>
    <row r="352" spans="1:3">
      <c r="A352" t="s">
        <v>343</v>
      </c>
      <c r="B352" t="s">
        <v>1132</v>
      </c>
      <c r="C352">
        <v>1.6826399999999999</v>
      </c>
    </row>
    <row r="353" spans="1:3">
      <c r="A353" t="s">
        <v>343</v>
      </c>
      <c r="B353" t="s">
        <v>368</v>
      </c>
      <c r="C353">
        <v>7.02468</v>
      </c>
    </row>
    <row r="354" spans="1:3">
      <c r="A354" t="s">
        <v>358</v>
      </c>
      <c r="B354" t="s">
        <v>366</v>
      </c>
      <c r="C354">
        <v>24.564150000000001</v>
      </c>
    </row>
    <row r="355" spans="1:3">
      <c r="A355" t="s">
        <v>358</v>
      </c>
      <c r="B355" t="s">
        <v>1132</v>
      </c>
      <c r="C355">
        <v>4.7324250000000001</v>
      </c>
    </row>
    <row r="356" spans="1:3">
      <c r="A356" t="s">
        <v>358</v>
      </c>
      <c r="B356" t="s">
        <v>368</v>
      </c>
      <c r="C356">
        <v>10.53702</v>
      </c>
    </row>
    <row r="357" spans="1:3">
      <c r="A357" t="s">
        <v>336</v>
      </c>
      <c r="B357" t="s">
        <v>366</v>
      </c>
      <c r="C357">
        <v>1.0788960000000001</v>
      </c>
    </row>
    <row r="358" spans="1:3">
      <c r="A358" t="s">
        <v>336</v>
      </c>
      <c r="B358" t="s">
        <v>1132</v>
      </c>
      <c r="C358">
        <v>0.23556959999999999</v>
      </c>
    </row>
    <row r="359" spans="1:3">
      <c r="A359" t="s">
        <v>336</v>
      </c>
      <c r="B359" t="s">
        <v>368</v>
      </c>
      <c r="C359">
        <v>0.98345519999999997</v>
      </c>
    </row>
    <row r="360" spans="1:3">
      <c r="A360" t="s">
        <v>351</v>
      </c>
      <c r="B360" t="s">
        <v>366</v>
      </c>
      <c r="C360">
        <v>3.4389810000000001</v>
      </c>
    </row>
    <row r="361" spans="1:3">
      <c r="A361" t="s">
        <v>351</v>
      </c>
      <c r="B361" t="s">
        <v>1132</v>
      </c>
      <c r="C361">
        <v>0.66253949999999995</v>
      </c>
    </row>
    <row r="362" spans="1:3">
      <c r="A362" t="s">
        <v>351</v>
      </c>
      <c r="B362" t="s">
        <v>368</v>
      </c>
      <c r="C362">
        <v>1.4751828</v>
      </c>
    </row>
    <row r="363" spans="1:3">
      <c r="A363" t="s">
        <v>344</v>
      </c>
      <c r="B363" t="s">
        <v>366</v>
      </c>
      <c r="C363">
        <v>12.33024</v>
      </c>
    </row>
    <row r="364" spans="1:3">
      <c r="A364" t="s">
        <v>344</v>
      </c>
      <c r="B364" t="s">
        <v>1132</v>
      </c>
      <c r="C364">
        <v>2.692224</v>
      </c>
    </row>
    <row r="365" spans="1:3">
      <c r="A365" t="s">
        <v>344</v>
      </c>
      <c r="B365" t="s">
        <v>368</v>
      </c>
      <c r="C365">
        <v>11.239488</v>
      </c>
    </row>
    <row r="366" spans="1:3">
      <c r="A366" t="s">
        <v>359</v>
      </c>
      <c r="B366" t="s">
        <v>366</v>
      </c>
      <c r="C366">
        <v>39.302639999999997</v>
      </c>
    </row>
    <row r="367" spans="1:3">
      <c r="A367" t="s">
        <v>359</v>
      </c>
      <c r="B367" t="s">
        <v>1132</v>
      </c>
      <c r="C367">
        <v>7.5718800000000002</v>
      </c>
    </row>
    <row r="368" spans="1:3">
      <c r="A368" t="s">
        <v>359</v>
      </c>
      <c r="B368" t="s">
        <v>368</v>
      </c>
      <c r="C368">
        <v>16.859231999999999</v>
      </c>
    </row>
    <row r="369" spans="1:3">
      <c r="A369" t="s">
        <v>348</v>
      </c>
      <c r="B369" t="s">
        <v>366</v>
      </c>
      <c r="C369">
        <v>197.28384</v>
      </c>
    </row>
    <row r="370" spans="1:3">
      <c r="A370" t="s">
        <v>348</v>
      </c>
      <c r="B370" t="s">
        <v>1132</v>
      </c>
      <c r="C370">
        <v>43.075583999999999</v>
      </c>
    </row>
    <row r="371" spans="1:3">
      <c r="A371" t="s">
        <v>348</v>
      </c>
      <c r="B371" t="s">
        <v>368</v>
      </c>
      <c r="C371">
        <v>179.831808</v>
      </c>
    </row>
    <row r="372" spans="1:3">
      <c r="A372" t="s">
        <v>266</v>
      </c>
      <c r="B372" t="s">
        <v>370</v>
      </c>
      <c r="C372">
        <v>5.4282240000000002</v>
      </c>
    </row>
    <row r="373" spans="1:3">
      <c r="A373" t="s">
        <v>266</v>
      </c>
      <c r="B373" t="s">
        <v>368</v>
      </c>
      <c r="C373">
        <v>131.05152000000001</v>
      </c>
    </row>
    <row r="374" spans="1:3">
      <c r="A374" t="s">
        <v>270</v>
      </c>
      <c r="B374" t="s">
        <v>370</v>
      </c>
      <c r="C374">
        <v>8.1423360000000002</v>
      </c>
    </row>
    <row r="375" spans="1:3">
      <c r="A375" t="s">
        <v>270</v>
      </c>
      <c r="B375" t="s">
        <v>368</v>
      </c>
      <c r="C375">
        <v>196.57728</v>
      </c>
    </row>
    <row r="376" spans="1:3">
      <c r="A376" t="s">
        <v>267</v>
      </c>
      <c r="B376" t="s">
        <v>370</v>
      </c>
      <c r="C376">
        <v>7.2376319999999996</v>
      </c>
    </row>
    <row r="377" spans="1:3">
      <c r="A377" t="s">
        <v>267</v>
      </c>
      <c r="B377" t="s">
        <v>368</v>
      </c>
      <c r="C377">
        <v>174.73535999999999</v>
      </c>
    </row>
    <row r="378" spans="1:3">
      <c r="A378" t="s">
        <v>271</v>
      </c>
      <c r="B378" t="s">
        <v>370</v>
      </c>
      <c r="C378">
        <v>10.856448</v>
      </c>
    </row>
    <row r="379" spans="1:3">
      <c r="A379" t="s">
        <v>271</v>
      </c>
      <c r="B379" t="s">
        <v>368</v>
      </c>
      <c r="C379">
        <v>262.10304000000002</v>
      </c>
    </row>
    <row r="380" spans="1:3">
      <c r="A380" t="s">
        <v>262</v>
      </c>
      <c r="B380" t="s">
        <v>370</v>
      </c>
      <c r="C380">
        <v>0.27141120000000002</v>
      </c>
    </row>
    <row r="381" spans="1:3">
      <c r="A381" t="s">
        <v>262</v>
      </c>
      <c r="B381" t="s">
        <v>368</v>
      </c>
      <c r="C381">
        <v>6.5525760000000002</v>
      </c>
    </row>
    <row r="382" spans="1:3">
      <c r="A382" t="s">
        <v>264</v>
      </c>
      <c r="B382" t="s">
        <v>370</v>
      </c>
      <c r="C382">
        <v>0.36188160000000003</v>
      </c>
    </row>
    <row r="383" spans="1:3">
      <c r="A383" t="s">
        <v>264</v>
      </c>
      <c r="B383" t="s">
        <v>368</v>
      </c>
      <c r="C383">
        <v>8.7367679999999996</v>
      </c>
    </row>
    <row r="384" spans="1:3">
      <c r="A384" t="s">
        <v>268</v>
      </c>
      <c r="B384" t="s">
        <v>370</v>
      </c>
      <c r="C384">
        <v>0.54282240000000004</v>
      </c>
    </row>
    <row r="385" spans="1:3">
      <c r="A385" t="s">
        <v>268</v>
      </c>
      <c r="B385" t="s">
        <v>368</v>
      </c>
      <c r="C385">
        <v>13.105152</v>
      </c>
    </row>
    <row r="386" spans="1:3">
      <c r="A386" t="s">
        <v>263</v>
      </c>
      <c r="B386" t="s">
        <v>370</v>
      </c>
      <c r="C386">
        <v>0.33926400000000001</v>
      </c>
    </row>
    <row r="387" spans="1:3">
      <c r="A387" t="s">
        <v>263</v>
      </c>
      <c r="B387" t="s">
        <v>368</v>
      </c>
      <c r="C387">
        <v>8.1907200000000007</v>
      </c>
    </row>
    <row r="388" spans="1:3">
      <c r="A388" t="s">
        <v>265</v>
      </c>
      <c r="B388" t="s">
        <v>370</v>
      </c>
      <c r="C388">
        <v>0.45235199999999998</v>
      </c>
    </row>
    <row r="389" spans="1:3">
      <c r="A389" t="s">
        <v>265</v>
      </c>
      <c r="B389" t="s">
        <v>368</v>
      </c>
      <c r="C389">
        <v>10.920959999999999</v>
      </c>
    </row>
    <row r="390" spans="1:3">
      <c r="A390" t="s">
        <v>269</v>
      </c>
      <c r="B390" t="s">
        <v>370</v>
      </c>
      <c r="C390">
        <v>0.67852800000000002</v>
      </c>
    </row>
    <row r="391" spans="1:3">
      <c r="A391" t="s">
        <v>269</v>
      </c>
      <c r="B391" t="s">
        <v>368</v>
      </c>
      <c r="C391">
        <v>16.381440000000001</v>
      </c>
    </row>
    <row r="392" spans="1:3">
      <c r="A392" t="s">
        <v>274</v>
      </c>
      <c r="B392" t="s">
        <v>1131</v>
      </c>
      <c r="C392">
        <v>7.79E-3</v>
      </c>
    </row>
    <row r="393" spans="1:3">
      <c r="A393" t="s">
        <v>274</v>
      </c>
      <c r="B393" t="s">
        <v>368</v>
      </c>
      <c r="C393">
        <v>2.138925</v>
      </c>
    </row>
    <row r="394" spans="1:3">
      <c r="A394" t="s">
        <v>282</v>
      </c>
      <c r="B394" t="s">
        <v>1131</v>
      </c>
      <c r="C394">
        <v>1.1684999999999999E-2</v>
      </c>
    </row>
    <row r="395" spans="1:3">
      <c r="A395" t="s">
        <v>282</v>
      </c>
      <c r="B395" t="s">
        <v>368</v>
      </c>
      <c r="C395">
        <v>3.2083875000000002</v>
      </c>
    </row>
    <row r="396" spans="1:3">
      <c r="A396" t="s">
        <v>275</v>
      </c>
      <c r="B396" t="s">
        <v>1131</v>
      </c>
      <c r="C396">
        <v>1.0906000000000001E-2</v>
      </c>
    </row>
    <row r="397" spans="1:3">
      <c r="A397" t="s">
        <v>275</v>
      </c>
      <c r="B397" t="s">
        <v>368</v>
      </c>
      <c r="C397">
        <v>2.9944950000000001</v>
      </c>
    </row>
    <row r="398" spans="1:3">
      <c r="A398" t="s">
        <v>283</v>
      </c>
      <c r="B398" t="s">
        <v>1131</v>
      </c>
      <c r="C398">
        <v>1.6358999999999999E-2</v>
      </c>
    </row>
    <row r="399" spans="1:3">
      <c r="A399" t="s">
        <v>283</v>
      </c>
      <c r="B399" t="s">
        <v>368</v>
      </c>
      <c r="C399">
        <v>4.4917425</v>
      </c>
    </row>
    <row r="400" spans="1:3">
      <c r="A400" t="s">
        <v>276</v>
      </c>
      <c r="B400" t="s">
        <v>1131</v>
      </c>
      <c r="C400">
        <v>1.558E-2</v>
      </c>
    </row>
    <row r="401" spans="1:3">
      <c r="A401" t="s">
        <v>276</v>
      </c>
      <c r="B401" t="s">
        <v>368</v>
      </c>
      <c r="C401">
        <v>4.2778499999999999</v>
      </c>
    </row>
    <row r="402" spans="1:3">
      <c r="A402" t="s">
        <v>284</v>
      </c>
      <c r="B402" t="s">
        <v>1131</v>
      </c>
      <c r="C402">
        <v>2.3369999999999998E-2</v>
      </c>
    </row>
    <row r="403" spans="1:3">
      <c r="A403" t="s">
        <v>284</v>
      </c>
      <c r="B403" t="s">
        <v>368</v>
      </c>
      <c r="C403">
        <v>6.4167750000000003</v>
      </c>
    </row>
    <row r="404" spans="1:3">
      <c r="A404" t="s">
        <v>277</v>
      </c>
      <c r="B404" t="s">
        <v>1131</v>
      </c>
      <c r="C404">
        <v>2.3369999999999998E-2</v>
      </c>
    </row>
    <row r="405" spans="1:3">
      <c r="A405" t="s">
        <v>277</v>
      </c>
      <c r="B405" t="s">
        <v>368</v>
      </c>
      <c r="C405">
        <v>6.4167750000000003</v>
      </c>
    </row>
    <row r="406" spans="1:3">
      <c r="A406" t="s">
        <v>285</v>
      </c>
      <c r="B406" t="s">
        <v>1131</v>
      </c>
      <c r="C406">
        <v>3.5055000000000003E-2</v>
      </c>
    </row>
    <row r="407" spans="1:3">
      <c r="A407" t="s">
        <v>285</v>
      </c>
      <c r="B407" t="s">
        <v>368</v>
      </c>
      <c r="C407">
        <v>9.6251625000000001</v>
      </c>
    </row>
    <row r="408" spans="1:3">
      <c r="A408" t="s">
        <v>278</v>
      </c>
      <c r="B408" t="s">
        <v>1131</v>
      </c>
      <c r="C408">
        <v>3.116E-2</v>
      </c>
    </row>
    <row r="409" spans="1:3">
      <c r="A409" t="s">
        <v>278</v>
      </c>
      <c r="B409" t="s">
        <v>368</v>
      </c>
      <c r="C409">
        <v>8.5556999999999999</v>
      </c>
    </row>
    <row r="410" spans="1:3">
      <c r="A410" t="s">
        <v>286</v>
      </c>
      <c r="B410" t="s">
        <v>1131</v>
      </c>
      <c r="C410">
        <v>5.8424999999999998E-2</v>
      </c>
    </row>
    <row r="411" spans="1:3">
      <c r="A411" t="s">
        <v>286</v>
      </c>
      <c r="B411" t="s">
        <v>368</v>
      </c>
      <c r="C411">
        <v>16.0419375</v>
      </c>
    </row>
    <row r="412" spans="1:3">
      <c r="A412" t="s">
        <v>272</v>
      </c>
      <c r="B412" t="s">
        <v>1131</v>
      </c>
      <c r="C412">
        <v>3.895E-3</v>
      </c>
    </row>
    <row r="413" spans="1:3">
      <c r="A413" t="s">
        <v>272</v>
      </c>
      <c r="B413" t="s">
        <v>368</v>
      </c>
      <c r="C413">
        <v>1.0694625</v>
      </c>
    </row>
    <row r="414" spans="1:3">
      <c r="A414" t="s">
        <v>280</v>
      </c>
      <c r="B414" t="s">
        <v>1131</v>
      </c>
      <c r="C414">
        <v>5.8424999999999996E-3</v>
      </c>
    </row>
    <row r="415" spans="1:3">
      <c r="A415" t="s">
        <v>280</v>
      </c>
      <c r="B415" t="s">
        <v>368</v>
      </c>
      <c r="C415">
        <v>1.6041937500000001</v>
      </c>
    </row>
    <row r="416" spans="1:3">
      <c r="A416" t="s">
        <v>279</v>
      </c>
      <c r="B416" t="s">
        <v>1131</v>
      </c>
      <c r="C416">
        <v>3.8949999999999999E-2</v>
      </c>
    </row>
    <row r="417" spans="1:3">
      <c r="A417" t="s">
        <v>279</v>
      </c>
      <c r="B417" t="s">
        <v>368</v>
      </c>
      <c r="C417">
        <v>10.694625</v>
      </c>
    </row>
    <row r="418" spans="1:3">
      <c r="A418" t="s">
        <v>273</v>
      </c>
      <c r="B418" t="s">
        <v>1131</v>
      </c>
      <c r="C418">
        <v>5.4530000000000004E-3</v>
      </c>
    </row>
    <row r="419" spans="1:3">
      <c r="A419" t="s">
        <v>273</v>
      </c>
      <c r="B419" t="s">
        <v>368</v>
      </c>
      <c r="C419">
        <v>1.4972475000000001</v>
      </c>
    </row>
    <row r="420" spans="1:3">
      <c r="A420" t="s">
        <v>281</v>
      </c>
      <c r="B420" t="s">
        <v>1131</v>
      </c>
      <c r="C420">
        <v>8.1794999999999993E-3</v>
      </c>
    </row>
    <row r="421" spans="1:3">
      <c r="A421" t="s">
        <v>281</v>
      </c>
      <c r="B421" t="s">
        <v>368</v>
      </c>
      <c r="C421">
        <v>2.24587125</v>
      </c>
    </row>
    <row r="422" spans="1:3">
      <c r="A422" t="s">
        <v>83</v>
      </c>
      <c r="B422" t="s">
        <v>366</v>
      </c>
      <c r="C422">
        <v>196.51320000000001</v>
      </c>
    </row>
    <row r="423" spans="1:3">
      <c r="A423" t="s">
        <v>83</v>
      </c>
      <c r="B423" t="s">
        <v>1132</v>
      </c>
      <c r="C423">
        <v>37.859400000000001</v>
      </c>
    </row>
    <row r="424" spans="1:3">
      <c r="A424" t="s">
        <v>98</v>
      </c>
      <c r="B424" t="s">
        <v>366</v>
      </c>
      <c r="C424">
        <v>294.76979999999998</v>
      </c>
    </row>
    <row r="425" spans="1:3">
      <c r="A425" t="s">
        <v>98</v>
      </c>
      <c r="B425" t="s">
        <v>1132</v>
      </c>
      <c r="C425">
        <v>56.789099999999998</v>
      </c>
    </row>
    <row r="426" spans="1:3">
      <c r="A426" t="s">
        <v>85</v>
      </c>
      <c r="B426" t="s">
        <v>366</v>
      </c>
      <c r="C426">
        <v>314.42111999999997</v>
      </c>
    </row>
    <row r="427" spans="1:3">
      <c r="A427" t="s">
        <v>85</v>
      </c>
      <c r="B427" t="s">
        <v>1132</v>
      </c>
      <c r="C427">
        <v>60.575040000000001</v>
      </c>
    </row>
    <row r="428" spans="1:3">
      <c r="A428" t="s">
        <v>100</v>
      </c>
      <c r="B428" t="s">
        <v>366</v>
      </c>
      <c r="C428">
        <v>471.63168000000002</v>
      </c>
    </row>
    <row r="429" spans="1:3">
      <c r="A429" t="s">
        <v>100</v>
      </c>
      <c r="B429" t="s">
        <v>1132</v>
      </c>
      <c r="C429">
        <v>90.862560000000002</v>
      </c>
    </row>
    <row r="430" spans="1:3">
      <c r="A430" t="s">
        <v>84</v>
      </c>
      <c r="B430" t="s">
        <v>366</v>
      </c>
      <c r="C430">
        <v>262.01760000000002</v>
      </c>
    </row>
    <row r="431" spans="1:3">
      <c r="A431" t="s">
        <v>84</v>
      </c>
      <c r="B431" t="s">
        <v>1132</v>
      </c>
      <c r="C431">
        <v>50.479199999999999</v>
      </c>
    </row>
    <row r="432" spans="1:3">
      <c r="A432" t="s">
        <v>99</v>
      </c>
      <c r="B432" t="s">
        <v>366</v>
      </c>
      <c r="C432">
        <v>393.02640000000002</v>
      </c>
    </row>
    <row r="433" spans="1:3">
      <c r="A433" t="s">
        <v>99</v>
      </c>
      <c r="B433" t="s">
        <v>1132</v>
      </c>
      <c r="C433">
        <v>75.718800000000002</v>
      </c>
    </row>
    <row r="434" spans="1:3">
      <c r="A434" t="s">
        <v>86</v>
      </c>
      <c r="B434" t="s">
        <v>366</v>
      </c>
      <c r="C434">
        <v>419.22816</v>
      </c>
    </row>
    <row r="435" spans="1:3">
      <c r="A435" t="s">
        <v>86</v>
      </c>
      <c r="B435" t="s">
        <v>1132</v>
      </c>
      <c r="C435">
        <v>80.766720000000007</v>
      </c>
    </row>
    <row r="436" spans="1:3">
      <c r="A436" t="s">
        <v>101</v>
      </c>
      <c r="B436" t="s">
        <v>366</v>
      </c>
      <c r="C436">
        <v>628.84223999999995</v>
      </c>
    </row>
    <row r="437" spans="1:3">
      <c r="A437" t="s">
        <v>101</v>
      </c>
      <c r="B437" t="s">
        <v>1132</v>
      </c>
      <c r="C437">
        <v>121.15008</v>
      </c>
    </row>
    <row r="438" spans="1:3">
      <c r="A438" t="s">
        <v>75</v>
      </c>
      <c r="B438" t="s">
        <v>366</v>
      </c>
      <c r="C438">
        <v>3.27522</v>
      </c>
    </row>
    <row r="439" spans="1:3">
      <c r="A439" t="s">
        <v>75</v>
      </c>
      <c r="B439" t="s">
        <v>1132</v>
      </c>
      <c r="C439">
        <v>0.63099000000000005</v>
      </c>
    </row>
    <row r="440" spans="1:3">
      <c r="A440" t="s">
        <v>90</v>
      </c>
      <c r="B440" t="s">
        <v>366</v>
      </c>
      <c r="C440">
        <v>4.9128299999999996</v>
      </c>
    </row>
    <row r="441" spans="1:3">
      <c r="A441" t="s">
        <v>90</v>
      </c>
      <c r="B441" t="s">
        <v>1132</v>
      </c>
      <c r="C441">
        <v>0.94648500000000002</v>
      </c>
    </row>
    <row r="442" spans="1:3">
      <c r="A442" t="s">
        <v>76</v>
      </c>
      <c r="B442" t="s">
        <v>366</v>
      </c>
      <c r="C442">
        <v>4.5853080000000004</v>
      </c>
    </row>
    <row r="443" spans="1:3">
      <c r="A443" t="s">
        <v>76</v>
      </c>
      <c r="B443" t="s">
        <v>1132</v>
      </c>
      <c r="C443">
        <v>0.883386</v>
      </c>
    </row>
    <row r="444" spans="1:3">
      <c r="A444" t="s">
        <v>91</v>
      </c>
      <c r="B444" t="s">
        <v>366</v>
      </c>
      <c r="C444">
        <v>6.8779620000000001</v>
      </c>
    </row>
    <row r="445" spans="1:3">
      <c r="A445" t="s">
        <v>91</v>
      </c>
      <c r="B445" t="s">
        <v>1132</v>
      </c>
      <c r="C445">
        <v>1.3250789999999999</v>
      </c>
    </row>
    <row r="446" spans="1:3">
      <c r="A446" t="s">
        <v>77</v>
      </c>
      <c r="B446" t="s">
        <v>366</v>
      </c>
      <c r="C446">
        <v>5.2403519999999997</v>
      </c>
    </row>
    <row r="447" spans="1:3">
      <c r="A447" t="s">
        <v>77</v>
      </c>
      <c r="B447" t="s">
        <v>1132</v>
      </c>
      <c r="C447">
        <v>1.009584</v>
      </c>
    </row>
    <row r="448" spans="1:3">
      <c r="A448" t="s">
        <v>92</v>
      </c>
      <c r="B448" t="s">
        <v>366</v>
      </c>
      <c r="C448">
        <v>7.8605280000000004</v>
      </c>
    </row>
    <row r="449" spans="1:3">
      <c r="A449" t="s">
        <v>92</v>
      </c>
      <c r="B449" t="s">
        <v>1132</v>
      </c>
      <c r="C449">
        <v>1.5143759999999999</v>
      </c>
    </row>
    <row r="450" spans="1:3">
      <c r="A450" t="s">
        <v>72</v>
      </c>
      <c r="B450" t="s">
        <v>366</v>
      </c>
      <c r="C450">
        <v>0.65504399999999996</v>
      </c>
    </row>
    <row r="451" spans="1:3">
      <c r="A451" t="s">
        <v>72</v>
      </c>
      <c r="B451" t="s">
        <v>1132</v>
      </c>
      <c r="C451">
        <v>0.126198</v>
      </c>
    </row>
    <row r="452" spans="1:3">
      <c r="A452" t="s">
        <v>87</v>
      </c>
      <c r="B452" t="s">
        <v>366</v>
      </c>
      <c r="C452">
        <v>0.98256600000000005</v>
      </c>
    </row>
    <row r="453" spans="1:3">
      <c r="A453" t="s">
        <v>87</v>
      </c>
      <c r="B453" t="s">
        <v>1132</v>
      </c>
      <c r="C453">
        <v>0.18929699999999999</v>
      </c>
    </row>
    <row r="454" spans="1:3">
      <c r="A454" t="s">
        <v>78</v>
      </c>
      <c r="B454" t="s">
        <v>366</v>
      </c>
      <c r="C454">
        <v>6.55044</v>
      </c>
    </row>
    <row r="455" spans="1:3">
      <c r="A455" t="s">
        <v>78</v>
      </c>
      <c r="B455" t="s">
        <v>1132</v>
      </c>
      <c r="C455">
        <v>1.2619800000000001</v>
      </c>
    </row>
    <row r="456" spans="1:3">
      <c r="A456" t="s">
        <v>93</v>
      </c>
      <c r="B456" t="s">
        <v>366</v>
      </c>
      <c r="C456">
        <v>9.8256599999999992</v>
      </c>
    </row>
    <row r="457" spans="1:3">
      <c r="A457" t="s">
        <v>93</v>
      </c>
      <c r="B457" t="s">
        <v>1132</v>
      </c>
      <c r="C457">
        <v>1.89297</v>
      </c>
    </row>
    <row r="458" spans="1:3">
      <c r="A458" t="s">
        <v>79</v>
      </c>
      <c r="B458" t="s">
        <v>366</v>
      </c>
      <c r="C458">
        <v>9.8256599999999992</v>
      </c>
    </row>
    <row r="459" spans="1:3">
      <c r="A459" t="s">
        <v>79</v>
      </c>
      <c r="B459" t="s">
        <v>1132</v>
      </c>
      <c r="C459">
        <v>1.89297</v>
      </c>
    </row>
    <row r="460" spans="1:3">
      <c r="A460" t="s">
        <v>94</v>
      </c>
      <c r="B460" t="s">
        <v>366</v>
      </c>
      <c r="C460">
        <v>14.738490000000001</v>
      </c>
    </row>
    <row r="461" spans="1:3">
      <c r="A461" t="s">
        <v>94</v>
      </c>
      <c r="B461" t="s">
        <v>1132</v>
      </c>
      <c r="C461">
        <v>2.8394550000000001</v>
      </c>
    </row>
    <row r="462" spans="1:3">
      <c r="A462" t="s">
        <v>80</v>
      </c>
      <c r="B462" t="s">
        <v>366</v>
      </c>
      <c r="C462">
        <v>13.10088</v>
      </c>
    </row>
    <row r="463" spans="1:3">
      <c r="A463" t="s">
        <v>80</v>
      </c>
      <c r="B463" t="s">
        <v>1132</v>
      </c>
      <c r="C463">
        <v>2.5239600000000002</v>
      </c>
    </row>
    <row r="464" spans="1:3">
      <c r="A464" t="s">
        <v>95</v>
      </c>
      <c r="B464" t="s">
        <v>366</v>
      </c>
      <c r="C464">
        <v>19.651319999999998</v>
      </c>
    </row>
    <row r="465" spans="1:3">
      <c r="A465" t="s">
        <v>95</v>
      </c>
      <c r="B465" t="s">
        <v>1132</v>
      </c>
      <c r="C465">
        <v>3.7859400000000001</v>
      </c>
    </row>
    <row r="466" spans="1:3">
      <c r="A466" t="s">
        <v>73</v>
      </c>
      <c r="B466" t="s">
        <v>366</v>
      </c>
      <c r="C466">
        <v>1.63761</v>
      </c>
    </row>
    <row r="467" spans="1:3">
      <c r="A467" t="s">
        <v>73</v>
      </c>
      <c r="B467" t="s">
        <v>1132</v>
      </c>
      <c r="C467">
        <v>0.31549500000000003</v>
      </c>
    </row>
    <row r="468" spans="1:3">
      <c r="A468" t="s">
        <v>88</v>
      </c>
      <c r="B468" t="s">
        <v>366</v>
      </c>
      <c r="C468">
        <v>2.4564149999999998</v>
      </c>
    </row>
    <row r="469" spans="1:3">
      <c r="A469" t="s">
        <v>88</v>
      </c>
      <c r="B469" t="s">
        <v>1132</v>
      </c>
      <c r="C469">
        <v>0.47324250000000001</v>
      </c>
    </row>
    <row r="470" spans="1:3">
      <c r="A470" t="s">
        <v>81</v>
      </c>
      <c r="B470" t="s">
        <v>366</v>
      </c>
      <c r="C470">
        <v>16.376100000000001</v>
      </c>
    </row>
    <row r="471" spans="1:3">
      <c r="A471" t="s">
        <v>81</v>
      </c>
      <c r="B471" t="s">
        <v>1132</v>
      </c>
      <c r="C471">
        <v>3.1549499999999999</v>
      </c>
    </row>
    <row r="472" spans="1:3">
      <c r="A472" t="s">
        <v>96</v>
      </c>
      <c r="B472" t="s">
        <v>366</v>
      </c>
      <c r="C472">
        <v>24.564150000000001</v>
      </c>
    </row>
    <row r="473" spans="1:3">
      <c r="A473" t="s">
        <v>96</v>
      </c>
      <c r="B473" t="s">
        <v>1132</v>
      </c>
      <c r="C473">
        <v>4.7324250000000001</v>
      </c>
    </row>
    <row r="474" spans="1:3">
      <c r="A474" t="s">
        <v>74</v>
      </c>
      <c r="B474" t="s">
        <v>366</v>
      </c>
      <c r="C474">
        <v>2.2926540000000002</v>
      </c>
    </row>
    <row r="475" spans="1:3">
      <c r="A475" t="s">
        <v>74</v>
      </c>
      <c r="B475" t="s">
        <v>1132</v>
      </c>
      <c r="C475">
        <v>0.441693</v>
      </c>
    </row>
    <row r="476" spans="1:3">
      <c r="A476" t="s">
        <v>89</v>
      </c>
      <c r="B476" t="s">
        <v>366</v>
      </c>
      <c r="C476">
        <v>3.4389810000000001</v>
      </c>
    </row>
    <row r="477" spans="1:3">
      <c r="A477" t="s">
        <v>89</v>
      </c>
      <c r="B477" t="s">
        <v>1132</v>
      </c>
      <c r="C477">
        <v>0.66253949999999995</v>
      </c>
    </row>
    <row r="478" spans="1:3">
      <c r="A478" t="s">
        <v>82</v>
      </c>
      <c r="B478" t="s">
        <v>366</v>
      </c>
      <c r="C478">
        <v>26.20176</v>
      </c>
    </row>
    <row r="479" spans="1:3">
      <c r="A479" t="s">
        <v>82</v>
      </c>
      <c r="B479" t="s">
        <v>1132</v>
      </c>
      <c r="C479">
        <v>5.0479200000000004</v>
      </c>
    </row>
    <row r="480" spans="1:3">
      <c r="A480" t="s">
        <v>97</v>
      </c>
      <c r="B480" t="s">
        <v>366</v>
      </c>
      <c r="C480">
        <v>39.302639999999997</v>
      </c>
    </row>
    <row r="481" spans="1:3">
      <c r="A481" t="s">
        <v>97</v>
      </c>
      <c r="B481" t="s">
        <v>1132</v>
      </c>
      <c r="C481">
        <v>7.5718800000000002</v>
      </c>
    </row>
    <row r="482" spans="1:3">
      <c r="A482" t="s">
        <v>143</v>
      </c>
      <c r="B482" t="s">
        <v>366</v>
      </c>
      <c r="C482">
        <v>210.66864000000001</v>
      </c>
    </row>
    <row r="483" spans="1:3">
      <c r="A483" t="s">
        <v>143</v>
      </c>
      <c r="B483" t="s">
        <v>1132</v>
      </c>
      <c r="C483">
        <v>4.6936799999999996</v>
      </c>
    </row>
    <row r="484" spans="1:3">
      <c r="A484" t="s">
        <v>158</v>
      </c>
      <c r="B484" t="s">
        <v>366</v>
      </c>
      <c r="C484">
        <v>317.99040000000002</v>
      </c>
    </row>
    <row r="485" spans="1:3">
      <c r="A485" t="s">
        <v>158</v>
      </c>
      <c r="B485" t="s">
        <v>1132</v>
      </c>
      <c r="C485">
        <v>7.0848000000000004</v>
      </c>
    </row>
    <row r="486" spans="1:3">
      <c r="A486" t="s">
        <v>145</v>
      </c>
      <c r="B486" t="s">
        <v>366</v>
      </c>
      <c r="C486">
        <v>337.06982399999998</v>
      </c>
    </row>
    <row r="487" spans="1:3">
      <c r="A487" t="s">
        <v>145</v>
      </c>
      <c r="B487" t="s">
        <v>1132</v>
      </c>
      <c r="C487">
        <v>7.5098880000000001</v>
      </c>
    </row>
    <row r="488" spans="1:3">
      <c r="A488" t="s">
        <v>160</v>
      </c>
      <c r="B488" t="s">
        <v>366</v>
      </c>
      <c r="C488">
        <v>508.78464000000002</v>
      </c>
    </row>
    <row r="489" spans="1:3">
      <c r="A489" t="s">
        <v>160</v>
      </c>
      <c r="B489" t="s">
        <v>1132</v>
      </c>
      <c r="C489">
        <v>11.33568</v>
      </c>
    </row>
    <row r="490" spans="1:3">
      <c r="A490" t="s">
        <v>144</v>
      </c>
      <c r="B490" t="s">
        <v>366</v>
      </c>
      <c r="C490">
        <v>280.89152000000001</v>
      </c>
    </row>
    <row r="491" spans="1:3">
      <c r="A491" t="s">
        <v>144</v>
      </c>
      <c r="B491" t="s">
        <v>1132</v>
      </c>
      <c r="C491">
        <v>6.2582399999999998</v>
      </c>
    </row>
    <row r="492" spans="1:3">
      <c r="A492" t="s">
        <v>159</v>
      </c>
      <c r="B492" t="s">
        <v>366</v>
      </c>
      <c r="C492">
        <v>423.98719999999997</v>
      </c>
    </row>
    <row r="493" spans="1:3">
      <c r="A493" t="s">
        <v>159</v>
      </c>
      <c r="B493" t="s">
        <v>1132</v>
      </c>
      <c r="C493">
        <v>9.4464000000000006</v>
      </c>
    </row>
    <row r="494" spans="1:3">
      <c r="A494" t="s">
        <v>146</v>
      </c>
      <c r="B494" t="s">
        <v>366</v>
      </c>
      <c r="C494">
        <v>449.42643199999998</v>
      </c>
    </row>
    <row r="495" spans="1:3">
      <c r="A495" t="s">
        <v>146</v>
      </c>
      <c r="B495" t="s">
        <v>1132</v>
      </c>
      <c r="C495">
        <v>10.013184000000001</v>
      </c>
    </row>
    <row r="496" spans="1:3">
      <c r="A496" t="s">
        <v>161</v>
      </c>
      <c r="B496" t="s">
        <v>366</v>
      </c>
      <c r="C496">
        <v>678.37951999999996</v>
      </c>
    </row>
    <row r="497" spans="1:3">
      <c r="A497" t="s">
        <v>161</v>
      </c>
      <c r="B497" t="s">
        <v>1132</v>
      </c>
      <c r="C497">
        <v>15.114240000000001</v>
      </c>
    </row>
    <row r="498" spans="1:3">
      <c r="A498" t="s">
        <v>135</v>
      </c>
      <c r="B498" t="s">
        <v>366</v>
      </c>
      <c r="C498">
        <v>3.5111439999999998</v>
      </c>
    </row>
    <row r="499" spans="1:3">
      <c r="A499" t="s">
        <v>135</v>
      </c>
      <c r="B499" t="s">
        <v>1132</v>
      </c>
      <c r="C499">
        <v>7.8228000000000006E-2</v>
      </c>
    </row>
    <row r="500" spans="1:3">
      <c r="A500" t="s">
        <v>150</v>
      </c>
      <c r="B500" t="s">
        <v>366</v>
      </c>
      <c r="C500">
        <v>5.2998399999999997</v>
      </c>
    </row>
    <row r="501" spans="1:3">
      <c r="A501" t="s">
        <v>150</v>
      </c>
      <c r="B501" t="s">
        <v>1132</v>
      </c>
      <c r="C501">
        <v>0.11808</v>
      </c>
    </row>
    <row r="502" spans="1:3">
      <c r="A502" t="s">
        <v>136</v>
      </c>
      <c r="B502" t="s">
        <v>366</v>
      </c>
      <c r="C502">
        <v>4.9156015999999996</v>
      </c>
    </row>
    <row r="503" spans="1:3">
      <c r="A503" t="s">
        <v>136</v>
      </c>
      <c r="B503" t="s">
        <v>1132</v>
      </c>
      <c r="C503">
        <v>0.1095192</v>
      </c>
    </row>
    <row r="504" spans="1:3">
      <c r="A504" t="s">
        <v>151</v>
      </c>
      <c r="B504" t="s">
        <v>366</v>
      </c>
      <c r="C504">
        <v>7.4197759999999997</v>
      </c>
    </row>
    <row r="505" spans="1:3">
      <c r="A505" t="s">
        <v>151</v>
      </c>
      <c r="B505" t="s">
        <v>1132</v>
      </c>
      <c r="C505">
        <v>0.16531199999999999</v>
      </c>
    </row>
    <row r="506" spans="1:3">
      <c r="A506" t="s">
        <v>137</v>
      </c>
      <c r="B506" t="s">
        <v>366</v>
      </c>
      <c r="C506">
        <v>5.6178303999999999</v>
      </c>
    </row>
    <row r="507" spans="1:3">
      <c r="A507" t="s">
        <v>137</v>
      </c>
      <c r="B507" t="s">
        <v>1132</v>
      </c>
      <c r="C507">
        <v>0.12516479999999999</v>
      </c>
    </row>
    <row r="508" spans="1:3">
      <c r="A508" t="s">
        <v>152</v>
      </c>
      <c r="B508" t="s">
        <v>366</v>
      </c>
      <c r="C508">
        <v>8.4797440000000002</v>
      </c>
    </row>
    <row r="509" spans="1:3">
      <c r="A509" t="s">
        <v>152</v>
      </c>
      <c r="B509" t="s">
        <v>1132</v>
      </c>
      <c r="C509">
        <v>0.18892800000000001</v>
      </c>
    </row>
    <row r="510" spans="1:3">
      <c r="A510" t="s">
        <v>132</v>
      </c>
      <c r="B510" t="s">
        <v>366</v>
      </c>
      <c r="C510">
        <v>0.70222879999999999</v>
      </c>
    </row>
    <row r="511" spans="1:3">
      <c r="A511" t="s">
        <v>132</v>
      </c>
      <c r="B511" t="s">
        <v>1132</v>
      </c>
      <c r="C511">
        <v>1.5645599999999999E-2</v>
      </c>
    </row>
    <row r="512" spans="1:3">
      <c r="A512" t="s">
        <v>147</v>
      </c>
      <c r="B512" t="s">
        <v>366</v>
      </c>
      <c r="C512">
        <v>1.059968</v>
      </c>
    </row>
    <row r="513" spans="1:3">
      <c r="A513" t="s">
        <v>147</v>
      </c>
      <c r="B513" t="s">
        <v>1132</v>
      </c>
      <c r="C513">
        <v>2.3616000000000002E-2</v>
      </c>
    </row>
    <row r="514" spans="1:3">
      <c r="A514" t="s">
        <v>138</v>
      </c>
      <c r="B514" t="s">
        <v>366</v>
      </c>
      <c r="C514">
        <v>7.0222879999999996</v>
      </c>
    </row>
    <row r="515" spans="1:3">
      <c r="A515" t="s">
        <v>138</v>
      </c>
      <c r="B515" t="s">
        <v>1132</v>
      </c>
      <c r="C515">
        <v>0.15645600000000001</v>
      </c>
    </row>
    <row r="516" spans="1:3">
      <c r="A516" t="s">
        <v>153</v>
      </c>
      <c r="B516" t="s">
        <v>366</v>
      </c>
      <c r="C516">
        <v>10.599679999999999</v>
      </c>
    </row>
    <row r="517" spans="1:3">
      <c r="A517" t="s">
        <v>153</v>
      </c>
      <c r="B517" t="s">
        <v>1132</v>
      </c>
      <c r="C517">
        <v>0.23616000000000001</v>
      </c>
    </row>
    <row r="518" spans="1:3">
      <c r="A518" t="s">
        <v>139</v>
      </c>
      <c r="B518" t="s">
        <v>366</v>
      </c>
      <c r="C518">
        <v>10.533431999999999</v>
      </c>
    </row>
    <row r="519" spans="1:3">
      <c r="A519" t="s">
        <v>139</v>
      </c>
      <c r="B519" t="s">
        <v>1132</v>
      </c>
      <c r="C519">
        <v>0.234684</v>
      </c>
    </row>
    <row r="520" spans="1:3">
      <c r="A520" t="s">
        <v>154</v>
      </c>
      <c r="B520" t="s">
        <v>366</v>
      </c>
      <c r="C520">
        <v>15.899520000000001</v>
      </c>
    </row>
    <row r="521" spans="1:3">
      <c r="A521" t="s">
        <v>154</v>
      </c>
      <c r="B521" t="s">
        <v>1132</v>
      </c>
      <c r="C521">
        <v>0.35424</v>
      </c>
    </row>
    <row r="522" spans="1:3">
      <c r="A522" t="s">
        <v>140</v>
      </c>
      <c r="B522" t="s">
        <v>366</v>
      </c>
      <c r="C522">
        <v>14.044575999999999</v>
      </c>
    </row>
    <row r="523" spans="1:3">
      <c r="A523" t="s">
        <v>140</v>
      </c>
      <c r="B523" t="s">
        <v>1132</v>
      </c>
      <c r="C523">
        <v>0.31291200000000002</v>
      </c>
    </row>
    <row r="524" spans="1:3">
      <c r="A524" t="s">
        <v>155</v>
      </c>
      <c r="B524" t="s">
        <v>366</v>
      </c>
      <c r="C524">
        <v>21.199359999999999</v>
      </c>
    </row>
    <row r="525" spans="1:3">
      <c r="A525" t="s">
        <v>155</v>
      </c>
      <c r="B525" t="s">
        <v>1132</v>
      </c>
      <c r="C525">
        <v>0.47232000000000002</v>
      </c>
    </row>
    <row r="526" spans="1:3">
      <c r="A526" t="s">
        <v>133</v>
      </c>
      <c r="B526" t="s">
        <v>366</v>
      </c>
      <c r="C526">
        <v>1.7555719999999999</v>
      </c>
    </row>
    <row r="527" spans="1:3">
      <c r="A527" t="s">
        <v>133</v>
      </c>
      <c r="B527" t="s">
        <v>1132</v>
      </c>
      <c r="C527">
        <v>3.9114000000000003E-2</v>
      </c>
    </row>
    <row r="528" spans="1:3">
      <c r="A528" t="s">
        <v>148</v>
      </c>
      <c r="B528" t="s">
        <v>366</v>
      </c>
      <c r="C528">
        <v>2.6499199999999998</v>
      </c>
    </row>
    <row r="529" spans="1:3">
      <c r="A529" t="s">
        <v>148</v>
      </c>
      <c r="B529" t="s">
        <v>1132</v>
      </c>
      <c r="C529">
        <v>5.9040000000000002E-2</v>
      </c>
    </row>
    <row r="530" spans="1:3">
      <c r="A530" t="s">
        <v>141</v>
      </c>
      <c r="B530" t="s">
        <v>366</v>
      </c>
      <c r="C530">
        <v>17.555720000000001</v>
      </c>
    </row>
    <row r="531" spans="1:3">
      <c r="A531" t="s">
        <v>141</v>
      </c>
      <c r="B531" t="s">
        <v>1132</v>
      </c>
      <c r="C531">
        <v>0.39113999999999999</v>
      </c>
    </row>
    <row r="532" spans="1:3">
      <c r="A532" t="s">
        <v>156</v>
      </c>
      <c r="B532" t="s">
        <v>366</v>
      </c>
      <c r="C532">
        <v>26.499199999999998</v>
      </c>
    </row>
    <row r="533" spans="1:3">
      <c r="A533" t="s">
        <v>156</v>
      </c>
      <c r="B533" t="s">
        <v>1132</v>
      </c>
      <c r="C533">
        <v>0.59040000000000004</v>
      </c>
    </row>
    <row r="534" spans="1:3">
      <c r="A534" t="s">
        <v>134</v>
      </c>
      <c r="B534" t="s">
        <v>366</v>
      </c>
      <c r="C534">
        <v>2.4578007999999998</v>
      </c>
    </row>
    <row r="535" spans="1:3">
      <c r="A535" t="s">
        <v>134</v>
      </c>
      <c r="B535" t="s">
        <v>1132</v>
      </c>
      <c r="C535">
        <v>5.4759599999999999E-2</v>
      </c>
    </row>
    <row r="536" spans="1:3">
      <c r="A536" t="s">
        <v>149</v>
      </c>
      <c r="B536" t="s">
        <v>366</v>
      </c>
      <c r="C536">
        <v>3.7098879999999999</v>
      </c>
    </row>
    <row r="537" spans="1:3">
      <c r="A537" t="s">
        <v>149</v>
      </c>
      <c r="B537" t="s">
        <v>1132</v>
      </c>
      <c r="C537">
        <v>8.2655999999999993E-2</v>
      </c>
    </row>
    <row r="538" spans="1:3">
      <c r="A538" t="s">
        <v>142</v>
      </c>
      <c r="B538" t="s">
        <v>366</v>
      </c>
      <c r="C538">
        <v>28.089151999999999</v>
      </c>
    </row>
    <row r="539" spans="1:3">
      <c r="A539" t="s">
        <v>142</v>
      </c>
      <c r="B539" t="s">
        <v>1132</v>
      </c>
      <c r="C539">
        <v>0.62582400000000005</v>
      </c>
    </row>
    <row r="540" spans="1:3">
      <c r="A540" t="s">
        <v>157</v>
      </c>
      <c r="B540" t="s">
        <v>366</v>
      </c>
      <c r="C540">
        <v>42.398719999999997</v>
      </c>
    </row>
    <row r="541" spans="1:3">
      <c r="A541" t="s">
        <v>157</v>
      </c>
      <c r="B541" t="s">
        <v>1132</v>
      </c>
      <c r="C541">
        <v>0.94464000000000004</v>
      </c>
    </row>
    <row r="542" spans="1:3">
      <c r="A542" t="s">
        <v>113</v>
      </c>
      <c r="B542" t="s">
        <v>366</v>
      </c>
      <c r="C542">
        <v>205.2336</v>
      </c>
    </row>
    <row r="543" spans="1:3">
      <c r="A543" t="s">
        <v>113</v>
      </c>
      <c r="B543" t="s">
        <v>1132</v>
      </c>
      <c r="C543">
        <v>19.4832</v>
      </c>
    </row>
    <row r="544" spans="1:3">
      <c r="A544" t="s">
        <v>130</v>
      </c>
      <c r="B544" t="s">
        <v>366</v>
      </c>
      <c r="C544">
        <v>492.56063999999998</v>
      </c>
    </row>
    <row r="545" spans="1:3">
      <c r="A545" t="s">
        <v>130</v>
      </c>
      <c r="B545" t="s">
        <v>1132</v>
      </c>
      <c r="C545">
        <v>46.759680000000003</v>
      </c>
    </row>
    <row r="546" spans="1:3">
      <c r="A546" t="s">
        <v>114</v>
      </c>
      <c r="B546" t="s">
        <v>366</v>
      </c>
      <c r="C546">
        <v>273.64479999999998</v>
      </c>
    </row>
    <row r="547" spans="1:3">
      <c r="A547" t="s">
        <v>114</v>
      </c>
      <c r="B547" t="s">
        <v>1132</v>
      </c>
      <c r="C547">
        <v>25.977599999999999</v>
      </c>
    </row>
    <row r="548" spans="1:3">
      <c r="A548" t="s">
        <v>129</v>
      </c>
      <c r="B548" t="s">
        <v>366</v>
      </c>
      <c r="C548">
        <v>410.46719999999999</v>
      </c>
    </row>
    <row r="549" spans="1:3">
      <c r="A549" t="s">
        <v>129</v>
      </c>
      <c r="B549" t="s">
        <v>1132</v>
      </c>
      <c r="C549">
        <v>38.9664</v>
      </c>
    </row>
    <row r="550" spans="1:3">
      <c r="A550" t="s">
        <v>105</v>
      </c>
      <c r="B550" t="s">
        <v>366</v>
      </c>
      <c r="C550">
        <v>3.42056</v>
      </c>
    </row>
    <row r="551" spans="1:3">
      <c r="A551" t="s">
        <v>105</v>
      </c>
      <c r="B551" t="s">
        <v>1132</v>
      </c>
      <c r="C551">
        <v>0.32472000000000001</v>
      </c>
    </row>
    <row r="552" spans="1:3">
      <c r="A552" t="s">
        <v>106</v>
      </c>
      <c r="B552" t="s">
        <v>366</v>
      </c>
      <c r="C552">
        <v>4.7887839999999997</v>
      </c>
    </row>
    <row r="553" spans="1:3">
      <c r="A553" t="s">
        <v>106</v>
      </c>
      <c r="B553" t="s">
        <v>1132</v>
      </c>
      <c r="C553">
        <v>0.45460800000000001</v>
      </c>
    </row>
    <row r="554" spans="1:3">
      <c r="A554" t="s">
        <v>107</v>
      </c>
      <c r="B554" t="s">
        <v>366</v>
      </c>
      <c r="C554">
        <v>5.4728960000000004</v>
      </c>
    </row>
    <row r="555" spans="1:3">
      <c r="A555" t="s">
        <v>107</v>
      </c>
      <c r="B555" t="s">
        <v>1132</v>
      </c>
      <c r="C555">
        <v>0.51955200000000001</v>
      </c>
    </row>
    <row r="556" spans="1:3">
      <c r="A556" t="s">
        <v>122</v>
      </c>
      <c r="B556" t="s">
        <v>366</v>
      </c>
      <c r="C556">
        <v>8.2093439999999998</v>
      </c>
    </row>
    <row r="557" spans="1:3">
      <c r="A557" t="s">
        <v>122</v>
      </c>
      <c r="B557" t="s">
        <v>1132</v>
      </c>
      <c r="C557">
        <v>0.77932800000000002</v>
      </c>
    </row>
    <row r="558" spans="1:3">
      <c r="A558" t="s">
        <v>108</v>
      </c>
      <c r="B558" t="s">
        <v>366</v>
      </c>
      <c r="C558">
        <v>6.8411200000000001</v>
      </c>
    </row>
    <row r="559" spans="1:3">
      <c r="A559" t="s">
        <v>108</v>
      </c>
      <c r="B559" t="s">
        <v>1132</v>
      </c>
      <c r="C559">
        <v>0.64944000000000002</v>
      </c>
    </row>
    <row r="560" spans="1:3">
      <c r="A560" t="s">
        <v>109</v>
      </c>
      <c r="B560" t="s">
        <v>366</v>
      </c>
      <c r="C560">
        <v>10.26168</v>
      </c>
    </row>
    <row r="561" spans="1:3">
      <c r="A561" t="s">
        <v>109</v>
      </c>
      <c r="B561" t="s">
        <v>1132</v>
      </c>
      <c r="C561">
        <v>0.97416000000000003</v>
      </c>
    </row>
    <row r="562" spans="1:3">
      <c r="A562" t="s">
        <v>110</v>
      </c>
      <c r="B562" t="s">
        <v>366</v>
      </c>
      <c r="C562">
        <v>13.68224</v>
      </c>
    </row>
    <row r="563" spans="1:3">
      <c r="A563" t="s">
        <v>110</v>
      </c>
      <c r="B563" t="s">
        <v>1132</v>
      </c>
      <c r="C563">
        <v>1.29888</v>
      </c>
    </row>
    <row r="564" spans="1:3">
      <c r="A564" t="s">
        <v>118</v>
      </c>
      <c r="B564" t="s">
        <v>366</v>
      </c>
      <c r="C564">
        <v>2.56542</v>
      </c>
    </row>
    <row r="565" spans="1:3">
      <c r="A565" t="s">
        <v>118</v>
      </c>
      <c r="B565" t="s">
        <v>1132</v>
      </c>
      <c r="C565">
        <v>0.24354000000000001</v>
      </c>
    </row>
    <row r="566" spans="1:3">
      <c r="A566" t="s">
        <v>104</v>
      </c>
      <c r="B566" t="s">
        <v>366</v>
      </c>
      <c r="C566">
        <v>2.3943919999999999</v>
      </c>
    </row>
    <row r="567" spans="1:3">
      <c r="A567" t="s">
        <v>104</v>
      </c>
      <c r="B567" t="s">
        <v>1132</v>
      </c>
      <c r="C567">
        <v>0.22730400000000001</v>
      </c>
    </row>
    <row r="568" spans="1:3">
      <c r="A568" t="s">
        <v>112</v>
      </c>
      <c r="B568" t="s">
        <v>366</v>
      </c>
      <c r="C568">
        <v>27.36448</v>
      </c>
    </row>
    <row r="569" spans="1:3">
      <c r="A569" t="s">
        <v>112</v>
      </c>
      <c r="B569" t="s">
        <v>1132</v>
      </c>
      <c r="C569">
        <v>2.5977600000000001</v>
      </c>
    </row>
    <row r="570" spans="1:3">
      <c r="A570" t="s">
        <v>128</v>
      </c>
      <c r="B570" t="s">
        <v>366</v>
      </c>
      <c r="C570">
        <v>307.85039999999998</v>
      </c>
    </row>
    <row r="571" spans="1:3">
      <c r="A571" t="s">
        <v>128</v>
      </c>
      <c r="B571" t="s">
        <v>1132</v>
      </c>
      <c r="C571">
        <v>29.224799999999998</v>
      </c>
    </row>
    <row r="572" spans="1:3">
      <c r="A572" t="s">
        <v>115</v>
      </c>
      <c r="B572" t="s">
        <v>366</v>
      </c>
      <c r="C572">
        <v>328.37376</v>
      </c>
    </row>
    <row r="573" spans="1:3">
      <c r="A573" t="s">
        <v>115</v>
      </c>
      <c r="B573" t="s">
        <v>1132</v>
      </c>
      <c r="C573">
        <v>31.173120000000001</v>
      </c>
    </row>
    <row r="574" spans="1:3">
      <c r="A574" t="s">
        <v>116</v>
      </c>
      <c r="B574" t="s">
        <v>366</v>
      </c>
      <c r="C574">
        <v>437.83168000000001</v>
      </c>
    </row>
    <row r="575" spans="1:3">
      <c r="A575" t="s">
        <v>116</v>
      </c>
      <c r="B575" t="s">
        <v>1132</v>
      </c>
      <c r="C575">
        <v>41.564160000000001</v>
      </c>
    </row>
    <row r="576" spans="1:3">
      <c r="A576" t="s">
        <v>131</v>
      </c>
      <c r="B576" t="s">
        <v>366</v>
      </c>
      <c r="C576">
        <v>656.74752000000001</v>
      </c>
    </row>
    <row r="577" spans="1:3">
      <c r="A577" t="s">
        <v>131</v>
      </c>
      <c r="B577" t="s">
        <v>1132</v>
      </c>
      <c r="C577">
        <v>62.346240000000002</v>
      </c>
    </row>
    <row r="578" spans="1:3">
      <c r="A578" t="s">
        <v>120</v>
      </c>
      <c r="B578" t="s">
        <v>366</v>
      </c>
      <c r="C578">
        <v>5.1308400000000001</v>
      </c>
    </row>
    <row r="579" spans="1:3">
      <c r="A579" t="s">
        <v>120</v>
      </c>
      <c r="B579" t="s">
        <v>1132</v>
      </c>
      <c r="C579">
        <v>0.48708000000000001</v>
      </c>
    </row>
    <row r="580" spans="1:3">
      <c r="A580" t="s">
        <v>121</v>
      </c>
      <c r="B580" t="s">
        <v>366</v>
      </c>
      <c r="C580">
        <v>7.1831759999999996</v>
      </c>
    </row>
    <row r="581" spans="1:3">
      <c r="A581" t="s">
        <v>121</v>
      </c>
      <c r="B581" t="s">
        <v>1132</v>
      </c>
      <c r="C581">
        <v>0.68191199999999996</v>
      </c>
    </row>
    <row r="582" spans="1:3">
      <c r="A582" t="s">
        <v>102</v>
      </c>
      <c r="B582" t="s">
        <v>366</v>
      </c>
      <c r="C582">
        <v>0.68411200000000005</v>
      </c>
    </row>
    <row r="583" spans="1:3">
      <c r="A583" t="s">
        <v>102</v>
      </c>
      <c r="B583" t="s">
        <v>1132</v>
      </c>
      <c r="C583">
        <v>6.4944000000000002E-2</v>
      </c>
    </row>
    <row r="584" spans="1:3">
      <c r="A584" t="s">
        <v>117</v>
      </c>
      <c r="B584" t="s">
        <v>366</v>
      </c>
      <c r="C584">
        <v>1.026168</v>
      </c>
    </row>
    <row r="585" spans="1:3">
      <c r="A585" t="s">
        <v>117</v>
      </c>
      <c r="B585" t="s">
        <v>1132</v>
      </c>
      <c r="C585">
        <v>9.7416000000000003E-2</v>
      </c>
    </row>
    <row r="586" spans="1:3">
      <c r="A586" t="s">
        <v>123</v>
      </c>
      <c r="B586" t="s">
        <v>366</v>
      </c>
      <c r="C586">
        <v>10.26168</v>
      </c>
    </row>
    <row r="587" spans="1:3">
      <c r="A587" t="s">
        <v>123</v>
      </c>
      <c r="B587" t="s">
        <v>1132</v>
      </c>
      <c r="C587">
        <v>0.97416000000000003</v>
      </c>
    </row>
    <row r="588" spans="1:3">
      <c r="A588" t="s">
        <v>124</v>
      </c>
      <c r="B588" t="s">
        <v>366</v>
      </c>
      <c r="C588">
        <v>15.392519999999999</v>
      </c>
    </row>
    <row r="589" spans="1:3">
      <c r="A589" t="s">
        <v>124</v>
      </c>
      <c r="B589" t="s">
        <v>1132</v>
      </c>
      <c r="C589">
        <v>1.4612400000000001</v>
      </c>
    </row>
    <row r="590" spans="1:3">
      <c r="A590" t="s">
        <v>125</v>
      </c>
      <c r="B590" t="s">
        <v>366</v>
      </c>
      <c r="C590">
        <v>20.52336</v>
      </c>
    </row>
    <row r="591" spans="1:3">
      <c r="A591" t="s">
        <v>125</v>
      </c>
      <c r="B591" t="s">
        <v>1132</v>
      </c>
      <c r="C591">
        <v>1.9483200000000001</v>
      </c>
    </row>
    <row r="592" spans="1:3">
      <c r="A592" t="s">
        <v>103</v>
      </c>
      <c r="B592" t="s">
        <v>366</v>
      </c>
      <c r="C592">
        <v>1.71028</v>
      </c>
    </row>
    <row r="593" spans="1:3">
      <c r="A593" t="s">
        <v>103</v>
      </c>
      <c r="B593" t="s">
        <v>1132</v>
      </c>
      <c r="C593">
        <v>0.16236</v>
      </c>
    </row>
    <row r="594" spans="1:3">
      <c r="A594" t="s">
        <v>111</v>
      </c>
      <c r="B594" t="s">
        <v>366</v>
      </c>
      <c r="C594">
        <v>17.102799999999998</v>
      </c>
    </row>
    <row r="595" spans="1:3">
      <c r="A595" t="s">
        <v>111</v>
      </c>
      <c r="B595" t="s">
        <v>1132</v>
      </c>
      <c r="C595">
        <v>1.6235999999999999</v>
      </c>
    </row>
    <row r="596" spans="1:3">
      <c r="A596" t="s">
        <v>126</v>
      </c>
      <c r="B596" t="s">
        <v>366</v>
      </c>
      <c r="C596">
        <v>25.654199999999999</v>
      </c>
    </row>
    <row r="597" spans="1:3">
      <c r="A597" t="s">
        <v>126</v>
      </c>
      <c r="B597" t="s">
        <v>1132</v>
      </c>
      <c r="C597">
        <v>2.4354</v>
      </c>
    </row>
    <row r="598" spans="1:3">
      <c r="A598" t="s">
        <v>119</v>
      </c>
      <c r="B598" t="s">
        <v>366</v>
      </c>
      <c r="C598">
        <v>3.5915879999999998</v>
      </c>
    </row>
    <row r="599" spans="1:3">
      <c r="A599" t="s">
        <v>119</v>
      </c>
      <c r="B599" t="s">
        <v>1132</v>
      </c>
      <c r="C599">
        <v>0.34095599999999998</v>
      </c>
    </row>
    <row r="600" spans="1:3">
      <c r="A600" t="s">
        <v>127</v>
      </c>
      <c r="B600" t="s">
        <v>366</v>
      </c>
      <c r="C600">
        <v>41.046720000000001</v>
      </c>
    </row>
    <row r="601" spans="1:3">
      <c r="A601" t="s">
        <v>127</v>
      </c>
      <c r="B601" t="s">
        <v>1132</v>
      </c>
      <c r="C601">
        <v>3.8966400000000001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1"/>
  <sheetViews>
    <sheetView topLeftCell="A395" workbookViewId="0">
      <selection activeCell="A395" sqref="A1:XFD1048576"/>
    </sheetView>
  </sheetViews>
  <sheetFormatPr baseColWidth="10" defaultRowHeight="15"/>
  <cols>
    <col min="2" max="2" width="51.7109375" customWidth="1"/>
    <col min="4" max="6" width="11.42578125" style="86"/>
    <col min="7" max="7" width="11.42578125" style="87"/>
  </cols>
  <sheetData>
    <row r="1" spans="1:7">
      <c r="A1" s="89">
        <v>225</v>
      </c>
      <c r="B1" t="s">
        <v>1009</v>
      </c>
      <c r="C1">
        <v>379</v>
      </c>
      <c r="D1" s="86">
        <f>ROUND(G1,3)</f>
        <v>133.66800000000001</v>
      </c>
      <c r="G1" s="87">
        <v>133.66800000000001</v>
      </c>
    </row>
    <row r="2" spans="1:7">
      <c r="A2" s="89">
        <v>241</v>
      </c>
      <c r="B2" t="s">
        <v>1025</v>
      </c>
      <c r="C2">
        <v>379</v>
      </c>
      <c r="D2" s="86">
        <f>ROUND(G2,3)</f>
        <v>200.50200000000001</v>
      </c>
      <c r="G2" s="87">
        <v>200.50200000000001</v>
      </c>
    </row>
    <row r="3" spans="1:7">
      <c r="A3" s="89">
        <v>228</v>
      </c>
      <c r="B3" t="s">
        <v>1012</v>
      </c>
      <c r="C3">
        <v>379</v>
      </c>
      <c r="D3" s="86">
        <f>ROUND(G3,3)</f>
        <v>213.869</v>
      </c>
      <c r="G3" s="87">
        <v>213.86879999999999</v>
      </c>
    </row>
    <row r="4" spans="1:7">
      <c r="A4" s="89">
        <v>244</v>
      </c>
      <c r="B4" t="s">
        <v>1028</v>
      </c>
      <c r="C4">
        <v>379</v>
      </c>
      <c r="D4" s="86">
        <f>ROUND(G4,3)</f>
        <v>320.803</v>
      </c>
      <c r="G4" s="87">
        <v>320.8032</v>
      </c>
    </row>
    <row r="5" spans="1:7">
      <c r="A5" s="89">
        <v>226</v>
      </c>
      <c r="B5" t="s">
        <v>1010</v>
      </c>
      <c r="C5">
        <v>379</v>
      </c>
      <c r="D5" s="86">
        <f>ROUND(G5,3)</f>
        <v>178.22399999999999</v>
      </c>
      <c r="G5" s="87">
        <v>178.22399999999999</v>
      </c>
    </row>
    <row r="6" spans="1:7">
      <c r="A6" s="89">
        <v>242</v>
      </c>
      <c r="B6" t="s">
        <v>1026</v>
      </c>
      <c r="C6">
        <v>379</v>
      </c>
      <c r="D6" s="86">
        <f>ROUND(G6,3)</f>
        <v>267.33600000000001</v>
      </c>
      <c r="G6" s="87">
        <v>267.33600000000001</v>
      </c>
    </row>
    <row r="7" spans="1:7">
      <c r="A7" s="89">
        <v>229</v>
      </c>
      <c r="B7" t="s">
        <v>1013</v>
      </c>
      <c r="C7">
        <v>379</v>
      </c>
      <c r="D7" s="86">
        <f>ROUND(G7,3)</f>
        <v>285.15800000000002</v>
      </c>
      <c r="G7" s="87">
        <v>285.15839999999997</v>
      </c>
    </row>
    <row r="8" spans="1:7">
      <c r="A8" s="89">
        <v>245</v>
      </c>
      <c r="B8" t="s">
        <v>1029</v>
      </c>
      <c r="C8">
        <v>379</v>
      </c>
      <c r="D8" s="86">
        <f>ROUND(G8,3)</f>
        <v>427.738</v>
      </c>
      <c r="G8" s="87">
        <v>427.73759999999999</v>
      </c>
    </row>
    <row r="9" spans="1:7">
      <c r="A9" s="89">
        <v>227</v>
      </c>
      <c r="B9" t="s">
        <v>1011</v>
      </c>
      <c r="C9">
        <v>379</v>
      </c>
      <c r="D9" s="86">
        <f>ROUND(G9,3)</f>
        <v>222.78</v>
      </c>
      <c r="G9" s="87">
        <v>222.78</v>
      </c>
    </row>
    <row r="10" spans="1:7">
      <c r="A10" s="89">
        <v>243</v>
      </c>
      <c r="B10" t="s">
        <v>1027</v>
      </c>
      <c r="C10">
        <v>379</v>
      </c>
      <c r="D10" s="86">
        <f>ROUND(G10,3)</f>
        <v>334.17</v>
      </c>
      <c r="G10" s="87">
        <v>334.17</v>
      </c>
    </row>
    <row r="11" spans="1:7">
      <c r="A11" s="89">
        <v>217</v>
      </c>
      <c r="B11" t="s">
        <v>1001</v>
      </c>
      <c r="C11">
        <v>379</v>
      </c>
      <c r="D11" s="86">
        <f>ROUND(G11,3)</f>
        <v>2.2280000000000002</v>
      </c>
      <c r="G11" s="87">
        <v>2.2277999999999998</v>
      </c>
    </row>
    <row r="12" spans="1:7">
      <c r="A12" s="89">
        <v>233</v>
      </c>
      <c r="B12" t="s">
        <v>1017</v>
      </c>
      <c r="C12">
        <v>379</v>
      </c>
      <c r="D12" s="86">
        <f>ROUND(G12,3)</f>
        <v>3.3420000000000001</v>
      </c>
      <c r="G12" s="87">
        <v>3.3416999999999999</v>
      </c>
    </row>
    <row r="13" spans="1:7">
      <c r="A13" s="89">
        <v>218</v>
      </c>
      <c r="B13" t="s">
        <v>1002</v>
      </c>
      <c r="C13">
        <v>379</v>
      </c>
      <c r="D13" s="86">
        <f>ROUND(G13,3)</f>
        <v>3.1190000000000002</v>
      </c>
      <c r="G13" s="87">
        <v>3.1189200000000001</v>
      </c>
    </row>
    <row r="14" spans="1:7">
      <c r="A14" s="89">
        <v>234</v>
      </c>
      <c r="B14" t="s">
        <v>1018</v>
      </c>
      <c r="C14">
        <v>379</v>
      </c>
      <c r="D14" s="86">
        <f>ROUND(G14,3)</f>
        <v>4.6779999999999999</v>
      </c>
      <c r="G14" s="87">
        <v>4.6783799999999998</v>
      </c>
    </row>
    <row r="15" spans="1:7">
      <c r="A15" s="89">
        <v>219</v>
      </c>
      <c r="B15" t="s">
        <v>1003</v>
      </c>
      <c r="C15">
        <v>379</v>
      </c>
      <c r="D15" s="86">
        <f>ROUND(G15,3)</f>
        <v>3.5640000000000001</v>
      </c>
      <c r="G15" s="87">
        <v>3.5644800000000001</v>
      </c>
    </row>
    <row r="16" spans="1:7">
      <c r="A16" s="89">
        <v>235</v>
      </c>
      <c r="B16" t="s">
        <v>1019</v>
      </c>
      <c r="C16">
        <v>379</v>
      </c>
      <c r="D16" s="86">
        <f>ROUND(G16,3)</f>
        <v>5.3470000000000004</v>
      </c>
      <c r="G16" s="87">
        <v>5.3467200000000004</v>
      </c>
    </row>
    <row r="17" spans="1:7">
      <c r="A17" s="89">
        <v>214</v>
      </c>
      <c r="B17" t="s">
        <v>998</v>
      </c>
      <c r="C17">
        <v>379</v>
      </c>
      <c r="D17" s="86">
        <f>ROUND(G17,3)</f>
        <v>0.44600000000000001</v>
      </c>
      <c r="G17" s="87">
        <v>0.44556000000000001</v>
      </c>
    </row>
    <row r="18" spans="1:7">
      <c r="A18" s="89">
        <v>230</v>
      </c>
      <c r="B18" t="s">
        <v>1014</v>
      </c>
      <c r="C18">
        <v>379</v>
      </c>
      <c r="D18" s="86">
        <f>ROUND(G18,3)</f>
        <v>0.66800000000000004</v>
      </c>
      <c r="G18" s="87">
        <v>0.66834000000000005</v>
      </c>
    </row>
    <row r="19" spans="1:7">
      <c r="A19" s="89">
        <v>220</v>
      </c>
      <c r="B19" t="s">
        <v>1004</v>
      </c>
      <c r="C19">
        <v>379</v>
      </c>
      <c r="D19" s="86">
        <f>ROUND(G19,3)</f>
        <v>4.4560000000000004</v>
      </c>
      <c r="G19" s="87">
        <v>4.4555999999999996</v>
      </c>
    </row>
    <row r="20" spans="1:7">
      <c r="A20" s="89">
        <v>236</v>
      </c>
      <c r="B20" t="s">
        <v>1020</v>
      </c>
      <c r="C20">
        <v>379</v>
      </c>
      <c r="D20" s="86">
        <f>ROUND(G20,3)</f>
        <v>6.6829999999999998</v>
      </c>
      <c r="G20" s="87">
        <v>6.6833999999999998</v>
      </c>
    </row>
    <row r="21" spans="1:7">
      <c r="A21" s="89">
        <v>221</v>
      </c>
      <c r="B21" t="s">
        <v>1005</v>
      </c>
      <c r="C21">
        <v>379</v>
      </c>
      <c r="D21" s="86">
        <f>ROUND(G21,3)</f>
        <v>6.6829999999999998</v>
      </c>
      <c r="G21" s="87">
        <v>6.6833999999999998</v>
      </c>
    </row>
    <row r="22" spans="1:7">
      <c r="A22" s="89">
        <v>237</v>
      </c>
      <c r="B22" t="s">
        <v>1021</v>
      </c>
      <c r="C22">
        <v>379</v>
      </c>
      <c r="D22" s="86">
        <f>ROUND(G22,3)</f>
        <v>10.025</v>
      </c>
      <c r="G22" s="87">
        <v>10.0251</v>
      </c>
    </row>
    <row r="23" spans="1:7">
      <c r="A23" s="89">
        <v>222</v>
      </c>
      <c r="B23" t="s">
        <v>1006</v>
      </c>
      <c r="C23">
        <v>379</v>
      </c>
      <c r="D23" s="86">
        <f>ROUND(G23,3)</f>
        <v>8.9109999999999996</v>
      </c>
      <c r="G23" s="87">
        <v>8.9111999999999991</v>
      </c>
    </row>
    <row r="24" spans="1:7">
      <c r="A24" s="89">
        <v>238</v>
      </c>
      <c r="B24" t="s">
        <v>1022</v>
      </c>
      <c r="C24">
        <v>379</v>
      </c>
      <c r="D24" s="86">
        <f>ROUND(G24,3)</f>
        <v>13.367000000000001</v>
      </c>
      <c r="G24" s="87">
        <v>13.3668</v>
      </c>
    </row>
    <row r="25" spans="1:7">
      <c r="A25" s="89">
        <v>215</v>
      </c>
      <c r="B25" t="s">
        <v>999</v>
      </c>
      <c r="C25">
        <v>379</v>
      </c>
      <c r="D25" s="86">
        <f>ROUND(G25,3)</f>
        <v>1.1140000000000001</v>
      </c>
      <c r="G25" s="87">
        <v>1.1138999999999999</v>
      </c>
    </row>
    <row r="26" spans="1:7">
      <c r="A26" s="89">
        <v>231</v>
      </c>
      <c r="B26" t="s">
        <v>1015</v>
      </c>
      <c r="C26">
        <v>379</v>
      </c>
      <c r="D26" s="86">
        <f>ROUND(G26,3)</f>
        <v>1.671</v>
      </c>
      <c r="G26" s="87">
        <v>1.6708499999999999</v>
      </c>
    </row>
    <row r="27" spans="1:7">
      <c r="A27" s="89">
        <v>223</v>
      </c>
      <c r="B27" t="s">
        <v>1007</v>
      </c>
      <c r="C27">
        <v>379</v>
      </c>
      <c r="D27" s="86">
        <f>ROUND(G27,3)</f>
        <v>11.138999999999999</v>
      </c>
      <c r="G27" s="87">
        <v>11.138999999999999</v>
      </c>
    </row>
    <row r="28" spans="1:7">
      <c r="A28" s="89">
        <v>239</v>
      </c>
      <c r="B28" t="s">
        <v>1023</v>
      </c>
      <c r="C28">
        <v>379</v>
      </c>
      <c r="D28" s="86">
        <f>ROUND(G28,3)</f>
        <v>16.709</v>
      </c>
      <c r="G28" s="87">
        <v>16.708500000000001</v>
      </c>
    </row>
    <row r="29" spans="1:7">
      <c r="A29" s="89">
        <v>216</v>
      </c>
      <c r="B29" t="s">
        <v>1000</v>
      </c>
      <c r="C29">
        <v>379</v>
      </c>
      <c r="D29" s="86">
        <f>ROUND(G29,3)</f>
        <v>1.5589999999999999</v>
      </c>
      <c r="G29" s="87">
        <v>1.5594600000000001</v>
      </c>
    </row>
    <row r="30" spans="1:7">
      <c r="A30" s="89">
        <v>232</v>
      </c>
      <c r="B30" t="s">
        <v>1016</v>
      </c>
      <c r="C30">
        <v>379</v>
      </c>
      <c r="D30" s="86">
        <f>ROUND(G30,3)</f>
        <v>2.339</v>
      </c>
      <c r="G30" s="87">
        <v>2.3391899999999999</v>
      </c>
    </row>
    <row r="31" spans="1:7">
      <c r="A31" s="89">
        <v>224</v>
      </c>
      <c r="B31" t="s">
        <v>1008</v>
      </c>
      <c r="C31">
        <v>379</v>
      </c>
      <c r="D31" s="86">
        <f>ROUND(G31,3)</f>
        <v>17.821999999999999</v>
      </c>
      <c r="G31" s="87">
        <v>17.822399999999998</v>
      </c>
    </row>
    <row r="32" spans="1:7">
      <c r="A32" s="89">
        <v>240</v>
      </c>
      <c r="B32" t="s">
        <v>1024</v>
      </c>
      <c r="C32">
        <v>379</v>
      </c>
      <c r="D32" s="86">
        <f>ROUND(G32,3)</f>
        <v>26.734000000000002</v>
      </c>
      <c r="G32" s="87">
        <v>26.733599999999999</v>
      </c>
    </row>
    <row r="33" spans="1:7">
      <c r="A33" s="89">
        <v>22</v>
      </c>
      <c r="B33" t="s">
        <v>449</v>
      </c>
      <c r="C33">
        <v>378</v>
      </c>
      <c r="D33" s="86">
        <f>ROUND(G33,3)</f>
        <v>150.98599999999999</v>
      </c>
      <c r="G33" s="87">
        <v>150.9864</v>
      </c>
    </row>
    <row r="34" spans="1:7">
      <c r="A34" s="89">
        <v>37</v>
      </c>
      <c r="B34" t="s">
        <v>456</v>
      </c>
      <c r="C34">
        <v>378</v>
      </c>
      <c r="D34" s="86">
        <f>ROUND(G34,3)</f>
        <v>227.904</v>
      </c>
      <c r="G34" s="87">
        <v>227.904</v>
      </c>
    </row>
    <row r="35" spans="1:7">
      <c r="A35" s="89">
        <v>24</v>
      </c>
      <c r="B35" t="s">
        <v>436</v>
      </c>
      <c r="C35">
        <v>378</v>
      </c>
      <c r="D35" s="86">
        <f>ROUND(G35,3)</f>
        <v>241.578</v>
      </c>
      <c r="G35" s="87">
        <v>241.57823999999999</v>
      </c>
    </row>
    <row r="36" spans="1:7">
      <c r="A36" s="89">
        <v>39</v>
      </c>
      <c r="B36" t="s">
        <v>458</v>
      </c>
      <c r="C36">
        <v>378</v>
      </c>
      <c r="D36" s="86">
        <f>ROUND(G36,3)</f>
        <v>364.64600000000002</v>
      </c>
      <c r="G36" s="87">
        <v>364.64640000000003</v>
      </c>
    </row>
    <row r="37" spans="1:7">
      <c r="A37" s="89">
        <v>23</v>
      </c>
      <c r="B37" t="s">
        <v>435</v>
      </c>
      <c r="C37">
        <v>378</v>
      </c>
      <c r="D37" s="86">
        <f>ROUND(G37,3)</f>
        <v>201.315</v>
      </c>
      <c r="G37" s="87">
        <v>201.3152</v>
      </c>
    </row>
    <row r="38" spans="1:7">
      <c r="A38" s="89">
        <v>38</v>
      </c>
      <c r="B38" t="s">
        <v>457</v>
      </c>
      <c r="C38">
        <v>378</v>
      </c>
      <c r="D38" s="86">
        <f>ROUND(G38,3)</f>
        <v>303.87200000000001</v>
      </c>
      <c r="G38" s="87">
        <v>303.87200000000001</v>
      </c>
    </row>
    <row r="39" spans="1:7">
      <c r="A39" s="89">
        <v>25</v>
      </c>
      <c r="B39" t="s">
        <v>437</v>
      </c>
      <c r="C39">
        <v>378</v>
      </c>
      <c r="D39" s="86">
        <f>ROUND(G39,3)</f>
        <v>322.10399999999998</v>
      </c>
      <c r="G39" s="87">
        <v>322.10431999999997</v>
      </c>
    </row>
    <row r="40" spans="1:7">
      <c r="A40" s="89">
        <v>40</v>
      </c>
      <c r="B40" t="s">
        <v>459</v>
      </c>
      <c r="C40">
        <v>378</v>
      </c>
      <c r="D40" s="86">
        <f>ROUND(G40,3)</f>
        <v>486.19499999999999</v>
      </c>
      <c r="G40" s="87">
        <v>486.1952</v>
      </c>
    </row>
    <row r="41" spans="1:7">
      <c r="A41" s="89">
        <v>3</v>
      </c>
      <c r="B41" t="s">
        <v>439</v>
      </c>
      <c r="C41">
        <v>378</v>
      </c>
      <c r="D41" s="86">
        <f>ROUND(G41,3)</f>
        <v>1.329</v>
      </c>
      <c r="G41" s="87">
        <v>1.32944</v>
      </c>
    </row>
    <row r="42" spans="1:7">
      <c r="A42" s="89">
        <v>13</v>
      </c>
      <c r="B42" t="s">
        <v>444</v>
      </c>
      <c r="C42">
        <v>378</v>
      </c>
      <c r="D42" s="86">
        <f>ROUND(G42,3)</f>
        <v>1.762</v>
      </c>
      <c r="G42" s="87">
        <v>1.7615080000000001</v>
      </c>
    </row>
    <row r="43" spans="1:7">
      <c r="A43" s="89">
        <v>5</v>
      </c>
      <c r="B43" t="s">
        <v>440</v>
      </c>
      <c r="C43">
        <v>378</v>
      </c>
      <c r="D43" s="86">
        <f>ROUND(G43,3)</f>
        <v>2.6589999999999998</v>
      </c>
      <c r="G43" s="87">
        <v>2.6588799999999999</v>
      </c>
    </row>
    <row r="44" spans="1:7">
      <c r="A44" s="89">
        <v>15</v>
      </c>
      <c r="B44" t="s">
        <v>445</v>
      </c>
      <c r="C44">
        <v>378</v>
      </c>
      <c r="D44" s="86">
        <f>ROUND(G44,3)</f>
        <v>3.5230000000000001</v>
      </c>
      <c r="G44" s="87">
        <v>3.5230160000000001</v>
      </c>
    </row>
    <row r="45" spans="1:7">
      <c r="A45" s="89">
        <v>30</v>
      </c>
      <c r="B45" t="s">
        <v>452</v>
      </c>
      <c r="C45">
        <v>378</v>
      </c>
      <c r="D45" s="86">
        <f>ROUND(G45,3)</f>
        <v>5.3179999999999996</v>
      </c>
      <c r="G45" s="87">
        <v>5.3177599999999998</v>
      </c>
    </row>
    <row r="46" spans="1:7">
      <c r="A46" s="89">
        <v>1</v>
      </c>
      <c r="B46" t="s">
        <v>438</v>
      </c>
      <c r="C46">
        <v>378</v>
      </c>
      <c r="D46" s="86">
        <f>ROUND(G46,3)</f>
        <v>0.38</v>
      </c>
      <c r="G46" s="87">
        <v>0.37984000000000001</v>
      </c>
    </row>
    <row r="47" spans="1:7">
      <c r="A47" s="89">
        <v>11</v>
      </c>
      <c r="B47" t="s">
        <v>443</v>
      </c>
      <c r="C47">
        <v>378</v>
      </c>
      <c r="D47" s="86">
        <f>ROUND(G47,3)</f>
        <v>0.503</v>
      </c>
      <c r="G47" s="87">
        <v>0.50328799999999996</v>
      </c>
    </row>
    <row r="48" spans="1:7">
      <c r="A48" s="89">
        <v>26</v>
      </c>
      <c r="B48" t="s">
        <v>450</v>
      </c>
      <c r="C48">
        <v>378</v>
      </c>
      <c r="D48" s="86">
        <f>ROUND(G48,3)</f>
        <v>0.76</v>
      </c>
      <c r="G48" s="87">
        <v>0.75968000000000002</v>
      </c>
    </row>
    <row r="49" spans="1:7">
      <c r="A49" s="89">
        <v>9</v>
      </c>
      <c r="B49" t="s">
        <v>441</v>
      </c>
      <c r="C49">
        <v>378</v>
      </c>
      <c r="D49" s="86">
        <f>ROUND(G49,3)</f>
        <v>7.5970000000000004</v>
      </c>
      <c r="G49" s="87">
        <v>7.5968</v>
      </c>
    </row>
    <row r="50" spans="1:7">
      <c r="A50" s="89">
        <v>19</v>
      </c>
      <c r="B50" t="s">
        <v>446</v>
      </c>
      <c r="C50">
        <v>378</v>
      </c>
      <c r="D50" s="86">
        <f>ROUND(G50,3)</f>
        <v>10.066000000000001</v>
      </c>
      <c r="G50" s="87">
        <v>10.065759999999999</v>
      </c>
    </row>
    <row r="51" spans="1:7">
      <c r="A51" s="89">
        <v>34</v>
      </c>
      <c r="B51" t="s">
        <v>453</v>
      </c>
      <c r="C51">
        <v>378</v>
      </c>
      <c r="D51" s="86">
        <f>ROUND(G51,3)</f>
        <v>15.194000000000001</v>
      </c>
      <c r="G51" s="87">
        <v>15.1936</v>
      </c>
    </row>
    <row r="52" spans="1:7">
      <c r="A52" s="89">
        <v>10</v>
      </c>
      <c r="B52" t="s">
        <v>442</v>
      </c>
      <c r="C52">
        <v>378</v>
      </c>
      <c r="D52" s="86">
        <f>ROUND(G52,3)</f>
        <v>9.4960000000000004</v>
      </c>
      <c r="G52" s="87">
        <v>9.4960000000000004</v>
      </c>
    </row>
    <row r="53" spans="1:7">
      <c r="A53" s="89">
        <v>20</v>
      </c>
      <c r="B53" t="s">
        <v>447</v>
      </c>
      <c r="C53">
        <v>378</v>
      </c>
      <c r="D53" s="86">
        <f>ROUND(G53,3)</f>
        <v>12.582000000000001</v>
      </c>
      <c r="G53" s="87">
        <v>12.5822</v>
      </c>
    </row>
    <row r="54" spans="1:7">
      <c r="A54" s="89">
        <v>35</v>
      </c>
      <c r="B54" t="s">
        <v>454</v>
      </c>
      <c r="C54">
        <v>378</v>
      </c>
      <c r="D54" s="86">
        <f>ROUND(G54,3)</f>
        <v>18.992000000000001</v>
      </c>
      <c r="G54" s="87">
        <v>18.992000000000001</v>
      </c>
    </row>
    <row r="55" spans="1:7">
      <c r="A55" s="89">
        <v>28</v>
      </c>
      <c r="B55" t="s">
        <v>451</v>
      </c>
      <c r="C55">
        <v>378</v>
      </c>
      <c r="D55" s="86">
        <f>ROUND(G55,3)</f>
        <v>2.6589999999999998</v>
      </c>
      <c r="G55" s="87">
        <v>2.6588799999999999</v>
      </c>
    </row>
    <row r="56" spans="1:7">
      <c r="A56" s="89">
        <v>21</v>
      </c>
      <c r="B56" t="s">
        <v>448</v>
      </c>
      <c r="C56">
        <v>378</v>
      </c>
      <c r="D56" s="86">
        <f>ROUND(G56,3)</f>
        <v>20.132000000000001</v>
      </c>
      <c r="G56" s="87">
        <v>20.131519999999998</v>
      </c>
    </row>
    <row r="57" spans="1:7">
      <c r="A57" s="89">
        <v>36</v>
      </c>
      <c r="B57" t="s">
        <v>455</v>
      </c>
      <c r="C57">
        <v>378</v>
      </c>
      <c r="D57" s="86">
        <f>ROUND(G57,3)</f>
        <v>30.387</v>
      </c>
      <c r="G57" s="87">
        <v>30.3872</v>
      </c>
    </row>
    <row r="58" spans="1:7">
      <c r="A58" s="89">
        <v>4</v>
      </c>
      <c r="B58" t="s">
        <v>1116</v>
      </c>
      <c r="C58">
        <v>378</v>
      </c>
      <c r="D58" s="86">
        <f>ROUND(G58,3)</f>
        <v>1.899</v>
      </c>
      <c r="G58" s="87">
        <v>1.8992</v>
      </c>
    </row>
    <row r="59" spans="1:7">
      <c r="A59" s="89">
        <v>14</v>
      </c>
      <c r="B59" t="s">
        <v>1117</v>
      </c>
      <c r="C59">
        <v>378</v>
      </c>
      <c r="D59" s="86">
        <f>ROUND(G59,3)</f>
        <v>2.516</v>
      </c>
      <c r="G59" s="87">
        <v>2.5164399999999998</v>
      </c>
    </row>
    <row r="60" spans="1:7">
      <c r="A60" s="89">
        <v>29</v>
      </c>
      <c r="B60" t="s">
        <v>1118</v>
      </c>
      <c r="C60">
        <v>378</v>
      </c>
      <c r="D60" s="86">
        <f>ROUND(G60,3)</f>
        <v>3.798</v>
      </c>
      <c r="G60" s="87">
        <v>3.7984</v>
      </c>
    </row>
    <row r="61" spans="1:7">
      <c r="A61" s="89">
        <v>6</v>
      </c>
      <c r="B61" t="s">
        <v>1119</v>
      </c>
      <c r="C61">
        <v>378</v>
      </c>
      <c r="D61" s="86">
        <f>ROUND(G61,3)</f>
        <v>3.0390000000000001</v>
      </c>
      <c r="G61" s="87">
        <v>3.0387200000000001</v>
      </c>
    </row>
    <row r="62" spans="1:7">
      <c r="A62" s="89">
        <v>16</v>
      </c>
      <c r="B62" t="s">
        <v>1120</v>
      </c>
      <c r="C62">
        <v>378</v>
      </c>
      <c r="D62" s="86">
        <f>ROUND(G62,3)</f>
        <v>4.0259999999999998</v>
      </c>
      <c r="G62" s="87">
        <v>4.0263039999999997</v>
      </c>
    </row>
    <row r="63" spans="1:7">
      <c r="A63" s="89">
        <v>31</v>
      </c>
      <c r="B63" t="s">
        <v>1121</v>
      </c>
      <c r="C63">
        <v>378</v>
      </c>
      <c r="D63" s="86">
        <f>ROUND(G63,3)</f>
        <v>6.077</v>
      </c>
      <c r="G63" s="87">
        <v>6.0774400000000002</v>
      </c>
    </row>
    <row r="64" spans="1:7">
      <c r="A64" s="89">
        <v>7</v>
      </c>
      <c r="B64" t="s">
        <v>1122</v>
      </c>
      <c r="C64">
        <v>378</v>
      </c>
      <c r="D64" s="86">
        <f>ROUND(G64,3)</f>
        <v>3.798</v>
      </c>
      <c r="G64" s="87">
        <v>3.7984</v>
      </c>
    </row>
    <row r="65" spans="1:7">
      <c r="A65" s="89">
        <v>17</v>
      </c>
      <c r="B65" t="s">
        <v>1123</v>
      </c>
      <c r="C65">
        <v>378</v>
      </c>
      <c r="D65" s="86">
        <f>ROUND(G65,3)</f>
        <v>5.0330000000000004</v>
      </c>
      <c r="G65" s="87">
        <v>5.0328799999999996</v>
      </c>
    </row>
    <row r="66" spans="1:7">
      <c r="A66" s="89">
        <v>32</v>
      </c>
      <c r="B66" t="s">
        <v>1124</v>
      </c>
      <c r="C66">
        <v>378</v>
      </c>
      <c r="D66" s="86">
        <f>ROUND(G66,3)</f>
        <v>7.5970000000000004</v>
      </c>
      <c r="G66" s="87">
        <v>7.5968</v>
      </c>
    </row>
    <row r="67" spans="1:7">
      <c r="A67" s="89">
        <v>8</v>
      </c>
      <c r="B67" t="s">
        <v>1125</v>
      </c>
      <c r="C67">
        <v>378</v>
      </c>
      <c r="D67" s="86">
        <f>ROUND(G67,3)</f>
        <v>5.6980000000000004</v>
      </c>
      <c r="G67" s="87">
        <v>5.6976000000000004</v>
      </c>
    </row>
    <row r="68" spans="1:7">
      <c r="A68" s="89">
        <v>18</v>
      </c>
      <c r="B68" t="s">
        <v>1126</v>
      </c>
      <c r="C68">
        <v>378</v>
      </c>
      <c r="D68" s="86">
        <f>ROUND(G68,3)</f>
        <v>7.5490000000000004</v>
      </c>
      <c r="G68" s="87">
        <v>7.5493199999999998</v>
      </c>
    </row>
    <row r="69" spans="1:7">
      <c r="A69" s="89">
        <v>33</v>
      </c>
      <c r="B69" t="s">
        <v>1127</v>
      </c>
      <c r="C69">
        <v>378</v>
      </c>
      <c r="D69" s="86">
        <f>ROUND(G69,3)</f>
        <v>11.395</v>
      </c>
      <c r="G69" s="87">
        <v>11.395200000000001</v>
      </c>
    </row>
    <row r="70" spans="1:7">
      <c r="A70" s="89">
        <v>2</v>
      </c>
      <c r="B70" t="s">
        <v>1128</v>
      </c>
      <c r="C70">
        <v>378</v>
      </c>
      <c r="D70" s="86">
        <f>ROUND(G70,3)</f>
        <v>0.95</v>
      </c>
      <c r="G70" s="87">
        <v>0.9496</v>
      </c>
    </row>
    <row r="71" spans="1:7">
      <c r="A71" s="89">
        <v>12</v>
      </c>
      <c r="B71" t="s">
        <v>1129</v>
      </c>
      <c r="C71">
        <v>378</v>
      </c>
      <c r="D71" s="86">
        <f>ROUND(G71,3)</f>
        <v>1.258</v>
      </c>
      <c r="G71" s="87">
        <v>1.2582199999999999</v>
      </c>
    </row>
    <row r="72" spans="1:7">
      <c r="A72" s="89">
        <v>27</v>
      </c>
      <c r="B72" t="s">
        <v>1130</v>
      </c>
      <c r="C72">
        <v>378</v>
      </c>
      <c r="D72" s="86">
        <f>ROUND(G72,3)</f>
        <v>1.899</v>
      </c>
      <c r="G72" s="87">
        <v>1.8992</v>
      </c>
    </row>
    <row r="73" spans="1:7">
      <c r="A73" s="89">
        <v>165</v>
      </c>
      <c r="B73" t="s">
        <v>165</v>
      </c>
      <c r="C73">
        <v>423</v>
      </c>
      <c r="D73" s="86">
        <f>ROUND(G73,3)</f>
        <v>2.56</v>
      </c>
      <c r="G73" s="87">
        <v>2.5601400000000001</v>
      </c>
    </row>
    <row r="74" spans="1:7">
      <c r="A74" s="89">
        <v>176</v>
      </c>
      <c r="B74" t="s">
        <v>176</v>
      </c>
      <c r="C74">
        <v>423</v>
      </c>
      <c r="D74" s="86">
        <f>ROUND(G74,3)</f>
        <v>3.84</v>
      </c>
      <c r="G74" s="87">
        <v>3.8402099999999999</v>
      </c>
    </row>
    <row r="75" spans="1:7">
      <c r="A75" s="89">
        <v>166</v>
      </c>
      <c r="B75" t="s">
        <v>166</v>
      </c>
      <c r="C75">
        <v>423</v>
      </c>
      <c r="D75" s="86">
        <f>ROUND(G75,3)</f>
        <v>3.5840000000000001</v>
      </c>
      <c r="G75" s="87">
        <v>3.5841959999999999</v>
      </c>
    </row>
    <row r="76" spans="1:7">
      <c r="A76" s="89">
        <v>177</v>
      </c>
      <c r="B76" t="s">
        <v>177</v>
      </c>
      <c r="C76">
        <v>423</v>
      </c>
      <c r="D76" s="86">
        <f>ROUND(G76,3)</f>
        <v>5.3760000000000003</v>
      </c>
      <c r="G76" s="87">
        <v>5.3762939999999997</v>
      </c>
    </row>
    <row r="77" spans="1:7">
      <c r="A77" s="89">
        <v>167</v>
      </c>
      <c r="B77" t="s">
        <v>167</v>
      </c>
      <c r="C77">
        <v>423</v>
      </c>
      <c r="D77" s="86">
        <f>ROUND(G77,3)</f>
        <v>4.0960000000000001</v>
      </c>
      <c r="G77" s="87">
        <v>4.0962240000000003</v>
      </c>
    </row>
    <row r="78" spans="1:7">
      <c r="A78" s="89">
        <v>178</v>
      </c>
      <c r="B78" t="s">
        <v>178</v>
      </c>
      <c r="C78">
        <v>423</v>
      </c>
      <c r="D78" s="86">
        <f>ROUND(G78,3)</f>
        <v>6.1440000000000001</v>
      </c>
      <c r="G78" s="87">
        <v>6.144336</v>
      </c>
    </row>
    <row r="79" spans="1:7">
      <c r="A79" s="89">
        <v>162</v>
      </c>
      <c r="B79" t="s">
        <v>162</v>
      </c>
      <c r="C79">
        <v>423</v>
      </c>
      <c r="D79" s="86">
        <f>ROUND(G79,3)</f>
        <v>0.51200000000000001</v>
      </c>
      <c r="G79" s="87">
        <v>0.51202800000000004</v>
      </c>
    </row>
    <row r="80" spans="1:7">
      <c r="A80" s="89">
        <v>173</v>
      </c>
      <c r="B80" t="s">
        <v>173</v>
      </c>
      <c r="C80">
        <v>423</v>
      </c>
      <c r="D80" s="86">
        <f>ROUND(G80,3)</f>
        <v>0.76800000000000002</v>
      </c>
      <c r="G80" s="87">
        <v>0.768042</v>
      </c>
    </row>
    <row r="81" spans="1:7">
      <c r="A81" s="89">
        <v>168</v>
      </c>
      <c r="B81" t="s">
        <v>168</v>
      </c>
      <c r="C81">
        <v>423</v>
      </c>
      <c r="D81" s="86">
        <f>ROUND(G81,3)</f>
        <v>5.12</v>
      </c>
      <c r="G81" s="87">
        <v>5.1202800000000002</v>
      </c>
    </row>
    <row r="82" spans="1:7">
      <c r="A82" s="89">
        <v>179</v>
      </c>
      <c r="B82" t="s">
        <v>179</v>
      </c>
      <c r="C82">
        <v>423</v>
      </c>
      <c r="D82" s="86">
        <f>ROUND(G82,3)</f>
        <v>7.68</v>
      </c>
      <c r="G82" s="87">
        <v>7.6804199999999998</v>
      </c>
    </row>
    <row r="83" spans="1:7">
      <c r="A83" s="89">
        <v>169</v>
      </c>
      <c r="B83" t="s">
        <v>169</v>
      </c>
      <c r="C83">
        <v>423</v>
      </c>
      <c r="D83" s="86">
        <f>ROUND(G83,3)</f>
        <v>7.68</v>
      </c>
      <c r="G83" s="87">
        <v>7.6804199999999998</v>
      </c>
    </row>
    <row r="84" spans="1:7">
      <c r="A84" s="89">
        <v>180</v>
      </c>
      <c r="B84" t="s">
        <v>180</v>
      </c>
      <c r="C84">
        <v>423</v>
      </c>
      <c r="D84" s="86">
        <f>ROUND(G84,3)</f>
        <v>11.521000000000001</v>
      </c>
      <c r="G84" s="87">
        <v>11.520630000000001</v>
      </c>
    </row>
    <row r="85" spans="1:7">
      <c r="A85" s="89">
        <v>170</v>
      </c>
      <c r="B85" t="s">
        <v>170</v>
      </c>
      <c r="C85">
        <v>423</v>
      </c>
      <c r="D85" s="86">
        <f>ROUND(G85,3)</f>
        <v>10.241</v>
      </c>
      <c r="G85" s="87">
        <v>10.24056</v>
      </c>
    </row>
    <row r="86" spans="1:7">
      <c r="A86" s="89">
        <v>181</v>
      </c>
      <c r="B86" t="s">
        <v>181</v>
      </c>
      <c r="C86">
        <v>423</v>
      </c>
      <c r="D86" s="86">
        <f>ROUND(G86,3)</f>
        <v>15.361000000000001</v>
      </c>
      <c r="G86" s="87">
        <v>15.36084</v>
      </c>
    </row>
    <row r="87" spans="1:7">
      <c r="A87" s="89">
        <v>163</v>
      </c>
      <c r="B87" t="s">
        <v>163</v>
      </c>
      <c r="C87">
        <v>423</v>
      </c>
      <c r="D87" s="86">
        <f>ROUND(G87,3)</f>
        <v>1.28</v>
      </c>
      <c r="G87" s="87">
        <v>1.28007</v>
      </c>
    </row>
    <row r="88" spans="1:7">
      <c r="A88" s="89">
        <v>174</v>
      </c>
      <c r="B88" t="s">
        <v>174</v>
      </c>
      <c r="C88">
        <v>423</v>
      </c>
      <c r="D88" s="86">
        <f>ROUND(G88,3)</f>
        <v>1.92</v>
      </c>
      <c r="G88" s="87">
        <v>1.920105</v>
      </c>
    </row>
    <row r="89" spans="1:7">
      <c r="A89" s="89">
        <v>171</v>
      </c>
      <c r="B89" t="s">
        <v>171</v>
      </c>
      <c r="C89">
        <v>423</v>
      </c>
      <c r="D89" s="86">
        <f>ROUND(G89,3)</f>
        <v>12.801</v>
      </c>
      <c r="G89" s="87">
        <v>12.800700000000001</v>
      </c>
    </row>
    <row r="90" spans="1:7">
      <c r="A90" s="89">
        <v>182</v>
      </c>
      <c r="B90" t="s">
        <v>182</v>
      </c>
      <c r="C90">
        <v>423</v>
      </c>
      <c r="D90" s="86">
        <f>ROUND(G90,3)</f>
        <v>19.201000000000001</v>
      </c>
      <c r="G90" s="87">
        <v>19.201049999999999</v>
      </c>
    </row>
    <row r="91" spans="1:7">
      <c r="A91" s="89">
        <v>164</v>
      </c>
      <c r="B91" t="s">
        <v>164</v>
      </c>
      <c r="C91">
        <v>423</v>
      </c>
      <c r="D91" s="86">
        <f>ROUND(G91,3)</f>
        <v>1.792</v>
      </c>
      <c r="G91" s="87">
        <v>1.792098</v>
      </c>
    </row>
    <row r="92" spans="1:7">
      <c r="A92" s="89">
        <v>175</v>
      </c>
      <c r="B92" t="s">
        <v>175</v>
      </c>
      <c r="C92">
        <v>423</v>
      </c>
      <c r="D92" s="86">
        <f>ROUND(G92,3)</f>
        <v>2.6880000000000002</v>
      </c>
      <c r="G92" s="87">
        <v>2.6881469999999998</v>
      </c>
    </row>
    <row r="93" spans="1:7">
      <c r="A93" s="89">
        <v>172</v>
      </c>
      <c r="B93" t="s">
        <v>172</v>
      </c>
      <c r="C93">
        <v>423</v>
      </c>
      <c r="D93" s="86">
        <f>ROUND(G93,3)</f>
        <v>20.481000000000002</v>
      </c>
      <c r="G93" s="87">
        <v>20.481120000000001</v>
      </c>
    </row>
    <row r="94" spans="1:7">
      <c r="A94" s="89">
        <v>183</v>
      </c>
      <c r="B94" t="s">
        <v>183</v>
      </c>
      <c r="C94">
        <v>423</v>
      </c>
      <c r="D94" s="86">
        <f>ROUND(G94,3)</f>
        <v>30.722000000000001</v>
      </c>
      <c r="G94" s="87">
        <v>30.721679999999999</v>
      </c>
    </row>
    <row r="95" spans="1:7">
      <c r="A95" s="89">
        <v>192</v>
      </c>
      <c r="B95" t="s">
        <v>192</v>
      </c>
      <c r="C95">
        <v>379</v>
      </c>
      <c r="D95" s="86">
        <f>ROUND(G95,3)</f>
        <v>7.508</v>
      </c>
      <c r="G95" s="87">
        <v>7.5081600000000002</v>
      </c>
    </row>
    <row r="96" spans="1:7">
      <c r="A96" s="89">
        <v>192</v>
      </c>
      <c r="B96" t="s">
        <v>192</v>
      </c>
      <c r="C96">
        <v>378</v>
      </c>
      <c r="D96" s="86">
        <f>ROUND(G96,3)</f>
        <v>2.145</v>
      </c>
      <c r="G96" s="87">
        <v>2.144736</v>
      </c>
    </row>
    <row r="97" spans="1:7">
      <c r="A97" s="89">
        <v>195</v>
      </c>
      <c r="B97" t="s">
        <v>195</v>
      </c>
      <c r="C97">
        <v>379</v>
      </c>
      <c r="D97" s="86">
        <f>ROUND(G97,3)</f>
        <v>112.622</v>
      </c>
      <c r="G97" s="87">
        <v>112.6224</v>
      </c>
    </row>
    <row r="98" spans="1:7">
      <c r="A98" s="89">
        <v>195</v>
      </c>
      <c r="B98" t="s">
        <v>195</v>
      </c>
      <c r="C98">
        <v>378</v>
      </c>
      <c r="D98" s="86">
        <f>ROUND(G98,3)</f>
        <v>32.170999999999999</v>
      </c>
      <c r="G98" s="87">
        <v>32.171039999999998</v>
      </c>
    </row>
    <row r="99" spans="1:7">
      <c r="A99" s="89">
        <v>187</v>
      </c>
      <c r="B99" t="s">
        <v>187</v>
      </c>
      <c r="C99">
        <v>379</v>
      </c>
      <c r="D99" s="86">
        <f>ROUND(G99,3)</f>
        <v>1.877</v>
      </c>
      <c r="G99" s="87">
        <v>1.87704</v>
      </c>
    </row>
    <row r="100" spans="1:7">
      <c r="A100" s="89">
        <v>187</v>
      </c>
      <c r="B100" t="s">
        <v>187</v>
      </c>
      <c r="C100">
        <v>378</v>
      </c>
      <c r="D100" s="86">
        <f>ROUND(G100,3)</f>
        <v>0.53600000000000003</v>
      </c>
      <c r="G100" s="87">
        <v>0.53618399999999999</v>
      </c>
    </row>
    <row r="101" spans="1:7">
      <c r="A101" s="89">
        <v>188</v>
      </c>
      <c r="B101" t="s">
        <v>188</v>
      </c>
      <c r="C101">
        <v>379</v>
      </c>
      <c r="D101" s="86">
        <f>ROUND(G101,3)</f>
        <v>2.6280000000000001</v>
      </c>
      <c r="G101" s="87">
        <v>2.627856</v>
      </c>
    </row>
    <row r="102" spans="1:7">
      <c r="A102" s="89">
        <v>188</v>
      </c>
      <c r="B102" t="s">
        <v>188</v>
      </c>
      <c r="C102">
        <v>378</v>
      </c>
      <c r="D102" s="86">
        <f>ROUND(G102,3)</f>
        <v>0.751</v>
      </c>
      <c r="G102" s="87">
        <v>0.75065760000000004</v>
      </c>
    </row>
    <row r="103" spans="1:7">
      <c r="A103" s="89">
        <v>185</v>
      </c>
      <c r="B103" t="s">
        <v>185</v>
      </c>
      <c r="C103">
        <v>379</v>
      </c>
      <c r="D103" s="86">
        <f>ROUND(G103,3)</f>
        <v>0.93899999999999995</v>
      </c>
      <c r="G103" s="87">
        <v>0.93852000000000002</v>
      </c>
    </row>
    <row r="104" spans="1:7">
      <c r="A104" s="89">
        <v>185</v>
      </c>
      <c r="B104" t="s">
        <v>185</v>
      </c>
      <c r="C104">
        <v>378</v>
      </c>
      <c r="D104" s="86">
        <f>ROUND(G104,3)</f>
        <v>0.26800000000000002</v>
      </c>
      <c r="G104" s="87">
        <v>0.268092</v>
      </c>
    </row>
    <row r="105" spans="1:7">
      <c r="A105" s="89">
        <v>193</v>
      </c>
      <c r="B105" t="s">
        <v>193</v>
      </c>
      <c r="C105">
        <v>379</v>
      </c>
      <c r="D105" s="86">
        <f>ROUND(G105,3)</f>
        <v>9.3849999999999998</v>
      </c>
      <c r="G105" s="87">
        <v>9.3851999999999993</v>
      </c>
    </row>
    <row r="106" spans="1:7">
      <c r="A106" s="89">
        <v>193</v>
      </c>
      <c r="B106" t="s">
        <v>193</v>
      </c>
      <c r="C106">
        <v>378</v>
      </c>
      <c r="D106" s="86">
        <f>ROUND(G106,3)</f>
        <v>2.681</v>
      </c>
      <c r="G106" s="87">
        <v>2.68092</v>
      </c>
    </row>
    <row r="107" spans="1:7">
      <c r="A107" s="89">
        <v>186</v>
      </c>
      <c r="B107" t="s">
        <v>186</v>
      </c>
      <c r="C107">
        <v>379</v>
      </c>
      <c r="D107" s="86">
        <f>ROUND(G107,3)</f>
        <v>1.3140000000000001</v>
      </c>
      <c r="G107" s="87">
        <v>1.313928</v>
      </c>
    </row>
    <row r="108" spans="1:7">
      <c r="A108" s="89">
        <v>186</v>
      </c>
      <c r="B108" t="s">
        <v>186</v>
      </c>
      <c r="C108">
        <v>378</v>
      </c>
      <c r="D108" s="86">
        <f>ROUND(G108,3)</f>
        <v>0.375</v>
      </c>
      <c r="G108" s="87">
        <v>0.37532880000000002</v>
      </c>
    </row>
    <row r="109" spans="1:7">
      <c r="A109" s="89">
        <v>197</v>
      </c>
      <c r="B109" t="s">
        <v>197</v>
      </c>
      <c r="C109">
        <v>379</v>
      </c>
      <c r="D109" s="86">
        <f>ROUND(G109,3)</f>
        <v>180.196</v>
      </c>
      <c r="G109" s="87">
        <v>180.19584</v>
      </c>
    </row>
    <row r="110" spans="1:7">
      <c r="A110" s="89">
        <v>197</v>
      </c>
      <c r="B110" t="s">
        <v>197</v>
      </c>
      <c r="C110">
        <v>378</v>
      </c>
      <c r="D110" s="86">
        <f>ROUND(G110,3)</f>
        <v>51.473999999999997</v>
      </c>
      <c r="G110" s="87">
        <v>51.473663999999999</v>
      </c>
    </row>
    <row r="111" spans="1:7">
      <c r="A111" s="89">
        <v>196</v>
      </c>
      <c r="B111" t="s">
        <v>196</v>
      </c>
      <c r="C111">
        <v>379</v>
      </c>
      <c r="D111" s="86">
        <f>ROUND(G111,3)</f>
        <v>150.16300000000001</v>
      </c>
      <c r="G111" s="87">
        <v>150.16319999999999</v>
      </c>
    </row>
    <row r="112" spans="1:7">
      <c r="A112" s="89">
        <v>196</v>
      </c>
      <c r="B112" t="s">
        <v>196</v>
      </c>
      <c r="C112">
        <v>378</v>
      </c>
      <c r="D112" s="86">
        <f>ROUND(G112,3)</f>
        <v>42.895000000000003</v>
      </c>
      <c r="G112" s="87">
        <v>42.89472</v>
      </c>
    </row>
    <row r="113" spans="1:7">
      <c r="A113" s="89">
        <v>198</v>
      </c>
      <c r="B113" t="s">
        <v>198</v>
      </c>
      <c r="C113">
        <v>379</v>
      </c>
      <c r="D113" s="86">
        <f>ROUND(G113,3)</f>
        <v>240.261</v>
      </c>
      <c r="G113" s="87">
        <v>240.26112000000001</v>
      </c>
    </row>
    <row r="114" spans="1:7">
      <c r="A114" s="89">
        <v>198</v>
      </c>
      <c r="B114" t="s">
        <v>198</v>
      </c>
      <c r="C114">
        <v>378</v>
      </c>
      <c r="D114" s="86">
        <f>ROUND(G114,3)</f>
        <v>68.632000000000005</v>
      </c>
      <c r="G114" s="87">
        <v>68.631551999999999</v>
      </c>
    </row>
    <row r="115" spans="1:7">
      <c r="A115" s="89">
        <v>189</v>
      </c>
      <c r="B115" t="s">
        <v>189</v>
      </c>
      <c r="C115">
        <v>379</v>
      </c>
      <c r="D115" s="86">
        <f>ROUND(G115,3)</f>
        <v>3.0030000000000001</v>
      </c>
      <c r="G115" s="87">
        <v>3.0032640000000002</v>
      </c>
    </row>
    <row r="116" spans="1:7">
      <c r="A116" s="89">
        <v>189</v>
      </c>
      <c r="B116" t="s">
        <v>189</v>
      </c>
      <c r="C116">
        <v>378</v>
      </c>
      <c r="D116" s="86">
        <f>ROUND(G116,3)</f>
        <v>0.85799999999999998</v>
      </c>
      <c r="G116" s="87">
        <v>0.85789439999999995</v>
      </c>
    </row>
    <row r="117" spans="1:7">
      <c r="A117" s="89">
        <v>184</v>
      </c>
      <c r="B117" t="s">
        <v>184</v>
      </c>
      <c r="C117">
        <v>379</v>
      </c>
      <c r="D117" s="86">
        <f>ROUND(G117,3)</f>
        <v>0.375</v>
      </c>
      <c r="G117" s="87">
        <v>0.37540800000000002</v>
      </c>
    </row>
    <row r="118" spans="1:7">
      <c r="A118" s="89">
        <v>184</v>
      </c>
      <c r="B118" t="s">
        <v>184</v>
      </c>
      <c r="C118">
        <v>378</v>
      </c>
      <c r="D118" s="86">
        <f>ROUND(G118,3)</f>
        <v>0.107</v>
      </c>
      <c r="G118" s="87">
        <v>0.10723679999999999</v>
      </c>
    </row>
    <row r="119" spans="1:7">
      <c r="A119" s="89">
        <v>190</v>
      </c>
      <c r="B119" t="s">
        <v>190</v>
      </c>
      <c r="C119">
        <v>379</v>
      </c>
      <c r="D119" s="86">
        <f>ROUND(G119,3)</f>
        <v>3.754</v>
      </c>
      <c r="G119" s="87">
        <v>3.7540800000000001</v>
      </c>
    </row>
    <row r="120" spans="1:7">
      <c r="A120" s="89">
        <v>190</v>
      </c>
      <c r="B120" t="s">
        <v>190</v>
      </c>
      <c r="C120">
        <v>378</v>
      </c>
      <c r="D120" s="86">
        <f>ROUND(G120,3)</f>
        <v>1.0720000000000001</v>
      </c>
      <c r="G120" s="87">
        <v>1.072368</v>
      </c>
    </row>
    <row r="121" spans="1:7">
      <c r="A121" s="89">
        <v>191</v>
      </c>
      <c r="B121" t="s">
        <v>191</v>
      </c>
      <c r="C121">
        <v>379</v>
      </c>
      <c r="D121" s="86">
        <f>ROUND(G121,3)</f>
        <v>5.6310000000000002</v>
      </c>
      <c r="G121" s="87">
        <v>5.6311200000000001</v>
      </c>
    </row>
    <row r="122" spans="1:7">
      <c r="A122" s="89">
        <v>191</v>
      </c>
      <c r="B122" t="s">
        <v>191</v>
      </c>
      <c r="C122">
        <v>378</v>
      </c>
      <c r="D122" s="86">
        <f>ROUND(G122,3)</f>
        <v>1.609</v>
      </c>
      <c r="G122" s="87">
        <v>1.608552</v>
      </c>
    </row>
    <row r="123" spans="1:7">
      <c r="A123" s="89">
        <v>194</v>
      </c>
      <c r="B123" t="s">
        <v>194</v>
      </c>
      <c r="C123">
        <v>379</v>
      </c>
      <c r="D123" s="86">
        <f>ROUND(G123,3)</f>
        <v>15.016</v>
      </c>
      <c r="G123" s="87">
        <v>15.01632</v>
      </c>
    </row>
    <row r="124" spans="1:7">
      <c r="A124" s="89">
        <v>194</v>
      </c>
      <c r="B124" t="s">
        <v>194</v>
      </c>
      <c r="C124">
        <v>378</v>
      </c>
      <c r="D124" s="86">
        <f>ROUND(G124,3)</f>
        <v>4.2889999999999997</v>
      </c>
      <c r="G124" s="87">
        <v>4.289472</v>
      </c>
    </row>
    <row r="125" spans="1:7">
      <c r="A125" s="89">
        <v>210</v>
      </c>
      <c r="B125" t="s">
        <v>210</v>
      </c>
      <c r="C125">
        <v>379</v>
      </c>
      <c r="D125" s="86">
        <f>ROUND(G125,3)</f>
        <v>171.04499999999999</v>
      </c>
      <c r="G125" s="87">
        <v>171.04526999999999</v>
      </c>
    </row>
    <row r="126" spans="1:7">
      <c r="A126" s="89">
        <v>210</v>
      </c>
      <c r="B126" t="s">
        <v>210</v>
      </c>
      <c r="C126">
        <v>378</v>
      </c>
      <c r="D126" s="86">
        <f>ROUND(G126,3)</f>
        <v>48.256999999999998</v>
      </c>
      <c r="G126" s="87">
        <v>48.25656</v>
      </c>
    </row>
    <row r="127" spans="1:7">
      <c r="A127" s="89">
        <v>212</v>
      </c>
      <c r="B127" t="s">
        <v>212</v>
      </c>
      <c r="C127">
        <v>379</v>
      </c>
      <c r="D127" s="86">
        <f>ROUND(G127,3)</f>
        <v>273.67200000000003</v>
      </c>
      <c r="G127" s="87">
        <v>273.67243200000001</v>
      </c>
    </row>
    <row r="128" spans="1:7">
      <c r="A128" s="89">
        <v>212</v>
      </c>
      <c r="B128" t="s">
        <v>212</v>
      </c>
      <c r="C128">
        <v>378</v>
      </c>
      <c r="D128" s="86">
        <f>ROUND(G128,3)</f>
        <v>77.209999999999994</v>
      </c>
      <c r="G128" s="87">
        <v>77.210496000000006</v>
      </c>
    </row>
    <row r="129" spans="1:7">
      <c r="A129" s="89">
        <v>211</v>
      </c>
      <c r="B129" t="s">
        <v>211</v>
      </c>
      <c r="C129">
        <v>379</v>
      </c>
      <c r="D129" s="86">
        <f>ROUND(G129,3)</f>
        <v>228.06</v>
      </c>
      <c r="G129" s="87">
        <v>228.06036</v>
      </c>
    </row>
    <row r="130" spans="1:7">
      <c r="A130" s="89">
        <v>211</v>
      </c>
      <c r="B130" t="s">
        <v>211</v>
      </c>
      <c r="C130">
        <v>378</v>
      </c>
      <c r="D130" s="86">
        <f>ROUND(G130,3)</f>
        <v>64.341999999999999</v>
      </c>
      <c r="G130" s="87">
        <v>64.342079999999996</v>
      </c>
    </row>
    <row r="131" spans="1:7">
      <c r="A131" s="89">
        <v>213</v>
      </c>
      <c r="B131" t="s">
        <v>213</v>
      </c>
      <c r="C131">
        <v>379</v>
      </c>
      <c r="D131" s="86">
        <f>ROUND(G131,3)</f>
        <v>364.89699999999999</v>
      </c>
      <c r="G131" s="87">
        <v>364.89657599999998</v>
      </c>
    </row>
    <row r="132" spans="1:7">
      <c r="A132" s="89">
        <v>213</v>
      </c>
      <c r="B132" t="s">
        <v>213</v>
      </c>
      <c r="C132">
        <v>378</v>
      </c>
      <c r="D132" s="86">
        <f>ROUND(G132,3)</f>
        <v>102.947</v>
      </c>
      <c r="G132" s="87">
        <v>102.947328</v>
      </c>
    </row>
    <row r="133" spans="1:7">
      <c r="A133" s="89">
        <v>202</v>
      </c>
      <c r="B133" t="s">
        <v>202</v>
      </c>
      <c r="C133">
        <v>379</v>
      </c>
      <c r="D133" s="86">
        <f>ROUND(G133,3)</f>
        <v>2.851</v>
      </c>
      <c r="G133" s="87">
        <v>2.8507544999999999</v>
      </c>
    </row>
    <row r="134" spans="1:7">
      <c r="A134" s="89">
        <v>202</v>
      </c>
      <c r="B134" t="s">
        <v>202</v>
      </c>
      <c r="C134">
        <v>378</v>
      </c>
      <c r="D134" s="86">
        <f>ROUND(G134,3)</f>
        <v>0.80400000000000005</v>
      </c>
      <c r="G134" s="87">
        <v>0.80427599999999999</v>
      </c>
    </row>
    <row r="135" spans="1:7">
      <c r="A135" s="89">
        <v>203</v>
      </c>
      <c r="B135" t="s">
        <v>203</v>
      </c>
      <c r="C135">
        <v>379</v>
      </c>
      <c r="D135" s="86">
        <f>ROUND(G135,3)</f>
        <v>3.9910000000000001</v>
      </c>
      <c r="G135" s="87">
        <v>3.9910562999999999</v>
      </c>
    </row>
    <row r="136" spans="1:7">
      <c r="A136" s="89">
        <v>203</v>
      </c>
      <c r="B136" t="s">
        <v>203</v>
      </c>
      <c r="C136">
        <v>378</v>
      </c>
      <c r="D136" s="86">
        <f>ROUND(G136,3)</f>
        <v>1.1259999999999999</v>
      </c>
      <c r="G136" s="87">
        <v>1.1259863999999999</v>
      </c>
    </row>
    <row r="137" spans="1:7">
      <c r="A137" s="89">
        <v>204</v>
      </c>
      <c r="B137" t="s">
        <v>204</v>
      </c>
      <c r="C137">
        <v>379</v>
      </c>
      <c r="D137" s="86">
        <f>ROUND(G137,3)</f>
        <v>4.5609999999999999</v>
      </c>
      <c r="G137" s="87">
        <v>4.5612072000000001</v>
      </c>
    </row>
    <row r="138" spans="1:7">
      <c r="A138" s="89">
        <v>204</v>
      </c>
      <c r="B138" t="s">
        <v>204</v>
      </c>
      <c r="C138">
        <v>378</v>
      </c>
      <c r="D138" s="86">
        <f>ROUND(G138,3)</f>
        <v>1.2869999999999999</v>
      </c>
      <c r="G138" s="87">
        <v>1.2868416</v>
      </c>
    </row>
    <row r="139" spans="1:7">
      <c r="A139" s="89">
        <v>199</v>
      </c>
      <c r="B139" t="s">
        <v>199</v>
      </c>
      <c r="C139">
        <v>379</v>
      </c>
      <c r="D139" s="86">
        <f>ROUND(G139,3)</f>
        <v>0.56999999999999995</v>
      </c>
      <c r="G139" s="87">
        <v>0.57015090000000002</v>
      </c>
    </row>
    <row r="140" spans="1:7">
      <c r="A140" s="89">
        <v>199</v>
      </c>
      <c r="B140" t="s">
        <v>199</v>
      </c>
      <c r="C140">
        <v>378</v>
      </c>
      <c r="D140" s="86">
        <f>ROUND(G140,3)</f>
        <v>0.161</v>
      </c>
      <c r="G140" s="87">
        <v>0.1608552</v>
      </c>
    </row>
    <row r="141" spans="1:7">
      <c r="A141" s="89">
        <v>205</v>
      </c>
      <c r="B141" t="s">
        <v>205</v>
      </c>
      <c r="C141">
        <v>379</v>
      </c>
      <c r="D141" s="86">
        <f>ROUND(G141,3)</f>
        <v>5.702</v>
      </c>
      <c r="G141" s="87">
        <v>5.7015089999999997</v>
      </c>
    </row>
    <row r="142" spans="1:7">
      <c r="A142" s="89">
        <v>205</v>
      </c>
      <c r="B142" t="s">
        <v>205</v>
      </c>
      <c r="C142">
        <v>378</v>
      </c>
      <c r="D142" s="86">
        <f>ROUND(G142,3)</f>
        <v>1.609</v>
      </c>
      <c r="G142" s="87">
        <v>1.608552</v>
      </c>
    </row>
    <row r="143" spans="1:7">
      <c r="A143" s="89">
        <v>206</v>
      </c>
      <c r="B143" t="s">
        <v>206</v>
      </c>
      <c r="C143">
        <v>379</v>
      </c>
      <c r="D143" s="86">
        <f>ROUND(G143,3)</f>
        <v>8.5519999999999996</v>
      </c>
      <c r="G143" s="87">
        <v>8.5522635000000005</v>
      </c>
    </row>
    <row r="144" spans="1:7">
      <c r="A144" s="89">
        <v>206</v>
      </c>
      <c r="B144" t="s">
        <v>206</v>
      </c>
      <c r="C144">
        <v>378</v>
      </c>
      <c r="D144" s="86">
        <f>ROUND(G144,3)</f>
        <v>2.4129999999999998</v>
      </c>
      <c r="G144" s="87">
        <v>2.4128280000000002</v>
      </c>
    </row>
    <row r="145" spans="1:7">
      <c r="A145" s="89">
        <v>207</v>
      </c>
      <c r="B145" t="s">
        <v>207</v>
      </c>
      <c r="C145">
        <v>379</v>
      </c>
      <c r="D145" s="86">
        <f>ROUND(G145,3)</f>
        <v>11.403</v>
      </c>
      <c r="G145" s="87">
        <v>11.403017999999999</v>
      </c>
    </row>
    <row r="146" spans="1:7">
      <c r="A146" s="89">
        <v>207</v>
      </c>
      <c r="B146" t="s">
        <v>207</v>
      </c>
      <c r="C146">
        <v>378</v>
      </c>
      <c r="D146" s="86">
        <f>ROUND(G146,3)</f>
        <v>3.2170000000000001</v>
      </c>
      <c r="G146" s="87">
        <v>3.217104</v>
      </c>
    </row>
    <row r="147" spans="1:7">
      <c r="A147" s="89">
        <v>200</v>
      </c>
      <c r="B147" t="s">
        <v>200</v>
      </c>
      <c r="C147">
        <v>379</v>
      </c>
      <c r="D147" s="86">
        <f>ROUND(G147,3)</f>
        <v>1.425</v>
      </c>
      <c r="G147" s="87">
        <v>1.4253772499999999</v>
      </c>
    </row>
    <row r="148" spans="1:7">
      <c r="A148" s="89">
        <v>200</v>
      </c>
      <c r="B148" t="s">
        <v>200</v>
      </c>
      <c r="C148">
        <v>378</v>
      </c>
      <c r="D148" s="86">
        <f>ROUND(G148,3)</f>
        <v>0.40200000000000002</v>
      </c>
      <c r="G148" s="87">
        <v>0.402138</v>
      </c>
    </row>
    <row r="149" spans="1:7">
      <c r="A149" s="89">
        <v>208</v>
      </c>
      <c r="B149" t="s">
        <v>208</v>
      </c>
      <c r="C149">
        <v>379</v>
      </c>
      <c r="D149" s="86">
        <f>ROUND(G149,3)</f>
        <v>14.254</v>
      </c>
      <c r="G149" s="87">
        <v>14.2537725</v>
      </c>
    </row>
    <row r="150" spans="1:7">
      <c r="A150" s="89">
        <v>208</v>
      </c>
      <c r="B150" t="s">
        <v>208</v>
      </c>
      <c r="C150">
        <v>378</v>
      </c>
      <c r="D150" s="86">
        <f>ROUND(G150,3)</f>
        <v>4.0209999999999999</v>
      </c>
      <c r="G150" s="87">
        <v>4.0213799999999997</v>
      </c>
    </row>
    <row r="151" spans="1:7">
      <c r="A151" s="89">
        <v>201</v>
      </c>
      <c r="B151" t="s">
        <v>201</v>
      </c>
      <c r="C151">
        <v>379</v>
      </c>
      <c r="D151" s="86">
        <f>ROUND(G151,3)</f>
        <v>1.996</v>
      </c>
      <c r="G151" s="87">
        <v>1.9955281499999999</v>
      </c>
    </row>
    <row r="152" spans="1:7">
      <c r="A152" s="89">
        <v>201</v>
      </c>
      <c r="B152" t="s">
        <v>201</v>
      </c>
      <c r="C152">
        <v>378</v>
      </c>
      <c r="D152" s="86">
        <f>ROUND(G152,3)</f>
        <v>0.56299999999999994</v>
      </c>
      <c r="G152" s="87">
        <v>0.56299319999999997</v>
      </c>
    </row>
    <row r="153" spans="1:7">
      <c r="A153" s="89">
        <v>209</v>
      </c>
      <c r="B153" t="s">
        <v>209</v>
      </c>
      <c r="C153">
        <v>379</v>
      </c>
      <c r="D153" s="86">
        <f>ROUND(G153,3)</f>
        <v>22.806000000000001</v>
      </c>
      <c r="G153" s="87">
        <v>22.806035999999999</v>
      </c>
    </row>
    <row r="154" spans="1:7">
      <c r="A154" s="89">
        <v>209</v>
      </c>
      <c r="B154" t="s">
        <v>209</v>
      </c>
      <c r="C154">
        <v>378</v>
      </c>
      <c r="D154" s="86">
        <f>ROUND(G154,3)</f>
        <v>6.4340000000000002</v>
      </c>
      <c r="G154" s="87">
        <v>6.4342079999999999</v>
      </c>
    </row>
    <row r="155" spans="1:7">
      <c r="A155" s="89">
        <v>319</v>
      </c>
      <c r="B155" t="s">
        <v>318</v>
      </c>
      <c r="C155">
        <v>377</v>
      </c>
      <c r="D155" s="86">
        <f>ROUND(G155,3)</f>
        <v>1.597</v>
      </c>
      <c r="G155" s="87">
        <v>1.5970500000000001</v>
      </c>
    </row>
    <row r="156" spans="1:7">
      <c r="A156" s="89">
        <v>319</v>
      </c>
      <c r="B156" t="s">
        <v>318</v>
      </c>
      <c r="C156">
        <v>422</v>
      </c>
      <c r="D156" s="86">
        <f>ROUND(G156,3)</f>
        <v>6.9000000000000006E-2</v>
      </c>
      <c r="G156" s="87">
        <v>6.8985000000000005E-2</v>
      </c>
    </row>
    <row r="157" spans="1:7">
      <c r="A157" s="89">
        <v>321</v>
      </c>
      <c r="B157" t="s">
        <v>320</v>
      </c>
      <c r="C157">
        <v>377</v>
      </c>
      <c r="D157" s="86">
        <f>ROUND(G157,3)</f>
        <v>3.194</v>
      </c>
      <c r="G157" s="87">
        <v>3.1941000000000002</v>
      </c>
    </row>
    <row r="158" spans="1:7">
      <c r="A158" s="89">
        <v>321</v>
      </c>
      <c r="B158" t="s">
        <v>320</v>
      </c>
      <c r="C158">
        <v>422</v>
      </c>
      <c r="D158" s="86">
        <f>ROUND(G158,3)</f>
        <v>0.13800000000000001</v>
      </c>
      <c r="G158" s="87">
        <v>0.13797000000000001</v>
      </c>
    </row>
    <row r="159" spans="1:7">
      <c r="A159" s="89">
        <v>329</v>
      </c>
      <c r="B159" t="s">
        <v>328</v>
      </c>
      <c r="C159">
        <v>377</v>
      </c>
      <c r="D159" s="86">
        <f>ROUND(G159,3)</f>
        <v>4.7910000000000004</v>
      </c>
      <c r="G159" s="87">
        <v>4.79115</v>
      </c>
    </row>
    <row r="160" spans="1:7">
      <c r="A160" s="89">
        <v>329</v>
      </c>
      <c r="B160" t="s">
        <v>328</v>
      </c>
      <c r="C160">
        <v>422</v>
      </c>
      <c r="D160" s="86">
        <f>ROUND(G160,3)</f>
        <v>0.20699999999999999</v>
      </c>
      <c r="G160" s="87">
        <v>0.206955</v>
      </c>
    </row>
    <row r="161" spans="1:7">
      <c r="A161" s="89">
        <v>322</v>
      </c>
      <c r="B161" t="s">
        <v>321</v>
      </c>
      <c r="C161">
        <v>377</v>
      </c>
      <c r="D161" s="86">
        <f>ROUND(G161,3)</f>
        <v>4.4720000000000004</v>
      </c>
      <c r="G161" s="87">
        <v>4.4717399999999996</v>
      </c>
    </row>
    <row r="162" spans="1:7">
      <c r="A162" s="89">
        <v>322</v>
      </c>
      <c r="B162" t="s">
        <v>321</v>
      </c>
      <c r="C162">
        <v>422</v>
      </c>
      <c r="D162" s="86">
        <f>ROUND(G162,3)</f>
        <v>0.193</v>
      </c>
      <c r="G162" s="87">
        <v>0.193158</v>
      </c>
    </row>
    <row r="163" spans="1:7">
      <c r="A163" s="89">
        <v>330</v>
      </c>
      <c r="B163" t="s">
        <v>329</v>
      </c>
      <c r="C163">
        <v>377</v>
      </c>
      <c r="D163" s="86">
        <f>ROUND(G163,3)</f>
        <v>6.7080000000000002</v>
      </c>
      <c r="G163" s="87">
        <v>6.7076099999999999</v>
      </c>
    </row>
    <row r="164" spans="1:7">
      <c r="A164" s="89">
        <v>330</v>
      </c>
      <c r="B164" t="s">
        <v>329</v>
      </c>
      <c r="C164">
        <v>422</v>
      </c>
      <c r="D164" s="86">
        <f>ROUND(G164,3)</f>
        <v>0.28999999999999998</v>
      </c>
      <c r="G164" s="87">
        <v>0.28973700000000002</v>
      </c>
    </row>
    <row r="165" spans="1:7">
      <c r="A165" s="89">
        <v>323</v>
      </c>
      <c r="B165" t="s">
        <v>322</v>
      </c>
      <c r="C165">
        <v>377</v>
      </c>
      <c r="D165" s="86">
        <f>ROUND(G165,3)</f>
        <v>6.3879999999999999</v>
      </c>
      <c r="G165" s="87">
        <v>6.3882000000000003</v>
      </c>
    </row>
    <row r="166" spans="1:7">
      <c r="A166" s="89">
        <v>323</v>
      </c>
      <c r="B166" t="s">
        <v>322</v>
      </c>
      <c r="C166">
        <v>422</v>
      </c>
      <c r="D166" s="86">
        <f>ROUND(G166,3)</f>
        <v>0.27600000000000002</v>
      </c>
      <c r="G166" s="87">
        <v>0.27594000000000002</v>
      </c>
    </row>
    <row r="167" spans="1:7">
      <c r="A167" s="89">
        <v>331</v>
      </c>
      <c r="B167" t="s">
        <v>330</v>
      </c>
      <c r="C167">
        <v>377</v>
      </c>
      <c r="D167" s="86">
        <f>ROUND(G167,3)</f>
        <v>9.5820000000000007</v>
      </c>
      <c r="G167" s="87">
        <v>9.5823</v>
      </c>
    </row>
    <row r="168" spans="1:7">
      <c r="A168" s="89">
        <v>331</v>
      </c>
      <c r="B168" t="s">
        <v>330</v>
      </c>
      <c r="C168">
        <v>422</v>
      </c>
      <c r="D168" s="86">
        <f>ROUND(G168,3)</f>
        <v>0.41399999999999998</v>
      </c>
      <c r="G168" s="87">
        <v>0.41391</v>
      </c>
    </row>
    <row r="169" spans="1:7">
      <c r="A169" s="89">
        <v>324</v>
      </c>
      <c r="B169" t="s">
        <v>323</v>
      </c>
      <c r="C169">
        <v>377</v>
      </c>
      <c r="D169" s="86">
        <f>ROUND(G169,3)</f>
        <v>9.5820000000000007</v>
      </c>
      <c r="G169" s="87">
        <v>9.5823</v>
      </c>
    </row>
    <row r="170" spans="1:7">
      <c r="A170" s="89">
        <v>324</v>
      </c>
      <c r="B170" t="s">
        <v>323</v>
      </c>
      <c r="C170">
        <v>422</v>
      </c>
      <c r="D170" s="86">
        <f>ROUND(G170,3)</f>
        <v>0.41399999999999998</v>
      </c>
      <c r="G170" s="87">
        <v>0.41391</v>
      </c>
    </row>
    <row r="171" spans="1:7">
      <c r="A171" s="89">
        <v>332</v>
      </c>
      <c r="B171" t="s">
        <v>331</v>
      </c>
      <c r="C171">
        <v>377</v>
      </c>
      <c r="D171" s="86">
        <f>ROUND(G171,3)</f>
        <v>14.372999999999999</v>
      </c>
      <c r="G171" s="87">
        <v>14.37345</v>
      </c>
    </row>
    <row r="172" spans="1:7">
      <c r="A172" s="89">
        <v>332</v>
      </c>
      <c r="B172" t="s">
        <v>331</v>
      </c>
      <c r="C172">
        <v>422</v>
      </c>
      <c r="D172" s="86">
        <f>ROUND(G172,3)</f>
        <v>0.621</v>
      </c>
      <c r="G172" s="87">
        <v>0.620865</v>
      </c>
    </row>
    <row r="173" spans="1:7">
      <c r="A173" s="89">
        <v>325</v>
      </c>
      <c r="B173" t="s">
        <v>324</v>
      </c>
      <c r="C173">
        <v>377</v>
      </c>
      <c r="D173" s="86">
        <f>ROUND(G173,3)</f>
        <v>12.776</v>
      </c>
      <c r="G173" s="87">
        <v>12.776400000000001</v>
      </c>
    </row>
    <row r="174" spans="1:7">
      <c r="A174" s="89">
        <v>325</v>
      </c>
      <c r="B174" t="s">
        <v>324</v>
      </c>
      <c r="C174">
        <v>422</v>
      </c>
      <c r="D174" s="86">
        <f>ROUND(G174,3)</f>
        <v>0.55200000000000005</v>
      </c>
      <c r="G174" s="87">
        <v>0.55188000000000004</v>
      </c>
    </row>
    <row r="175" spans="1:7">
      <c r="A175" s="89">
        <v>333</v>
      </c>
      <c r="B175" t="s">
        <v>332</v>
      </c>
      <c r="C175">
        <v>377</v>
      </c>
      <c r="D175" s="86">
        <f>ROUND(G175,3)</f>
        <v>19.164999999999999</v>
      </c>
      <c r="G175" s="87">
        <v>19.1646</v>
      </c>
    </row>
    <row r="176" spans="1:7">
      <c r="A176" s="89">
        <v>333</v>
      </c>
      <c r="B176" t="s">
        <v>332</v>
      </c>
      <c r="C176">
        <v>422</v>
      </c>
      <c r="D176" s="86">
        <f>ROUND(G176,3)</f>
        <v>0.82799999999999996</v>
      </c>
      <c r="G176" s="87">
        <v>0.82782</v>
      </c>
    </row>
    <row r="177" spans="1:7">
      <c r="A177" s="89">
        <v>327</v>
      </c>
      <c r="B177" t="s">
        <v>326</v>
      </c>
      <c r="C177">
        <v>377</v>
      </c>
      <c r="D177" s="86">
        <f>ROUND(G177,3)</f>
        <v>2.3959999999999999</v>
      </c>
      <c r="G177" s="87">
        <v>2.395575</v>
      </c>
    </row>
    <row r="178" spans="1:7">
      <c r="A178" s="89">
        <v>327</v>
      </c>
      <c r="B178" t="s">
        <v>326</v>
      </c>
      <c r="C178">
        <v>422</v>
      </c>
      <c r="D178" s="86">
        <f>ROUND(G178,3)</f>
        <v>0.10299999999999999</v>
      </c>
      <c r="G178" s="87">
        <v>0.1034775</v>
      </c>
    </row>
    <row r="179" spans="1:7">
      <c r="A179" s="89">
        <v>326</v>
      </c>
      <c r="B179" t="s">
        <v>325</v>
      </c>
      <c r="C179">
        <v>377</v>
      </c>
      <c r="D179" s="86">
        <f>ROUND(G179,3)</f>
        <v>15.971</v>
      </c>
      <c r="G179" s="87">
        <v>15.970499999999999</v>
      </c>
    </row>
    <row r="180" spans="1:7">
      <c r="A180" s="89">
        <v>326</v>
      </c>
      <c r="B180" t="s">
        <v>325</v>
      </c>
      <c r="C180">
        <v>422</v>
      </c>
      <c r="D180" s="86">
        <f>ROUND(G180,3)</f>
        <v>0.69</v>
      </c>
      <c r="G180" s="87">
        <v>0.68984999999999996</v>
      </c>
    </row>
    <row r="181" spans="1:7">
      <c r="A181" s="89">
        <v>334</v>
      </c>
      <c r="B181" t="s">
        <v>333</v>
      </c>
      <c r="C181">
        <v>377</v>
      </c>
      <c r="D181" s="86">
        <f>ROUND(G181,3)</f>
        <v>23.956</v>
      </c>
      <c r="G181" s="87">
        <v>23.955749999999998</v>
      </c>
    </row>
    <row r="182" spans="1:7">
      <c r="A182" s="89">
        <v>334</v>
      </c>
      <c r="B182" t="s">
        <v>333</v>
      </c>
      <c r="C182">
        <v>422</v>
      </c>
      <c r="D182" s="86">
        <f>ROUND(G182,3)</f>
        <v>1.0349999999999999</v>
      </c>
      <c r="G182" s="87">
        <v>1.034775</v>
      </c>
    </row>
    <row r="183" spans="1:7">
      <c r="A183" s="89">
        <v>320</v>
      </c>
      <c r="B183" t="s">
        <v>319</v>
      </c>
      <c r="C183">
        <v>377</v>
      </c>
      <c r="D183" s="86">
        <f>ROUND(G183,3)</f>
        <v>2.2360000000000002</v>
      </c>
      <c r="G183" s="87">
        <v>2.2358699999999998</v>
      </c>
    </row>
    <row r="184" spans="1:7">
      <c r="A184" s="89">
        <v>320</v>
      </c>
      <c r="B184" t="s">
        <v>319</v>
      </c>
      <c r="C184">
        <v>422</v>
      </c>
      <c r="D184" s="86">
        <f>ROUND(G184,3)</f>
        <v>9.7000000000000003E-2</v>
      </c>
      <c r="G184" s="87">
        <v>9.6578999999999998E-2</v>
      </c>
    </row>
    <row r="185" spans="1:7">
      <c r="A185" s="89">
        <v>328</v>
      </c>
      <c r="B185" t="s">
        <v>327</v>
      </c>
      <c r="C185">
        <v>377</v>
      </c>
      <c r="D185" s="86">
        <f>ROUND(G185,3)</f>
        <v>3.3540000000000001</v>
      </c>
      <c r="G185" s="87">
        <v>3.3538049999999999</v>
      </c>
    </row>
    <row r="186" spans="1:7">
      <c r="A186" s="89">
        <v>328</v>
      </c>
      <c r="B186" t="s">
        <v>327</v>
      </c>
      <c r="C186">
        <v>422</v>
      </c>
      <c r="D186" s="86">
        <f>ROUND(G186,3)</f>
        <v>0.14499999999999999</v>
      </c>
      <c r="G186" s="87">
        <v>0.14486850000000001</v>
      </c>
    </row>
    <row r="187" spans="1:7">
      <c r="A187" s="89">
        <v>53</v>
      </c>
      <c r="B187" t="s">
        <v>460</v>
      </c>
      <c r="C187">
        <v>377</v>
      </c>
      <c r="D187" s="86">
        <f>ROUND(G187,3)</f>
        <v>212.94</v>
      </c>
      <c r="G187" s="87">
        <v>212.94</v>
      </c>
    </row>
    <row r="188" spans="1:7">
      <c r="A188" s="89">
        <v>68</v>
      </c>
      <c r="B188" t="s">
        <v>462</v>
      </c>
      <c r="C188">
        <v>377</v>
      </c>
      <c r="D188" s="86">
        <f>ROUND(G188,3)</f>
        <v>319.41000000000003</v>
      </c>
      <c r="G188" s="87">
        <v>319.41000000000003</v>
      </c>
    </row>
    <row r="189" spans="1:7">
      <c r="A189" s="89">
        <v>55</v>
      </c>
      <c r="B189" t="s">
        <v>463</v>
      </c>
      <c r="C189">
        <v>377</v>
      </c>
      <c r="D189" s="86">
        <f>ROUND(G189,3)</f>
        <v>340.70400000000001</v>
      </c>
      <c r="G189" s="87">
        <v>340.70400000000001</v>
      </c>
    </row>
    <row r="190" spans="1:7">
      <c r="A190" s="89">
        <v>70</v>
      </c>
      <c r="B190" t="s">
        <v>466</v>
      </c>
      <c r="C190">
        <v>377</v>
      </c>
      <c r="D190" s="86">
        <f>ROUND(G190,3)</f>
        <v>511.05599999999998</v>
      </c>
      <c r="G190" s="87">
        <v>511.05599999999998</v>
      </c>
    </row>
    <row r="191" spans="1:7">
      <c r="A191" s="89">
        <v>54</v>
      </c>
      <c r="B191" t="s">
        <v>461</v>
      </c>
      <c r="C191">
        <v>377</v>
      </c>
      <c r="D191" s="86">
        <f>ROUND(G191,3)</f>
        <v>283.92</v>
      </c>
      <c r="G191" s="87">
        <v>283.92</v>
      </c>
    </row>
    <row r="192" spans="1:7">
      <c r="A192" s="89">
        <v>69</v>
      </c>
      <c r="B192" t="s">
        <v>464</v>
      </c>
      <c r="C192">
        <v>377</v>
      </c>
      <c r="D192" s="86">
        <f>ROUND(G192,3)</f>
        <v>425.88</v>
      </c>
      <c r="G192" s="87">
        <v>425.88</v>
      </c>
    </row>
    <row r="193" spans="1:7">
      <c r="A193" s="89">
        <v>56</v>
      </c>
      <c r="B193" t="s">
        <v>465</v>
      </c>
      <c r="C193">
        <v>377</v>
      </c>
      <c r="D193" s="86">
        <f>ROUND(G193,3)</f>
        <v>454.27199999999999</v>
      </c>
      <c r="G193" s="87">
        <v>454.27199999999999</v>
      </c>
    </row>
    <row r="194" spans="1:7">
      <c r="A194" s="89">
        <v>71</v>
      </c>
      <c r="B194" t="s">
        <v>467</v>
      </c>
      <c r="C194">
        <v>377</v>
      </c>
      <c r="D194" s="86">
        <f>ROUND(G194,3)</f>
        <v>681.40800000000002</v>
      </c>
      <c r="G194" s="87">
        <v>681.40800000000002</v>
      </c>
    </row>
    <row r="195" spans="1:7">
      <c r="A195" s="89">
        <v>44</v>
      </c>
      <c r="B195" t="s">
        <v>415</v>
      </c>
      <c r="C195">
        <v>377</v>
      </c>
      <c r="D195" s="86">
        <f>ROUND(G195,3)</f>
        <v>3.5489999999999999</v>
      </c>
      <c r="G195" s="87">
        <v>3.5489999999999999</v>
      </c>
    </row>
    <row r="196" spans="1:7">
      <c r="A196" s="89">
        <v>60</v>
      </c>
      <c r="B196" t="s">
        <v>427</v>
      </c>
      <c r="C196">
        <v>377</v>
      </c>
      <c r="D196" s="86">
        <f>ROUND(G196,3)</f>
        <v>5.3239999999999998</v>
      </c>
      <c r="G196" s="87">
        <v>5.3235000000000001</v>
      </c>
    </row>
    <row r="197" spans="1:7">
      <c r="A197" s="89">
        <v>45</v>
      </c>
      <c r="B197" t="s">
        <v>416</v>
      </c>
      <c r="C197">
        <v>377</v>
      </c>
      <c r="D197" s="86">
        <f>ROUND(G197,3)</f>
        <v>4.9690000000000003</v>
      </c>
      <c r="G197" s="87">
        <v>4.9686000000000003</v>
      </c>
    </row>
    <row r="198" spans="1:7">
      <c r="A198" s="89">
        <v>61</v>
      </c>
      <c r="B198" t="s">
        <v>428</v>
      </c>
      <c r="C198">
        <v>377</v>
      </c>
      <c r="D198" s="86">
        <f>ROUND(G198,3)</f>
        <v>7.4530000000000003</v>
      </c>
      <c r="G198" s="87">
        <v>7.4528999999999996</v>
      </c>
    </row>
    <row r="199" spans="1:7">
      <c r="A199" s="89">
        <v>46</v>
      </c>
      <c r="B199" t="s">
        <v>417</v>
      </c>
      <c r="C199">
        <v>377</v>
      </c>
      <c r="D199" s="86">
        <f>ROUND(G199,3)</f>
        <v>5.6779999999999999</v>
      </c>
      <c r="G199" s="87">
        <v>5.6783999999999999</v>
      </c>
    </row>
    <row r="200" spans="1:7">
      <c r="A200" s="89">
        <v>62</v>
      </c>
      <c r="B200" t="s">
        <v>429</v>
      </c>
      <c r="C200">
        <v>377</v>
      </c>
      <c r="D200" s="86">
        <f>ROUND(G200,3)</f>
        <v>8.5180000000000007</v>
      </c>
      <c r="G200" s="87">
        <v>8.5175999999999998</v>
      </c>
    </row>
    <row r="201" spans="1:7">
      <c r="A201" s="89">
        <v>41</v>
      </c>
      <c r="B201" t="s">
        <v>412</v>
      </c>
      <c r="C201">
        <v>377</v>
      </c>
      <c r="D201" s="86">
        <f>ROUND(G201,3)</f>
        <v>0.71</v>
      </c>
      <c r="G201" s="87">
        <v>0.70979999999999999</v>
      </c>
    </row>
    <row r="202" spans="1:7">
      <c r="A202" s="89">
        <v>57</v>
      </c>
      <c r="B202" t="s">
        <v>424</v>
      </c>
      <c r="C202">
        <v>377</v>
      </c>
      <c r="D202" s="86">
        <f>ROUND(G202,3)</f>
        <v>1.0649999999999999</v>
      </c>
      <c r="G202" s="87">
        <v>1.0647</v>
      </c>
    </row>
    <row r="203" spans="1:7">
      <c r="A203" s="89">
        <v>47</v>
      </c>
      <c r="B203" t="s">
        <v>418</v>
      </c>
      <c r="C203">
        <v>377</v>
      </c>
      <c r="D203" s="86">
        <f>ROUND(G203,3)</f>
        <v>7.0979999999999999</v>
      </c>
      <c r="G203" s="87">
        <v>7.0979999999999999</v>
      </c>
    </row>
    <row r="204" spans="1:7">
      <c r="A204" s="89">
        <v>63</v>
      </c>
      <c r="B204" t="s">
        <v>430</v>
      </c>
      <c r="C204">
        <v>377</v>
      </c>
      <c r="D204" s="86">
        <f>ROUND(G204,3)</f>
        <v>10.647</v>
      </c>
      <c r="G204" s="87">
        <v>10.647</v>
      </c>
    </row>
    <row r="205" spans="1:7">
      <c r="A205" s="89">
        <v>48</v>
      </c>
      <c r="B205" t="s">
        <v>419</v>
      </c>
      <c r="C205">
        <v>377</v>
      </c>
      <c r="D205" s="86">
        <f>ROUND(G205,3)</f>
        <v>8.8729999999999993</v>
      </c>
      <c r="G205" s="87">
        <v>8.8725000000000005</v>
      </c>
    </row>
    <row r="206" spans="1:7">
      <c r="A206" s="89">
        <v>49</v>
      </c>
      <c r="B206" t="s">
        <v>420</v>
      </c>
      <c r="C206">
        <v>377</v>
      </c>
      <c r="D206" s="86">
        <f>ROUND(G206,3)</f>
        <v>10.647</v>
      </c>
      <c r="G206" s="87">
        <v>10.647</v>
      </c>
    </row>
    <row r="207" spans="1:7">
      <c r="A207" s="89">
        <v>64</v>
      </c>
      <c r="B207" t="s">
        <v>431</v>
      </c>
      <c r="C207">
        <v>377</v>
      </c>
      <c r="D207" s="86">
        <f>ROUND(G207,3)</f>
        <v>15.971</v>
      </c>
      <c r="G207" s="87">
        <v>15.970499999999999</v>
      </c>
    </row>
    <row r="208" spans="1:7">
      <c r="A208" s="89">
        <v>50</v>
      </c>
      <c r="B208" t="s">
        <v>421</v>
      </c>
      <c r="C208">
        <v>377</v>
      </c>
      <c r="D208" s="86">
        <f>ROUND(G208,3)</f>
        <v>14.196</v>
      </c>
      <c r="G208" s="87">
        <v>14.196</v>
      </c>
    </row>
    <row r="209" spans="1:7">
      <c r="A209" s="89">
        <v>65</v>
      </c>
      <c r="B209" t="s">
        <v>432</v>
      </c>
      <c r="C209">
        <v>377</v>
      </c>
      <c r="D209" s="86">
        <f>ROUND(G209,3)</f>
        <v>21.294</v>
      </c>
      <c r="G209" s="87">
        <v>21.294</v>
      </c>
    </row>
    <row r="210" spans="1:7">
      <c r="A210" s="89">
        <v>42</v>
      </c>
      <c r="B210" t="s">
        <v>413</v>
      </c>
      <c r="C210">
        <v>377</v>
      </c>
      <c r="D210" s="86">
        <f>ROUND(G210,3)</f>
        <v>1.7749999999999999</v>
      </c>
      <c r="G210" s="87">
        <v>1.7745</v>
      </c>
    </row>
    <row r="211" spans="1:7">
      <c r="A211" s="89">
        <v>58</v>
      </c>
      <c r="B211" t="s">
        <v>425</v>
      </c>
      <c r="C211">
        <v>377</v>
      </c>
      <c r="D211" s="86">
        <f>ROUND(G211,3)</f>
        <v>2.6619999999999999</v>
      </c>
      <c r="G211" s="87">
        <v>2.6617500000000001</v>
      </c>
    </row>
    <row r="212" spans="1:7">
      <c r="A212" s="89">
        <v>51</v>
      </c>
      <c r="B212" t="s">
        <v>422</v>
      </c>
      <c r="C212">
        <v>377</v>
      </c>
      <c r="D212" s="86">
        <f>ROUND(G212,3)</f>
        <v>17.745000000000001</v>
      </c>
      <c r="G212" s="87">
        <v>17.745000000000001</v>
      </c>
    </row>
    <row r="213" spans="1:7">
      <c r="A213" s="89">
        <v>66</v>
      </c>
      <c r="B213" t="s">
        <v>433</v>
      </c>
      <c r="C213">
        <v>377</v>
      </c>
      <c r="D213" s="86">
        <f>ROUND(G213,3)</f>
        <v>26.617999999999999</v>
      </c>
      <c r="G213" s="87">
        <v>26.6175</v>
      </c>
    </row>
    <row r="214" spans="1:7">
      <c r="A214" s="89">
        <v>43</v>
      </c>
      <c r="B214" t="s">
        <v>414</v>
      </c>
      <c r="C214">
        <v>377</v>
      </c>
      <c r="D214" s="86">
        <f>ROUND(G214,3)</f>
        <v>2.484</v>
      </c>
      <c r="G214" s="87">
        <v>2.4843000000000002</v>
      </c>
    </row>
    <row r="215" spans="1:7">
      <c r="A215" s="89">
        <v>59</v>
      </c>
      <c r="B215" t="s">
        <v>426</v>
      </c>
      <c r="C215">
        <v>377</v>
      </c>
      <c r="D215" s="86">
        <f>ROUND(G215,3)</f>
        <v>3.726</v>
      </c>
      <c r="G215" s="87">
        <v>3.7264499999999998</v>
      </c>
    </row>
    <row r="216" spans="1:7">
      <c r="A216" s="89">
        <v>52</v>
      </c>
      <c r="B216" t="s">
        <v>423</v>
      </c>
      <c r="C216">
        <v>377</v>
      </c>
      <c r="D216" s="86">
        <f>ROUND(G216,3)</f>
        <v>28.391999999999999</v>
      </c>
      <c r="G216" s="87">
        <v>28.391999999999999</v>
      </c>
    </row>
    <row r="217" spans="1:7">
      <c r="A217" s="89">
        <v>67</v>
      </c>
      <c r="B217" t="s">
        <v>434</v>
      </c>
      <c r="C217">
        <v>377</v>
      </c>
      <c r="D217" s="86">
        <f>ROUND(G217,3)</f>
        <v>42.588000000000001</v>
      </c>
      <c r="G217" s="87">
        <v>42.588000000000001</v>
      </c>
    </row>
    <row r="218" spans="1:7">
      <c r="A218" s="89">
        <v>248</v>
      </c>
      <c r="B218" t="s">
        <v>248</v>
      </c>
      <c r="C218">
        <v>380</v>
      </c>
      <c r="D218" s="86">
        <f>ROUND(G218,3)</f>
        <v>0.30399999999999999</v>
      </c>
      <c r="G218" s="87">
        <v>0.30393999999999999</v>
      </c>
    </row>
    <row r="219" spans="1:7">
      <c r="A219" s="89">
        <v>256</v>
      </c>
      <c r="B219" t="s">
        <v>256</v>
      </c>
      <c r="C219">
        <v>380</v>
      </c>
      <c r="D219" s="86">
        <f>ROUND(G219,3)</f>
        <v>0.45600000000000002</v>
      </c>
      <c r="G219" s="87">
        <v>0.45590999999999998</v>
      </c>
    </row>
    <row r="220" spans="1:7">
      <c r="A220" s="89">
        <v>249</v>
      </c>
      <c r="B220" t="s">
        <v>249</v>
      </c>
      <c r="C220">
        <v>380</v>
      </c>
      <c r="D220" s="86">
        <f>ROUND(G220,3)</f>
        <v>0.42599999999999999</v>
      </c>
      <c r="G220" s="87">
        <v>0.42551600000000001</v>
      </c>
    </row>
    <row r="221" spans="1:7">
      <c r="A221" s="89">
        <v>257</v>
      </c>
      <c r="B221" t="s">
        <v>257</v>
      </c>
      <c r="C221">
        <v>380</v>
      </c>
      <c r="D221" s="86">
        <f>ROUND(G221,3)</f>
        <v>0.63800000000000001</v>
      </c>
      <c r="G221" s="87">
        <v>0.63827400000000001</v>
      </c>
    </row>
    <row r="222" spans="1:7">
      <c r="A222" s="89">
        <v>250</v>
      </c>
      <c r="B222" t="s">
        <v>250</v>
      </c>
      <c r="C222">
        <v>380</v>
      </c>
      <c r="D222" s="86">
        <f>ROUND(G222,3)</f>
        <v>0.60799999999999998</v>
      </c>
      <c r="G222" s="87">
        <v>0.60787999999999998</v>
      </c>
    </row>
    <row r="223" spans="1:7">
      <c r="A223" s="89">
        <v>258</v>
      </c>
      <c r="B223" t="s">
        <v>258</v>
      </c>
      <c r="C223">
        <v>380</v>
      </c>
      <c r="D223" s="86">
        <f>ROUND(G223,3)</f>
        <v>0.91200000000000003</v>
      </c>
      <c r="G223" s="87">
        <v>0.91181999999999996</v>
      </c>
    </row>
    <row r="224" spans="1:7">
      <c r="A224" s="89">
        <v>251</v>
      </c>
      <c r="B224" t="s">
        <v>251</v>
      </c>
      <c r="C224">
        <v>380</v>
      </c>
      <c r="D224" s="86">
        <f>ROUND(G224,3)</f>
        <v>0.91200000000000003</v>
      </c>
      <c r="G224" s="87">
        <v>0.91181999999999996</v>
      </c>
    </row>
    <row r="225" spans="1:7">
      <c r="A225" s="89">
        <v>259</v>
      </c>
      <c r="B225" t="s">
        <v>259</v>
      </c>
      <c r="C225">
        <v>380</v>
      </c>
      <c r="D225" s="86">
        <f>ROUND(G225,3)</f>
        <v>1.3680000000000001</v>
      </c>
      <c r="G225" s="87">
        <v>1.3677299999999999</v>
      </c>
    </row>
    <row r="226" spans="1:7">
      <c r="A226" s="89">
        <v>252</v>
      </c>
      <c r="B226" t="s">
        <v>252</v>
      </c>
      <c r="C226">
        <v>380</v>
      </c>
      <c r="D226" s="86">
        <f>ROUND(G226,3)</f>
        <v>1.216</v>
      </c>
      <c r="G226" s="87">
        <v>1.21576</v>
      </c>
    </row>
    <row r="227" spans="1:7">
      <c r="A227" s="89">
        <v>260</v>
      </c>
      <c r="B227" t="s">
        <v>260</v>
      </c>
      <c r="C227">
        <v>380</v>
      </c>
      <c r="D227" s="86">
        <f>ROUND(G227,3)</f>
        <v>1.8240000000000001</v>
      </c>
      <c r="G227" s="87">
        <v>1.8236399999999999</v>
      </c>
    </row>
    <row r="228" spans="1:7">
      <c r="A228" s="89">
        <v>246</v>
      </c>
      <c r="B228" t="s">
        <v>246</v>
      </c>
      <c r="C228">
        <v>380</v>
      </c>
      <c r="D228" s="86">
        <f>ROUND(G228,3)</f>
        <v>0.152</v>
      </c>
      <c r="G228" s="87">
        <v>0.15196999999999999</v>
      </c>
    </row>
    <row r="229" spans="1:7">
      <c r="A229" s="89">
        <v>254</v>
      </c>
      <c r="B229" t="s">
        <v>254</v>
      </c>
      <c r="C229">
        <v>380</v>
      </c>
      <c r="D229" s="86">
        <f>ROUND(G229,3)</f>
        <v>0.22800000000000001</v>
      </c>
      <c r="G229" s="87">
        <v>0.22795499999999999</v>
      </c>
    </row>
    <row r="230" spans="1:7">
      <c r="A230" s="89">
        <v>253</v>
      </c>
      <c r="B230" t="s">
        <v>253</v>
      </c>
      <c r="C230">
        <v>380</v>
      </c>
      <c r="D230" s="86">
        <f>ROUND(G230,3)</f>
        <v>1.52</v>
      </c>
      <c r="G230" s="87">
        <v>1.5197000000000001</v>
      </c>
    </row>
    <row r="231" spans="1:7">
      <c r="A231" s="89">
        <v>261</v>
      </c>
      <c r="B231" t="s">
        <v>261</v>
      </c>
      <c r="C231">
        <v>380</v>
      </c>
      <c r="D231" s="86">
        <f>ROUND(G231,3)</f>
        <v>2.2799999999999998</v>
      </c>
      <c r="G231" s="87">
        <v>2.27955</v>
      </c>
    </row>
    <row r="232" spans="1:7">
      <c r="A232" s="89">
        <v>247</v>
      </c>
      <c r="B232" t="s">
        <v>247</v>
      </c>
      <c r="C232">
        <v>380</v>
      </c>
      <c r="D232" s="86">
        <f>ROUND(G232,3)</f>
        <v>0.21299999999999999</v>
      </c>
      <c r="G232" s="87">
        <v>0.212758</v>
      </c>
    </row>
    <row r="233" spans="1:7">
      <c r="A233" s="89">
        <v>255</v>
      </c>
      <c r="B233" t="s">
        <v>255</v>
      </c>
      <c r="C233">
        <v>380</v>
      </c>
      <c r="D233" s="86">
        <f>ROUND(G233,3)</f>
        <v>0.31900000000000001</v>
      </c>
      <c r="G233" s="87">
        <v>0.319137</v>
      </c>
    </row>
    <row r="234" spans="1:7">
      <c r="A234" s="89">
        <v>305</v>
      </c>
      <c r="B234" t="s">
        <v>304</v>
      </c>
      <c r="C234">
        <v>377</v>
      </c>
      <c r="D234" s="86">
        <f>ROUND(G234,3)</f>
        <v>2.3069999999999999</v>
      </c>
      <c r="G234" s="87">
        <v>2.3068499999999998</v>
      </c>
    </row>
    <row r="235" spans="1:7">
      <c r="A235" s="89">
        <v>305</v>
      </c>
      <c r="B235" t="s">
        <v>304</v>
      </c>
      <c r="C235">
        <v>421</v>
      </c>
      <c r="D235" s="86">
        <f>ROUND(G235,3)</f>
        <v>0.06</v>
      </c>
      <c r="G235" s="87">
        <v>6.0269999999999997E-2</v>
      </c>
    </row>
    <row r="236" spans="1:7">
      <c r="A236" s="89">
        <v>313</v>
      </c>
      <c r="B236" t="s">
        <v>312</v>
      </c>
      <c r="C236">
        <v>377</v>
      </c>
      <c r="D236" s="86">
        <f>ROUND(G236,3)</f>
        <v>3.46</v>
      </c>
      <c r="G236" s="87">
        <v>3.4602750000000002</v>
      </c>
    </row>
    <row r="237" spans="1:7">
      <c r="A237" s="89">
        <v>313</v>
      </c>
      <c r="B237" t="s">
        <v>312</v>
      </c>
      <c r="C237">
        <v>421</v>
      </c>
      <c r="D237" s="86">
        <f>ROUND(G237,3)</f>
        <v>0.09</v>
      </c>
      <c r="G237" s="87">
        <v>9.0404999999999999E-2</v>
      </c>
    </row>
    <row r="238" spans="1:7">
      <c r="A238" s="89">
        <v>314</v>
      </c>
      <c r="B238" t="s">
        <v>313</v>
      </c>
      <c r="C238">
        <v>377</v>
      </c>
      <c r="D238" s="86">
        <f>ROUND(G238,3)</f>
        <v>4.8440000000000003</v>
      </c>
      <c r="G238" s="87">
        <v>4.8443849999999999</v>
      </c>
    </row>
    <row r="239" spans="1:7">
      <c r="A239" s="89">
        <v>314</v>
      </c>
      <c r="B239" t="s">
        <v>313</v>
      </c>
      <c r="C239">
        <v>421</v>
      </c>
      <c r="D239" s="86">
        <f>ROUND(G239,3)</f>
        <v>0.127</v>
      </c>
      <c r="G239" s="87">
        <v>0.12656700000000001</v>
      </c>
    </row>
    <row r="240" spans="1:7">
      <c r="A240" s="89">
        <v>307</v>
      </c>
      <c r="B240" t="s">
        <v>306</v>
      </c>
      <c r="C240">
        <v>377</v>
      </c>
      <c r="D240" s="86">
        <f>ROUND(G240,3)</f>
        <v>4.6139999999999999</v>
      </c>
      <c r="G240" s="87">
        <v>4.6136999999999997</v>
      </c>
    </row>
    <row r="241" spans="1:7">
      <c r="A241" s="89">
        <v>307</v>
      </c>
      <c r="B241" t="s">
        <v>306</v>
      </c>
      <c r="C241">
        <v>421</v>
      </c>
      <c r="D241" s="86">
        <f>ROUND(G241,3)</f>
        <v>0.121</v>
      </c>
      <c r="G241" s="87">
        <v>0.12053999999999999</v>
      </c>
    </row>
    <row r="242" spans="1:7">
      <c r="A242" s="89">
        <v>315</v>
      </c>
      <c r="B242" t="s">
        <v>314</v>
      </c>
      <c r="C242">
        <v>377</v>
      </c>
      <c r="D242" s="86">
        <f>ROUND(G242,3)</f>
        <v>6.9210000000000003</v>
      </c>
      <c r="G242" s="87">
        <v>6.9205500000000004</v>
      </c>
    </row>
    <row r="243" spans="1:7">
      <c r="A243" s="89">
        <v>315</v>
      </c>
      <c r="B243" t="s">
        <v>314</v>
      </c>
      <c r="C243">
        <v>421</v>
      </c>
      <c r="D243" s="86">
        <f>ROUND(G243,3)</f>
        <v>0.18099999999999999</v>
      </c>
      <c r="G243" s="87">
        <v>0.18081</v>
      </c>
    </row>
    <row r="244" spans="1:7">
      <c r="A244" s="89">
        <v>309</v>
      </c>
      <c r="B244" t="s">
        <v>308</v>
      </c>
      <c r="C244">
        <v>377</v>
      </c>
      <c r="D244" s="86">
        <f>ROUND(G244,3)</f>
        <v>9.2270000000000003</v>
      </c>
      <c r="G244" s="87">
        <v>9.2273999999999994</v>
      </c>
    </row>
    <row r="245" spans="1:7">
      <c r="A245" s="89">
        <v>309</v>
      </c>
      <c r="B245" t="s">
        <v>308</v>
      </c>
      <c r="C245">
        <v>421</v>
      </c>
      <c r="D245" s="86">
        <f>ROUND(G245,3)</f>
        <v>0.24099999999999999</v>
      </c>
      <c r="G245" s="87">
        <v>0.24107999999999999</v>
      </c>
    </row>
    <row r="246" spans="1:7">
      <c r="A246" s="89">
        <v>317</v>
      </c>
      <c r="B246" t="s">
        <v>316</v>
      </c>
      <c r="C246">
        <v>377</v>
      </c>
      <c r="D246" s="86">
        <f>ROUND(G246,3)</f>
        <v>13.840999999999999</v>
      </c>
      <c r="G246" s="87">
        <v>13.841100000000001</v>
      </c>
    </row>
    <row r="247" spans="1:7">
      <c r="A247" s="89">
        <v>317</v>
      </c>
      <c r="B247" t="s">
        <v>316</v>
      </c>
      <c r="C247">
        <v>421</v>
      </c>
      <c r="D247" s="86">
        <f>ROUND(G247,3)</f>
        <v>0.36199999999999999</v>
      </c>
      <c r="G247" s="87">
        <v>0.36162</v>
      </c>
    </row>
    <row r="248" spans="1:7">
      <c r="A248" s="89">
        <v>318</v>
      </c>
      <c r="B248" t="s">
        <v>317</v>
      </c>
      <c r="C248">
        <v>377</v>
      </c>
      <c r="D248" s="86">
        <f>ROUND(G248,3)</f>
        <v>17.300999999999998</v>
      </c>
      <c r="G248" s="87">
        <v>17.301375</v>
      </c>
    </row>
    <row r="249" spans="1:7">
      <c r="A249" s="89">
        <v>318</v>
      </c>
      <c r="B249" t="s">
        <v>317</v>
      </c>
      <c r="C249">
        <v>421</v>
      </c>
      <c r="D249" s="86">
        <f>ROUND(G249,3)</f>
        <v>0.45200000000000001</v>
      </c>
      <c r="G249" s="87">
        <v>0.45202500000000001</v>
      </c>
    </row>
    <row r="250" spans="1:7">
      <c r="A250" s="89">
        <v>304</v>
      </c>
      <c r="B250" t="s">
        <v>303</v>
      </c>
      <c r="C250">
        <v>377</v>
      </c>
      <c r="D250" s="86">
        <f>ROUND(G250,3)</f>
        <v>1.615</v>
      </c>
      <c r="G250" s="87">
        <v>1.614795</v>
      </c>
    </row>
    <row r="251" spans="1:7">
      <c r="A251" s="89">
        <v>304</v>
      </c>
      <c r="B251" t="s">
        <v>303</v>
      </c>
      <c r="C251">
        <v>421</v>
      </c>
      <c r="D251" s="86">
        <f>ROUND(G251,3)</f>
        <v>4.2000000000000003E-2</v>
      </c>
      <c r="G251" s="87">
        <v>4.2188999999999997E-2</v>
      </c>
    </row>
    <row r="252" spans="1:7">
      <c r="A252" s="89">
        <v>306</v>
      </c>
      <c r="B252" t="s">
        <v>305</v>
      </c>
      <c r="C252">
        <v>377</v>
      </c>
      <c r="D252" s="86">
        <f>ROUND(G252,3)</f>
        <v>3.23</v>
      </c>
      <c r="G252" s="87">
        <v>3.22959</v>
      </c>
    </row>
    <row r="253" spans="1:7">
      <c r="A253" s="89">
        <v>306</v>
      </c>
      <c r="B253" t="s">
        <v>305</v>
      </c>
      <c r="C253">
        <v>421</v>
      </c>
      <c r="D253" s="86">
        <f>ROUND(G253,3)</f>
        <v>8.4000000000000005E-2</v>
      </c>
      <c r="G253" s="87">
        <v>8.4377999999999995E-2</v>
      </c>
    </row>
    <row r="254" spans="1:7">
      <c r="A254" s="89">
        <v>308</v>
      </c>
      <c r="B254" t="s">
        <v>307</v>
      </c>
      <c r="C254">
        <v>377</v>
      </c>
      <c r="D254" s="86">
        <f>ROUND(G254,3)</f>
        <v>6.9210000000000003</v>
      </c>
      <c r="G254" s="87">
        <v>6.9205500000000004</v>
      </c>
    </row>
    <row r="255" spans="1:7">
      <c r="A255" s="89">
        <v>308</v>
      </c>
      <c r="B255" t="s">
        <v>307</v>
      </c>
      <c r="C255">
        <v>421</v>
      </c>
      <c r="D255" s="86">
        <f>ROUND(G255,3)</f>
        <v>0.18099999999999999</v>
      </c>
      <c r="G255" s="87">
        <v>0.18081</v>
      </c>
    </row>
    <row r="256" spans="1:7">
      <c r="A256" s="89">
        <v>316</v>
      </c>
      <c r="B256" t="s">
        <v>315</v>
      </c>
      <c r="C256">
        <v>377</v>
      </c>
      <c r="D256" s="86">
        <f>ROUND(G256,3)</f>
        <v>10.381</v>
      </c>
      <c r="G256" s="87">
        <v>10.380825</v>
      </c>
    </row>
    <row r="257" spans="1:7">
      <c r="A257" s="89">
        <v>316</v>
      </c>
      <c r="B257" t="s">
        <v>315</v>
      </c>
      <c r="C257">
        <v>421</v>
      </c>
      <c r="D257" s="86">
        <f>ROUND(G257,3)</f>
        <v>0.27100000000000002</v>
      </c>
      <c r="G257" s="87">
        <v>0.27121499999999998</v>
      </c>
    </row>
    <row r="258" spans="1:7">
      <c r="A258" s="89">
        <v>303</v>
      </c>
      <c r="B258" t="s">
        <v>302</v>
      </c>
      <c r="C258">
        <v>377</v>
      </c>
      <c r="D258" s="86">
        <f>ROUND(G258,3)</f>
        <v>1.153</v>
      </c>
      <c r="G258" s="87">
        <v>1.1534249999999999</v>
      </c>
    </row>
    <row r="259" spans="1:7">
      <c r="A259" s="89">
        <v>303</v>
      </c>
      <c r="B259" t="s">
        <v>302</v>
      </c>
      <c r="C259">
        <v>421</v>
      </c>
      <c r="D259" s="86">
        <f>ROUND(G259,3)</f>
        <v>0.03</v>
      </c>
      <c r="G259" s="87">
        <v>3.0134999999999999E-2</v>
      </c>
    </row>
    <row r="260" spans="1:7">
      <c r="A260" s="89">
        <v>311</v>
      </c>
      <c r="B260" t="s">
        <v>310</v>
      </c>
      <c r="C260">
        <v>377</v>
      </c>
      <c r="D260" s="86">
        <f>ROUND(G260,3)</f>
        <v>1.73</v>
      </c>
      <c r="G260" s="87">
        <v>1.7301375000000001</v>
      </c>
    </row>
    <row r="261" spans="1:7">
      <c r="A261" s="89">
        <v>311</v>
      </c>
      <c r="B261" t="s">
        <v>310</v>
      </c>
      <c r="C261">
        <v>421</v>
      </c>
      <c r="D261" s="86">
        <f>ROUND(G261,3)</f>
        <v>4.4999999999999998E-2</v>
      </c>
      <c r="G261" s="87">
        <v>4.52025E-2</v>
      </c>
    </row>
    <row r="262" spans="1:7">
      <c r="A262" s="89">
        <v>310</v>
      </c>
      <c r="B262" t="s">
        <v>309</v>
      </c>
      <c r="C262">
        <v>377</v>
      </c>
      <c r="D262" s="86">
        <f>ROUND(G262,3)</f>
        <v>11.534000000000001</v>
      </c>
      <c r="G262" s="87">
        <v>11.53425</v>
      </c>
    </row>
    <row r="263" spans="1:7">
      <c r="A263" s="89">
        <v>310</v>
      </c>
      <c r="B263" t="s">
        <v>309</v>
      </c>
      <c r="C263">
        <v>421</v>
      </c>
      <c r="D263" s="86">
        <f>ROUND(G263,3)</f>
        <v>0.30099999999999999</v>
      </c>
      <c r="G263" s="87">
        <v>0.30135000000000001</v>
      </c>
    </row>
    <row r="264" spans="1:7">
      <c r="A264" s="89">
        <v>312</v>
      </c>
      <c r="B264" t="s">
        <v>311</v>
      </c>
      <c r="C264">
        <v>377</v>
      </c>
      <c r="D264" s="86">
        <f>ROUND(G264,3)</f>
        <v>2.4220000000000002</v>
      </c>
      <c r="G264" s="87">
        <v>2.4221925</v>
      </c>
    </row>
    <row r="265" spans="1:7">
      <c r="A265" s="89">
        <v>312</v>
      </c>
      <c r="B265" t="s">
        <v>311</v>
      </c>
      <c r="C265">
        <v>421</v>
      </c>
      <c r="D265" s="86">
        <f>ROUND(G265,3)</f>
        <v>6.3E-2</v>
      </c>
      <c r="G265" s="87">
        <v>6.3283500000000006E-2</v>
      </c>
    </row>
    <row r="266" spans="1:7">
      <c r="A266" s="89">
        <v>289</v>
      </c>
      <c r="B266" t="s">
        <v>289</v>
      </c>
      <c r="C266">
        <v>421</v>
      </c>
      <c r="D266" s="86">
        <f>ROUND(G266,3)</f>
        <v>0.14399999999999999</v>
      </c>
      <c r="G266" s="87">
        <v>0.14432</v>
      </c>
    </row>
    <row r="267" spans="1:7">
      <c r="A267" s="89">
        <v>297</v>
      </c>
      <c r="B267" t="s">
        <v>297</v>
      </c>
      <c r="C267">
        <v>421</v>
      </c>
      <c r="D267" s="86">
        <f>ROUND(G267,3)</f>
        <v>0.21299999999999999</v>
      </c>
      <c r="G267" s="87">
        <v>0.2132</v>
      </c>
    </row>
    <row r="268" spans="1:7">
      <c r="A268" s="89">
        <v>290</v>
      </c>
      <c r="B268" t="s">
        <v>290</v>
      </c>
      <c r="C268">
        <v>421</v>
      </c>
      <c r="D268" s="86">
        <f>ROUND(G268,3)</f>
        <v>0.20200000000000001</v>
      </c>
      <c r="G268" s="87">
        <v>0.20204800000000001</v>
      </c>
    </row>
    <row r="269" spans="1:7">
      <c r="A269" s="89">
        <v>298</v>
      </c>
      <c r="B269" t="s">
        <v>298</v>
      </c>
      <c r="C269">
        <v>421</v>
      </c>
      <c r="D269" s="86">
        <f>ROUND(G269,3)</f>
        <v>0.29799999999999999</v>
      </c>
      <c r="G269" s="87">
        <v>0.29848000000000002</v>
      </c>
    </row>
    <row r="270" spans="1:7">
      <c r="A270" s="89">
        <v>291</v>
      </c>
      <c r="B270" t="s">
        <v>291</v>
      </c>
      <c r="C270">
        <v>421</v>
      </c>
      <c r="D270" s="86">
        <f>ROUND(G270,3)</f>
        <v>0.28899999999999998</v>
      </c>
      <c r="G270" s="87">
        <v>0.28864000000000001</v>
      </c>
    </row>
    <row r="271" spans="1:7">
      <c r="A271" s="89">
        <v>299</v>
      </c>
      <c r="B271" t="s">
        <v>299</v>
      </c>
      <c r="C271">
        <v>421</v>
      </c>
      <c r="D271" s="86">
        <f>ROUND(G271,3)</f>
        <v>0.42599999999999999</v>
      </c>
      <c r="G271" s="87">
        <v>0.4264</v>
      </c>
    </row>
    <row r="272" spans="1:7">
      <c r="A272" s="89">
        <v>292</v>
      </c>
      <c r="B272" t="s">
        <v>292</v>
      </c>
      <c r="C272">
        <v>421</v>
      </c>
      <c r="D272" s="86">
        <f>ROUND(G272,3)</f>
        <v>0.433</v>
      </c>
      <c r="G272" s="87">
        <v>0.43296000000000001</v>
      </c>
    </row>
    <row r="273" spans="1:7">
      <c r="A273" s="89">
        <v>300</v>
      </c>
      <c r="B273" t="s">
        <v>1215</v>
      </c>
      <c r="C273">
        <v>421</v>
      </c>
      <c r="D273" s="86">
        <f>ROUND(G273,3)</f>
        <v>0.64</v>
      </c>
      <c r="G273" s="87">
        <v>0.63959999999999995</v>
      </c>
    </row>
    <row r="274" spans="1:7">
      <c r="A274" s="89">
        <v>293</v>
      </c>
      <c r="B274" t="s">
        <v>293</v>
      </c>
      <c r="C274">
        <v>421</v>
      </c>
      <c r="D274" s="86">
        <f>ROUND(G274,3)</f>
        <v>0.57699999999999996</v>
      </c>
      <c r="G274" s="87">
        <v>0.57728000000000002</v>
      </c>
    </row>
    <row r="275" spans="1:7">
      <c r="A275" s="89">
        <v>301</v>
      </c>
      <c r="B275" t="s">
        <v>300</v>
      </c>
      <c r="C275">
        <v>421</v>
      </c>
      <c r="D275" s="86">
        <f>ROUND(G275,3)</f>
        <v>0.85299999999999998</v>
      </c>
      <c r="G275" s="87">
        <v>0.8528</v>
      </c>
    </row>
    <row r="276" spans="1:7">
      <c r="A276" s="89">
        <v>287</v>
      </c>
      <c r="B276" t="s">
        <v>287</v>
      </c>
      <c r="C276">
        <v>421</v>
      </c>
      <c r="D276" s="86">
        <f>ROUND(G276,3)</f>
        <v>7.1999999999999995E-2</v>
      </c>
      <c r="G276" s="87">
        <v>7.2160000000000002E-2</v>
      </c>
    </row>
    <row r="277" spans="1:7">
      <c r="A277" s="89">
        <v>295</v>
      </c>
      <c r="B277" t="s">
        <v>295</v>
      </c>
      <c r="C277">
        <v>421</v>
      </c>
      <c r="D277" s="86">
        <f>ROUND(G277,3)</f>
        <v>0.107</v>
      </c>
      <c r="G277" s="87">
        <v>0.1066</v>
      </c>
    </row>
    <row r="278" spans="1:7">
      <c r="A278" s="89">
        <v>294</v>
      </c>
      <c r="B278" t="s">
        <v>294</v>
      </c>
      <c r="C278">
        <v>421</v>
      </c>
      <c r="D278" s="86">
        <f>ROUND(G278,3)</f>
        <v>0.72199999999999998</v>
      </c>
      <c r="G278" s="87">
        <v>0.72160000000000002</v>
      </c>
    </row>
    <row r="279" spans="1:7">
      <c r="A279" s="89">
        <v>302</v>
      </c>
      <c r="B279" t="s">
        <v>301</v>
      </c>
      <c r="C279">
        <v>421</v>
      </c>
      <c r="D279" s="86">
        <f>ROUND(G279,3)</f>
        <v>1.0660000000000001</v>
      </c>
      <c r="G279" s="87">
        <v>1.0660000000000001</v>
      </c>
    </row>
    <row r="280" spans="1:7">
      <c r="A280" s="89">
        <v>288</v>
      </c>
      <c r="B280" t="s">
        <v>288</v>
      </c>
      <c r="C280">
        <v>421</v>
      </c>
      <c r="D280" s="86">
        <f>ROUND(G280,3)</f>
        <v>0.10100000000000001</v>
      </c>
      <c r="G280" s="87">
        <v>0.101024</v>
      </c>
    </row>
    <row r="281" spans="1:7">
      <c r="A281" s="89">
        <v>296</v>
      </c>
      <c r="B281" t="s">
        <v>296</v>
      </c>
      <c r="C281">
        <v>421</v>
      </c>
      <c r="D281" s="86">
        <f>ROUND(G281,3)</f>
        <v>0.14899999999999999</v>
      </c>
      <c r="G281" s="87">
        <v>0.14924000000000001</v>
      </c>
    </row>
    <row r="282" spans="1:7">
      <c r="A282" s="89">
        <v>346</v>
      </c>
      <c r="B282" t="s">
        <v>345</v>
      </c>
      <c r="C282">
        <v>377</v>
      </c>
      <c r="D282" s="86">
        <f>ROUND(G282,3)</f>
        <v>92.477000000000004</v>
      </c>
      <c r="G282" s="87">
        <v>92.476799999999997</v>
      </c>
    </row>
    <row r="283" spans="1:7">
      <c r="A283" s="89">
        <v>346</v>
      </c>
      <c r="B283" t="s">
        <v>345</v>
      </c>
      <c r="C283">
        <v>381</v>
      </c>
      <c r="D283" s="86">
        <f>ROUND(G283,3)</f>
        <v>20.192</v>
      </c>
      <c r="G283" s="87">
        <v>20.191680000000002</v>
      </c>
    </row>
    <row r="284" spans="1:7">
      <c r="A284" s="89">
        <v>346</v>
      </c>
      <c r="B284" t="s">
        <v>345</v>
      </c>
      <c r="C284">
        <v>379</v>
      </c>
      <c r="D284" s="86">
        <f>ROUND(G284,3)</f>
        <v>84.296000000000006</v>
      </c>
      <c r="G284" s="87">
        <v>84.29616</v>
      </c>
    </row>
    <row r="285" spans="1:7">
      <c r="A285" s="89">
        <v>361</v>
      </c>
      <c r="B285" t="s">
        <v>360</v>
      </c>
      <c r="C285">
        <v>377</v>
      </c>
      <c r="D285" s="86">
        <f>ROUND(G285,3)</f>
        <v>294.77</v>
      </c>
      <c r="G285" s="87">
        <v>294.76979999999998</v>
      </c>
    </row>
    <row r="286" spans="1:7">
      <c r="A286" s="89">
        <v>361</v>
      </c>
      <c r="B286" t="s">
        <v>360</v>
      </c>
      <c r="C286">
        <v>381</v>
      </c>
      <c r="D286" s="86">
        <f>ROUND(G286,3)</f>
        <v>56.789000000000001</v>
      </c>
      <c r="G286" s="87">
        <v>56.789099999999998</v>
      </c>
    </row>
    <row r="287" spans="1:7">
      <c r="A287" s="89">
        <v>361</v>
      </c>
      <c r="B287" t="s">
        <v>360</v>
      </c>
      <c r="C287">
        <v>379</v>
      </c>
      <c r="D287" s="86">
        <f>ROUND(G287,3)</f>
        <v>126.444</v>
      </c>
      <c r="G287" s="87">
        <v>126.44423999999999</v>
      </c>
    </row>
    <row r="288" spans="1:7">
      <c r="A288" s="89">
        <v>348</v>
      </c>
      <c r="B288" t="s">
        <v>347</v>
      </c>
      <c r="C288">
        <v>377</v>
      </c>
      <c r="D288" s="86">
        <f>ROUND(G288,3)</f>
        <v>147.96299999999999</v>
      </c>
      <c r="G288" s="87">
        <v>147.96288000000001</v>
      </c>
    </row>
    <row r="289" spans="1:7">
      <c r="A289" s="89">
        <v>348</v>
      </c>
      <c r="B289" t="s">
        <v>347</v>
      </c>
      <c r="C289">
        <v>381</v>
      </c>
      <c r="D289" s="86">
        <f>ROUND(G289,3)</f>
        <v>32.307000000000002</v>
      </c>
      <c r="G289" s="87">
        <v>32.306688000000001</v>
      </c>
    </row>
    <row r="290" spans="1:7">
      <c r="A290" s="89">
        <v>348</v>
      </c>
      <c r="B290" t="s">
        <v>347</v>
      </c>
      <c r="C290">
        <v>379</v>
      </c>
      <c r="D290" s="86">
        <f>ROUND(G290,3)</f>
        <v>134.874</v>
      </c>
      <c r="G290" s="87">
        <v>134.87385599999999</v>
      </c>
    </row>
    <row r="291" spans="1:7">
      <c r="A291" s="89">
        <v>363</v>
      </c>
      <c r="B291" t="s">
        <v>362</v>
      </c>
      <c r="C291">
        <v>377</v>
      </c>
      <c r="D291" s="86">
        <f>ROUND(G291,3)</f>
        <v>471.63200000000001</v>
      </c>
      <c r="G291" s="87">
        <v>471.63168000000002</v>
      </c>
    </row>
    <row r="292" spans="1:7">
      <c r="A292" s="89">
        <v>363</v>
      </c>
      <c r="B292" t="s">
        <v>362</v>
      </c>
      <c r="C292">
        <v>381</v>
      </c>
      <c r="D292" s="86">
        <f>ROUND(G292,3)</f>
        <v>90.863</v>
      </c>
      <c r="G292" s="87">
        <v>90.862560000000002</v>
      </c>
    </row>
    <row r="293" spans="1:7">
      <c r="A293" s="89">
        <v>363</v>
      </c>
      <c r="B293" t="s">
        <v>362</v>
      </c>
      <c r="C293">
        <v>379</v>
      </c>
      <c r="D293" s="86">
        <f>ROUND(G293,3)</f>
        <v>202.31100000000001</v>
      </c>
      <c r="G293" s="87">
        <v>202.31078400000001</v>
      </c>
    </row>
    <row r="294" spans="1:7">
      <c r="A294" s="89">
        <v>347</v>
      </c>
      <c r="B294" t="s">
        <v>346</v>
      </c>
      <c r="C294">
        <v>377</v>
      </c>
      <c r="D294" s="86">
        <f>ROUND(G294,3)</f>
        <v>123.30200000000001</v>
      </c>
      <c r="G294" s="87">
        <v>123.30240000000001</v>
      </c>
    </row>
    <row r="295" spans="1:7">
      <c r="A295" s="89">
        <v>347</v>
      </c>
      <c r="B295" t="s">
        <v>346</v>
      </c>
      <c r="C295">
        <v>381</v>
      </c>
      <c r="D295" s="86">
        <f>ROUND(G295,3)</f>
        <v>26.922000000000001</v>
      </c>
      <c r="G295" s="87">
        <v>26.922239999999999</v>
      </c>
    </row>
    <row r="296" spans="1:7">
      <c r="A296" s="89">
        <v>347</v>
      </c>
      <c r="B296" t="s">
        <v>346</v>
      </c>
      <c r="C296">
        <v>379</v>
      </c>
      <c r="D296" s="86">
        <f>ROUND(G296,3)</f>
        <v>112.395</v>
      </c>
      <c r="G296" s="87">
        <v>112.39488</v>
      </c>
    </row>
    <row r="297" spans="1:7">
      <c r="A297" s="89">
        <v>362</v>
      </c>
      <c r="B297" t="s">
        <v>361</v>
      </c>
      <c r="C297">
        <v>377</v>
      </c>
      <c r="D297" s="86">
        <f>ROUND(G297,3)</f>
        <v>393.02600000000001</v>
      </c>
      <c r="G297" s="87">
        <v>393.02640000000002</v>
      </c>
    </row>
    <row r="298" spans="1:7">
      <c r="A298" s="89">
        <v>362</v>
      </c>
      <c r="B298" t="s">
        <v>361</v>
      </c>
      <c r="C298">
        <v>381</v>
      </c>
      <c r="D298" s="86">
        <f>ROUND(G298,3)</f>
        <v>75.718999999999994</v>
      </c>
      <c r="G298" s="87">
        <v>75.718800000000002</v>
      </c>
    </row>
    <row r="299" spans="1:7">
      <c r="A299" s="89">
        <v>362</v>
      </c>
      <c r="B299" t="s">
        <v>361</v>
      </c>
      <c r="C299">
        <v>379</v>
      </c>
      <c r="D299" s="86">
        <f>ROUND(G299,3)</f>
        <v>168.59200000000001</v>
      </c>
      <c r="G299" s="87">
        <v>168.59232</v>
      </c>
    </row>
    <row r="300" spans="1:7">
      <c r="A300" s="89">
        <v>364</v>
      </c>
      <c r="B300" t="s">
        <v>363</v>
      </c>
      <c r="C300">
        <v>377</v>
      </c>
      <c r="D300" s="86">
        <f>ROUND(G300,3)</f>
        <v>628.84199999999998</v>
      </c>
      <c r="G300" s="87">
        <v>628.84223999999995</v>
      </c>
    </row>
    <row r="301" spans="1:7">
      <c r="A301" s="89">
        <v>364</v>
      </c>
      <c r="B301" t="s">
        <v>363</v>
      </c>
      <c r="C301">
        <v>381</v>
      </c>
      <c r="D301" s="86">
        <f>ROUND(G301,3)</f>
        <v>121.15</v>
      </c>
      <c r="G301" s="87">
        <v>121.15008</v>
      </c>
    </row>
    <row r="302" spans="1:7">
      <c r="A302" s="89">
        <v>364</v>
      </c>
      <c r="B302" t="s">
        <v>363</v>
      </c>
      <c r="C302">
        <v>379</v>
      </c>
      <c r="D302" s="86">
        <f>ROUND(G302,3)</f>
        <v>269.74799999999999</v>
      </c>
      <c r="G302" s="87">
        <v>269.74771199999998</v>
      </c>
    </row>
    <row r="303" spans="1:7">
      <c r="A303" s="89">
        <v>338</v>
      </c>
      <c r="B303" t="s">
        <v>337</v>
      </c>
      <c r="C303">
        <v>377</v>
      </c>
      <c r="D303" s="86">
        <f>ROUND(G303,3)</f>
        <v>1.5409999999999999</v>
      </c>
      <c r="G303" s="87">
        <v>1.54128</v>
      </c>
    </row>
    <row r="304" spans="1:7">
      <c r="A304" s="89">
        <v>338</v>
      </c>
      <c r="B304" t="s">
        <v>337</v>
      </c>
      <c r="C304">
        <v>381</v>
      </c>
      <c r="D304" s="86">
        <f>ROUND(G304,3)</f>
        <v>0.33700000000000002</v>
      </c>
      <c r="G304" s="87">
        <v>0.33652799999999999</v>
      </c>
    </row>
    <row r="305" spans="1:7">
      <c r="A305" s="89">
        <v>338</v>
      </c>
      <c r="B305" t="s">
        <v>337</v>
      </c>
      <c r="C305">
        <v>379</v>
      </c>
      <c r="D305" s="86">
        <f>ROUND(G305,3)</f>
        <v>1.405</v>
      </c>
      <c r="G305" s="87">
        <v>1.404936</v>
      </c>
    </row>
    <row r="306" spans="1:7">
      <c r="A306" s="89">
        <v>353</v>
      </c>
      <c r="B306" t="s">
        <v>352</v>
      </c>
      <c r="C306">
        <v>377</v>
      </c>
      <c r="D306" s="86">
        <f>ROUND(G306,3)</f>
        <v>4.9130000000000003</v>
      </c>
      <c r="G306" s="87">
        <v>4.9128299999999996</v>
      </c>
    </row>
    <row r="307" spans="1:7">
      <c r="A307" s="89">
        <v>353</v>
      </c>
      <c r="B307" t="s">
        <v>352</v>
      </c>
      <c r="C307">
        <v>381</v>
      </c>
      <c r="D307" s="86">
        <f>ROUND(G307,3)</f>
        <v>0.94599999999999995</v>
      </c>
      <c r="G307" s="87">
        <v>0.94648500000000002</v>
      </c>
    </row>
    <row r="308" spans="1:7">
      <c r="A308" s="89">
        <v>353</v>
      </c>
      <c r="B308" t="s">
        <v>352</v>
      </c>
      <c r="C308">
        <v>379</v>
      </c>
      <c r="D308" s="86">
        <f>ROUND(G308,3)</f>
        <v>2.1070000000000002</v>
      </c>
      <c r="G308" s="87">
        <v>2.1074039999999998</v>
      </c>
    </row>
    <row r="309" spans="1:7">
      <c r="A309" s="89">
        <v>339</v>
      </c>
      <c r="B309" t="s">
        <v>338</v>
      </c>
      <c r="C309">
        <v>377</v>
      </c>
      <c r="D309" s="86">
        <f>ROUND(G309,3)</f>
        <v>2.1579999999999999</v>
      </c>
      <c r="G309" s="87">
        <v>2.1577920000000002</v>
      </c>
    </row>
    <row r="310" spans="1:7">
      <c r="A310" s="89">
        <v>339</v>
      </c>
      <c r="B310" t="s">
        <v>338</v>
      </c>
      <c r="C310">
        <v>381</v>
      </c>
      <c r="D310" s="86">
        <f>ROUND(G310,3)</f>
        <v>0.47099999999999997</v>
      </c>
      <c r="G310" s="87">
        <v>0.47113919999999998</v>
      </c>
    </row>
    <row r="311" spans="1:7">
      <c r="A311" s="89">
        <v>339</v>
      </c>
      <c r="B311" t="s">
        <v>338</v>
      </c>
      <c r="C311">
        <v>379</v>
      </c>
      <c r="D311" s="86">
        <f>ROUND(G311,3)</f>
        <v>1.9670000000000001</v>
      </c>
      <c r="G311" s="87">
        <v>1.9669103999999999</v>
      </c>
    </row>
    <row r="312" spans="1:7">
      <c r="A312" s="89">
        <v>354</v>
      </c>
      <c r="B312" t="s">
        <v>353</v>
      </c>
      <c r="C312">
        <v>377</v>
      </c>
      <c r="D312" s="86">
        <f>ROUND(G312,3)</f>
        <v>6.8780000000000001</v>
      </c>
      <c r="G312" s="87">
        <v>6.8779620000000001</v>
      </c>
    </row>
    <row r="313" spans="1:7">
      <c r="A313" s="89">
        <v>354</v>
      </c>
      <c r="B313" t="s">
        <v>353</v>
      </c>
      <c r="C313">
        <v>381</v>
      </c>
      <c r="D313" s="86">
        <f>ROUND(G313,3)</f>
        <v>1.325</v>
      </c>
      <c r="G313" s="87">
        <v>1.3250789999999999</v>
      </c>
    </row>
    <row r="314" spans="1:7">
      <c r="A314" s="89">
        <v>354</v>
      </c>
      <c r="B314" t="s">
        <v>353</v>
      </c>
      <c r="C314">
        <v>379</v>
      </c>
      <c r="D314" s="86">
        <f>ROUND(G314,3)</f>
        <v>2.95</v>
      </c>
      <c r="G314" s="87">
        <v>2.9503656</v>
      </c>
    </row>
    <row r="315" spans="1:7">
      <c r="A315" s="89">
        <v>340</v>
      </c>
      <c r="B315" t="s">
        <v>339</v>
      </c>
      <c r="C315">
        <v>377</v>
      </c>
      <c r="D315" s="86">
        <f>ROUND(G315,3)</f>
        <v>2.4660000000000002</v>
      </c>
      <c r="G315" s="87">
        <v>2.4660479999999998</v>
      </c>
    </row>
    <row r="316" spans="1:7">
      <c r="A316" s="89">
        <v>340</v>
      </c>
      <c r="B316" t="s">
        <v>339</v>
      </c>
      <c r="C316">
        <v>381</v>
      </c>
      <c r="D316" s="86">
        <f>ROUND(G316,3)</f>
        <v>0.53800000000000003</v>
      </c>
      <c r="G316" s="87">
        <v>0.53844479999999995</v>
      </c>
    </row>
    <row r="317" spans="1:7">
      <c r="A317" s="89">
        <v>340</v>
      </c>
      <c r="B317" t="s">
        <v>339</v>
      </c>
      <c r="C317">
        <v>379</v>
      </c>
      <c r="D317" s="86">
        <f>ROUND(G317,3)</f>
        <v>2.2480000000000002</v>
      </c>
      <c r="G317" s="87">
        <v>2.2478975999999999</v>
      </c>
    </row>
    <row r="318" spans="1:7">
      <c r="A318" s="89">
        <v>355</v>
      </c>
      <c r="B318" t="s">
        <v>354</v>
      </c>
      <c r="C318">
        <v>377</v>
      </c>
      <c r="D318" s="86">
        <f>ROUND(G318,3)</f>
        <v>7.8609999999999998</v>
      </c>
      <c r="G318" s="87">
        <v>7.8605280000000004</v>
      </c>
    </row>
    <row r="319" spans="1:7">
      <c r="A319" s="89">
        <v>355</v>
      </c>
      <c r="B319" t="s">
        <v>354</v>
      </c>
      <c r="C319">
        <v>381</v>
      </c>
      <c r="D319" s="86">
        <f>ROUND(G319,3)</f>
        <v>1.514</v>
      </c>
      <c r="G319" s="87">
        <v>1.5143759999999999</v>
      </c>
    </row>
    <row r="320" spans="1:7">
      <c r="A320" s="89">
        <v>355</v>
      </c>
      <c r="B320" t="s">
        <v>354</v>
      </c>
      <c r="C320">
        <v>379</v>
      </c>
      <c r="D320" s="86">
        <f>ROUND(G320,3)</f>
        <v>3.3719999999999999</v>
      </c>
      <c r="G320" s="87">
        <v>3.3718463999999999</v>
      </c>
    </row>
    <row r="321" spans="1:7">
      <c r="A321" s="89">
        <v>335</v>
      </c>
      <c r="B321" t="s">
        <v>334</v>
      </c>
      <c r="C321">
        <v>377</v>
      </c>
      <c r="D321" s="86">
        <f>ROUND(G321,3)</f>
        <v>0.308</v>
      </c>
      <c r="G321" s="87">
        <v>0.30825599999999997</v>
      </c>
    </row>
    <row r="322" spans="1:7">
      <c r="A322" s="89">
        <v>335</v>
      </c>
      <c r="B322" t="s">
        <v>334</v>
      </c>
      <c r="C322">
        <v>381</v>
      </c>
      <c r="D322" s="86">
        <f>ROUND(G322,3)</f>
        <v>6.7000000000000004E-2</v>
      </c>
      <c r="G322" s="87">
        <v>6.7305599999999993E-2</v>
      </c>
    </row>
    <row r="323" spans="1:7">
      <c r="A323" s="89">
        <v>335</v>
      </c>
      <c r="B323" t="s">
        <v>334</v>
      </c>
      <c r="C323">
        <v>379</v>
      </c>
      <c r="D323" s="86">
        <f>ROUND(G323,3)</f>
        <v>0.28100000000000003</v>
      </c>
      <c r="G323" s="87">
        <v>0.28098719999999999</v>
      </c>
    </row>
    <row r="324" spans="1:7">
      <c r="A324" s="89">
        <v>350</v>
      </c>
      <c r="B324" t="s">
        <v>349</v>
      </c>
      <c r="C324">
        <v>377</v>
      </c>
      <c r="D324" s="86">
        <f>ROUND(G324,3)</f>
        <v>0.98299999999999998</v>
      </c>
      <c r="G324" s="87">
        <v>0.98256600000000005</v>
      </c>
    </row>
    <row r="325" spans="1:7">
      <c r="A325" s="89">
        <v>350</v>
      </c>
      <c r="B325" t="s">
        <v>349</v>
      </c>
      <c r="C325">
        <v>381</v>
      </c>
      <c r="D325" s="86">
        <f>ROUND(G325,3)</f>
        <v>0.189</v>
      </c>
      <c r="G325" s="87">
        <v>0.18929699999999999</v>
      </c>
    </row>
    <row r="326" spans="1:7">
      <c r="A326" s="89">
        <v>350</v>
      </c>
      <c r="B326" t="s">
        <v>349</v>
      </c>
      <c r="C326">
        <v>379</v>
      </c>
      <c r="D326" s="86">
        <f>ROUND(G326,3)</f>
        <v>0.42099999999999999</v>
      </c>
      <c r="G326" s="87">
        <v>0.42148079999999999</v>
      </c>
    </row>
    <row r="327" spans="1:7">
      <c r="A327" s="89">
        <v>341</v>
      </c>
      <c r="B327" t="s">
        <v>340</v>
      </c>
      <c r="C327">
        <v>377</v>
      </c>
      <c r="D327" s="86">
        <f>ROUND(G327,3)</f>
        <v>3.0830000000000002</v>
      </c>
      <c r="G327" s="87">
        <v>3.08256</v>
      </c>
    </row>
    <row r="328" spans="1:7">
      <c r="A328" s="89">
        <v>341</v>
      </c>
      <c r="B328" t="s">
        <v>340</v>
      </c>
      <c r="C328">
        <v>381</v>
      </c>
      <c r="D328" s="86">
        <f>ROUND(G328,3)</f>
        <v>0.67300000000000004</v>
      </c>
      <c r="G328" s="87">
        <v>0.67305599999999999</v>
      </c>
    </row>
    <row r="329" spans="1:7">
      <c r="A329" s="89">
        <v>341</v>
      </c>
      <c r="B329" t="s">
        <v>340</v>
      </c>
      <c r="C329">
        <v>379</v>
      </c>
      <c r="D329" s="86">
        <f>ROUND(G329,3)</f>
        <v>2.81</v>
      </c>
      <c r="G329" s="87">
        <v>2.8098719999999999</v>
      </c>
    </row>
    <row r="330" spans="1:7">
      <c r="A330" s="89">
        <v>356</v>
      </c>
      <c r="B330" t="s">
        <v>355</v>
      </c>
      <c r="C330">
        <v>377</v>
      </c>
      <c r="D330" s="86">
        <f>ROUND(G330,3)</f>
        <v>9.8260000000000005</v>
      </c>
      <c r="G330" s="87">
        <v>9.8256599999999992</v>
      </c>
    </row>
    <row r="331" spans="1:7">
      <c r="A331" s="89">
        <v>356</v>
      </c>
      <c r="B331" t="s">
        <v>355</v>
      </c>
      <c r="C331">
        <v>381</v>
      </c>
      <c r="D331" s="86">
        <f>ROUND(G331,3)</f>
        <v>1.893</v>
      </c>
      <c r="G331" s="87">
        <v>1.89297</v>
      </c>
    </row>
    <row r="332" spans="1:7">
      <c r="A332" s="89">
        <v>356</v>
      </c>
      <c r="B332" t="s">
        <v>355</v>
      </c>
      <c r="C332">
        <v>379</v>
      </c>
      <c r="D332" s="86">
        <f>ROUND(G332,3)</f>
        <v>4.2149999999999999</v>
      </c>
      <c r="G332" s="87">
        <v>4.2148079999999997</v>
      </c>
    </row>
    <row r="333" spans="1:7">
      <c r="A333" s="89">
        <v>342</v>
      </c>
      <c r="B333" t="s">
        <v>341</v>
      </c>
      <c r="C333">
        <v>377</v>
      </c>
      <c r="D333" s="86">
        <f>ROUND(G333,3)</f>
        <v>4.6239999999999997</v>
      </c>
      <c r="G333" s="87">
        <v>4.6238400000000004</v>
      </c>
    </row>
    <row r="334" spans="1:7">
      <c r="A334" s="89">
        <v>342</v>
      </c>
      <c r="B334" t="s">
        <v>341</v>
      </c>
      <c r="C334">
        <v>381</v>
      </c>
      <c r="D334" s="86">
        <f>ROUND(G334,3)</f>
        <v>1.01</v>
      </c>
      <c r="G334" s="87">
        <v>1.009584</v>
      </c>
    </row>
    <row r="335" spans="1:7">
      <c r="A335" s="89">
        <v>342</v>
      </c>
      <c r="B335" t="s">
        <v>341</v>
      </c>
      <c r="C335">
        <v>379</v>
      </c>
      <c r="D335" s="86">
        <f>ROUND(G335,3)</f>
        <v>4.2149999999999999</v>
      </c>
      <c r="G335" s="87">
        <v>4.2148079999999997</v>
      </c>
    </row>
    <row r="336" spans="1:7">
      <c r="A336" s="89">
        <v>357</v>
      </c>
      <c r="B336" t="s">
        <v>356</v>
      </c>
      <c r="C336">
        <v>377</v>
      </c>
      <c r="D336" s="86">
        <f>ROUND(G336,3)</f>
        <v>14.738</v>
      </c>
      <c r="G336" s="87">
        <v>14.738490000000001</v>
      </c>
    </row>
    <row r="337" spans="1:7">
      <c r="A337" s="89">
        <v>357</v>
      </c>
      <c r="B337" t="s">
        <v>356</v>
      </c>
      <c r="C337">
        <v>381</v>
      </c>
      <c r="D337" s="86">
        <f>ROUND(G337,3)</f>
        <v>2.839</v>
      </c>
      <c r="G337" s="87">
        <v>2.8394550000000001</v>
      </c>
    </row>
    <row r="338" spans="1:7">
      <c r="A338" s="89">
        <v>357</v>
      </c>
      <c r="B338" t="s">
        <v>356</v>
      </c>
      <c r="C338">
        <v>379</v>
      </c>
      <c r="D338" s="86">
        <f>ROUND(G338,3)</f>
        <v>6.3220000000000001</v>
      </c>
      <c r="G338" s="87">
        <v>6.3222120000000004</v>
      </c>
    </row>
    <row r="339" spans="1:7">
      <c r="A339" s="89">
        <v>343</v>
      </c>
      <c r="B339" t="s">
        <v>342</v>
      </c>
      <c r="C339">
        <v>377</v>
      </c>
      <c r="D339" s="86">
        <f>ROUND(G339,3)</f>
        <v>6.165</v>
      </c>
      <c r="G339" s="87">
        <v>6.1651199999999999</v>
      </c>
    </row>
    <row r="340" spans="1:7">
      <c r="A340" s="89">
        <v>343</v>
      </c>
      <c r="B340" t="s">
        <v>342</v>
      </c>
      <c r="C340">
        <v>381</v>
      </c>
      <c r="D340" s="86">
        <f>ROUND(G340,3)</f>
        <v>1.3460000000000001</v>
      </c>
      <c r="G340" s="87">
        <v>1.346112</v>
      </c>
    </row>
    <row r="341" spans="1:7">
      <c r="A341" s="89">
        <v>343</v>
      </c>
      <c r="B341" t="s">
        <v>342</v>
      </c>
      <c r="C341">
        <v>379</v>
      </c>
      <c r="D341" s="86">
        <f>ROUND(G341,3)</f>
        <v>5.62</v>
      </c>
      <c r="G341" s="87">
        <v>5.6197439999999999</v>
      </c>
    </row>
    <row r="342" spans="1:7">
      <c r="A342" s="89">
        <v>358</v>
      </c>
      <c r="B342" t="s">
        <v>357</v>
      </c>
      <c r="C342">
        <v>377</v>
      </c>
      <c r="D342" s="86">
        <f>ROUND(G342,3)</f>
        <v>19.651</v>
      </c>
      <c r="G342" s="87">
        <v>19.651319999999998</v>
      </c>
    </row>
    <row r="343" spans="1:7">
      <c r="A343" s="89">
        <v>358</v>
      </c>
      <c r="B343" t="s">
        <v>357</v>
      </c>
      <c r="C343">
        <v>381</v>
      </c>
      <c r="D343" s="86">
        <f>ROUND(G343,3)</f>
        <v>3.786</v>
      </c>
      <c r="G343" s="87">
        <v>3.7859400000000001</v>
      </c>
    </row>
    <row r="344" spans="1:7">
      <c r="A344" s="89">
        <v>358</v>
      </c>
      <c r="B344" t="s">
        <v>357</v>
      </c>
      <c r="C344">
        <v>379</v>
      </c>
      <c r="D344" s="86">
        <f>ROUND(G344,3)</f>
        <v>8.43</v>
      </c>
      <c r="G344" s="87">
        <v>8.4296159999999993</v>
      </c>
    </row>
    <row r="345" spans="1:7">
      <c r="A345" s="89">
        <v>336</v>
      </c>
      <c r="B345" t="s">
        <v>335</v>
      </c>
      <c r="C345">
        <v>377</v>
      </c>
      <c r="D345" s="86">
        <f>ROUND(G345,3)</f>
        <v>0.77100000000000002</v>
      </c>
      <c r="G345" s="87">
        <v>0.77063999999999999</v>
      </c>
    </row>
    <row r="346" spans="1:7">
      <c r="A346" s="89">
        <v>336</v>
      </c>
      <c r="B346" t="s">
        <v>335</v>
      </c>
      <c r="C346">
        <v>381</v>
      </c>
      <c r="D346" s="86">
        <f>ROUND(G346,3)</f>
        <v>0.16800000000000001</v>
      </c>
      <c r="G346" s="87">
        <v>0.168264</v>
      </c>
    </row>
    <row r="347" spans="1:7">
      <c r="A347" s="89">
        <v>336</v>
      </c>
      <c r="B347" t="s">
        <v>335</v>
      </c>
      <c r="C347">
        <v>379</v>
      </c>
      <c r="D347" s="86">
        <f>ROUND(G347,3)</f>
        <v>0.70199999999999996</v>
      </c>
      <c r="G347" s="87">
        <v>0.70246799999999998</v>
      </c>
    </row>
    <row r="348" spans="1:7">
      <c r="A348" s="89">
        <v>351</v>
      </c>
      <c r="B348" t="s">
        <v>350</v>
      </c>
      <c r="C348">
        <v>377</v>
      </c>
      <c r="D348" s="86">
        <f>ROUND(G348,3)</f>
        <v>2.456</v>
      </c>
      <c r="G348" s="87">
        <v>2.4564149999999998</v>
      </c>
    </row>
    <row r="349" spans="1:7">
      <c r="A349" s="89">
        <v>351</v>
      </c>
      <c r="B349" t="s">
        <v>350</v>
      </c>
      <c r="C349">
        <v>381</v>
      </c>
      <c r="D349" s="86">
        <f>ROUND(G349,3)</f>
        <v>0.47299999999999998</v>
      </c>
      <c r="G349" s="87">
        <v>0.47324250000000001</v>
      </c>
    </row>
    <row r="350" spans="1:7">
      <c r="A350" s="89">
        <v>351</v>
      </c>
      <c r="B350" t="s">
        <v>350</v>
      </c>
      <c r="C350">
        <v>379</v>
      </c>
      <c r="D350" s="86">
        <f>ROUND(G350,3)</f>
        <v>1.054</v>
      </c>
      <c r="G350" s="87">
        <v>1.0537019999999999</v>
      </c>
    </row>
    <row r="351" spans="1:7">
      <c r="A351" s="89">
        <v>344</v>
      </c>
      <c r="B351" t="s">
        <v>343</v>
      </c>
      <c r="C351">
        <v>377</v>
      </c>
      <c r="D351" s="86">
        <f>ROUND(G351,3)</f>
        <v>7.7060000000000004</v>
      </c>
      <c r="G351" s="87">
        <v>7.7064000000000004</v>
      </c>
    </row>
    <row r="352" spans="1:7">
      <c r="A352" s="89">
        <v>344</v>
      </c>
      <c r="B352" t="s">
        <v>343</v>
      </c>
      <c r="C352">
        <v>381</v>
      </c>
      <c r="D352" s="86">
        <f>ROUND(G352,3)</f>
        <v>1.6830000000000001</v>
      </c>
      <c r="G352" s="87">
        <v>1.6826399999999999</v>
      </c>
    </row>
    <row r="353" spans="1:7">
      <c r="A353" s="89">
        <v>344</v>
      </c>
      <c r="B353" t="s">
        <v>343</v>
      </c>
      <c r="C353">
        <v>379</v>
      </c>
      <c r="D353" s="86">
        <f>ROUND(G353,3)</f>
        <v>7.0250000000000004</v>
      </c>
      <c r="G353" s="87">
        <v>7.02468</v>
      </c>
    </row>
    <row r="354" spans="1:7">
      <c r="A354" s="89">
        <v>359</v>
      </c>
      <c r="B354" t="s">
        <v>358</v>
      </c>
      <c r="C354">
        <v>377</v>
      </c>
      <c r="D354" s="86">
        <f>ROUND(G354,3)</f>
        <v>24.564</v>
      </c>
      <c r="G354" s="87">
        <v>24.564150000000001</v>
      </c>
    </row>
    <row r="355" spans="1:7">
      <c r="A355" s="89">
        <v>359</v>
      </c>
      <c r="B355" t="s">
        <v>358</v>
      </c>
      <c r="C355">
        <v>381</v>
      </c>
      <c r="D355" s="86">
        <f>ROUND(G355,3)</f>
        <v>4.7320000000000002</v>
      </c>
      <c r="G355" s="87">
        <v>4.7324250000000001</v>
      </c>
    </row>
    <row r="356" spans="1:7">
      <c r="A356" s="89">
        <v>359</v>
      </c>
      <c r="B356" t="s">
        <v>358</v>
      </c>
      <c r="C356">
        <v>379</v>
      </c>
      <c r="D356" s="86">
        <f>ROUND(G356,3)</f>
        <v>10.537000000000001</v>
      </c>
      <c r="G356" s="87">
        <v>10.53702</v>
      </c>
    </row>
    <row r="357" spans="1:7">
      <c r="A357" s="89">
        <v>337</v>
      </c>
      <c r="B357" t="s">
        <v>336</v>
      </c>
      <c r="C357">
        <v>377</v>
      </c>
      <c r="D357" s="86">
        <f>ROUND(G357,3)</f>
        <v>1.079</v>
      </c>
      <c r="G357" s="87">
        <v>1.0788960000000001</v>
      </c>
    </row>
    <row r="358" spans="1:7">
      <c r="A358" s="89">
        <v>337</v>
      </c>
      <c r="B358" t="s">
        <v>336</v>
      </c>
      <c r="C358">
        <v>381</v>
      </c>
      <c r="D358" s="86">
        <f>ROUND(G358,3)</f>
        <v>0.23599999999999999</v>
      </c>
      <c r="G358" s="87">
        <v>0.23556959999999999</v>
      </c>
    </row>
    <row r="359" spans="1:7">
      <c r="A359" s="89">
        <v>337</v>
      </c>
      <c r="B359" t="s">
        <v>336</v>
      </c>
      <c r="C359">
        <v>379</v>
      </c>
      <c r="D359" s="86">
        <f>ROUND(G359,3)</f>
        <v>0.98299999999999998</v>
      </c>
      <c r="G359" s="87">
        <v>0.98345519999999997</v>
      </c>
    </row>
    <row r="360" spans="1:7">
      <c r="A360" s="89">
        <v>352</v>
      </c>
      <c r="B360" t="s">
        <v>351</v>
      </c>
      <c r="C360">
        <v>377</v>
      </c>
      <c r="D360" s="86">
        <f>ROUND(G360,3)</f>
        <v>3.4390000000000001</v>
      </c>
      <c r="G360" s="87">
        <v>3.4389810000000001</v>
      </c>
    </row>
    <row r="361" spans="1:7">
      <c r="A361" s="89">
        <v>352</v>
      </c>
      <c r="B361" t="s">
        <v>351</v>
      </c>
      <c r="C361">
        <v>381</v>
      </c>
      <c r="D361" s="86">
        <f>ROUND(G361,3)</f>
        <v>0.66300000000000003</v>
      </c>
      <c r="G361" s="87">
        <v>0.66253949999999995</v>
      </c>
    </row>
    <row r="362" spans="1:7">
      <c r="A362" s="89">
        <v>352</v>
      </c>
      <c r="B362" t="s">
        <v>351</v>
      </c>
      <c r="C362">
        <v>379</v>
      </c>
      <c r="D362" s="86">
        <f>ROUND(G362,3)</f>
        <v>1.4750000000000001</v>
      </c>
      <c r="G362" s="87">
        <v>1.4751828</v>
      </c>
    </row>
    <row r="363" spans="1:7">
      <c r="A363" s="89">
        <v>345</v>
      </c>
      <c r="B363" t="s">
        <v>344</v>
      </c>
      <c r="C363">
        <v>377</v>
      </c>
      <c r="D363" s="86">
        <f>ROUND(G363,3)</f>
        <v>12.33</v>
      </c>
      <c r="G363" s="87">
        <v>12.33024</v>
      </c>
    </row>
    <row r="364" spans="1:7">
      <c r="A364" s="89">
        <v>345</v>
      </c>
      <c r="B364" t="s">
        <v>344</v>
      </c>
      <c r="C364">
        <v>381</v>
      </c>
      <c r="D364" s="86">
        <f>ROUND(G364,3)</f>
        <v>2.6920000000000002</v>
      </c>
      <c r="G364" s="87">
        <v>2.692224</v>
      </c>
    </row>
    <row r="365" spans="1:7">
      <c r="A365" s="89">
        <v>345</v>
      </c>
      <c r="B365" t="s">
        <v>344</v>
      </c>
      <c r="C365">
        <v>379</v>
      </c>
      <c r="D365" s="86">
        <f>ROUND(G365,3)</f>
        <v>11.239000000000001</v>
      </c>
      <c r="G365" s="87">
        <v>11.239488</v>
      </c>
    </row>
    <row r="366" spans="1:7">
      <c r="A366" s="89">
        <v>360</v>
      </c>
      <c r="B366" t="s">
        <v>359</v>
      </c>
      <c r="C366">
        <v>377</v>
      </c>
      <c r="D366" s="86">
        <f>ROUND(G366,3)</f>
        <v>39.302999999999997</v>
      </c>
      <c r="G366" s="87">
        <v>39.302639999999997</v>
      </c>
    </row>
    <row r="367" spans="1:7">
      <c r="A367" s="89">
        <v>360</v>
      </c>
      <c r="B367" t="s">
        <v>359</v>
      </c>
      <c r="C367">
        <v>381</v>
      </c>
      <c r="D367" s="86">
        <f>ROUND(G367,3)</f>
        <v>7.5720000000000001</v>
      </c>
      <c r="G367" s="87">
        <v>7.5718800000000002</v>
      </c>
    </row>
    <row r="368" spans="1:7">
      <c r="A368" s="89">
        <v>360</v>
      </c>
      <c r="B368" t="s">
        <v>359</v>
      </c>
      <c r="C368">
        <v>379</v>
      </c>
      <c r="D368" s="86">
        <f>ROUND(G368,3)</f>
        <v>16.859000000000002</v>
      </c>
      <c r="G368" s="87">
        <v>16.859231999999999</v>
      </c>
    </row>
    <row r="369" spans="1:7">
      <c r="A369" s="89">
        <v>349</v>
      </c>
      <c r="B369" t="s">
        <v>348</v>
      </c>
      <c r="C369">
        <v>377</v>
      </c>
      <c r="D369" s="86">
        <f>ROUND(G369,3)</f>
        <v>197.28399999999999</v>
      </c>
      <c r="G369" s="87">
        <v>197.28384</v>
      </c>
    </row>
    <row r="370" spans="1:7">
      <c r="A370" s="89">
        <v>349</v>
      </c>
      <c r="B370" t="s">
        <v>348</v>
      </c>
      <c r="C370">
        <v>381</v>
      </c>
      <c r="D370" s="86">
        <f>ROUND(G370,3)</f>
        <v>43.076000000000001</v>
      </c>
      <c r="G370" s="87">
        <v>43.075583999999999</v>
      </c>
    </row>
    <row r="371" spans="1:7">
      <c r="A371" s="89">
        <v>349</v>
      </c>
      <c r="B371" t="s">
        <v>348</v>
      </c>
      <c r="C371">
        <v>379</v>
      </c>
      <c r="D371" s="86">
        <f>ROUND(G371,3)</f>
        <v>179.83199999999999</v>
      </c>
      <c r="G371" s="87">
        <v>179.831808</v>
      </c>
    </row>
    <row r="372" spans="1:7">
      <c r="A372" s="89">
        <v>266</v>
      </c>
      <c r="B372" t="s">
        <v>266</v>
      </c>
      <c r="C372">
        <v>407</v>
      </c>
      <c r="D372" s="86">
        <f>ROUND(G372,3)</f>
        <v>5.4279999999999999</v>
      </c>
      <c r="G372" s="87">
        <v>5.4282240000000002</v>
      </c>
    </row>
    <row r="373" spans="1:7">
      <c r="A373" s="89">
        <v>266</v>
      </c>
      <c r="B373" t="s">
        <v>266</v>
      </c>
      <c r="C373">
        <v>379</v>
      </c>
      <c r="D373" s="86">
        <f>ROUND(G373,3)</f>
        <v>131.05199999999999</v>
      </c>
      <c r="G373" s="87">
        <v>131.05152000000001</v>
      </c>
    </row>
    <row r="374" spans="1:7">
      <c r="A374" s="89">
        <v>270</v>
      </c>
      <c r="B374" t="s">
        <v>270</v>
      </c>
      <c r="C374">
        <v>407</v>
      </c>
      <c r="D374" s="86">
        <f>ROUND(G374,3)</f>
        <v>8.1419999999999995</v>
      </c>
      <c r="G374" s="87">
        <v>8.1423360000000002</v>
      </c>
    </row>
    <row r="375" spans="1:7">
      <c r="A375" s="89">
        <v>270</v>
      </c>
      <c r="B375" t="s">
        <v>270</v>
      </c>
      <c r="C375">
        <v>379</v>
      </c>
      <c r="D375" s="86">
        <f>ROUND(G375,3)</f>
        <v>196.577</v>
      </c>
      <c r="G375" s="87">
        <v>196.57728</v>
      </c>
    </row>
    <row r="376" spans="1:7">
      <c r="A376" s="89">
        <v>267</v>
      </c>
      <c r="B376" t="s">
        <v>267</v>
      </c>
      <c r="C376">
        <v>407</v>
      </c>
      <c r="D376" s="86">
        <f>ROUND(G376,3)</f>
        <v>7.2380000000000004</v>
      </c>
      <c r="G376" s="87">
        <v>7.2376319999999996</v>
      </c>
    </row>
    <row r="377" spans="1:7">
      <c r="A377" s="89">
        <v>267</v>
      </c>
      <c r="B377" t="s">
        <v>267</v>
      </c>
      <c r="C377">
        <v>379</v>
      </c>
      <c r="D377" s="86">
        <f>ROUND(G377,3)</f>
        <v>174.73500000000001</v>
      </c>
      <c r="G377" s="87">
        <v>174.73535999999999</v>
      </c>
    </row>
    <row r="378" spans="1:7">
      <c r="A378" s="89">
        <v>271</v>
      </c>
      <c r="B378" t="s">
        <v>271</v>
      </c>
      <c r="C378">
        <v>407</v>
      </c>
      <c r="D378" s="86">
        <f>ROUND(G378,3)</f>
        <v>10.856</v>
      </c>
      <c r="G378" s="87">
        <v>10.856448</v>
      </c>
    </row>
    <row r="379" spans="1:7">
      <c r="A379" s="89">
        <v>271</v>
      </c>
      <c r="B379" t="s">
        <v>271</v>
      </c>
      <c r="C379">
        <v>379</v>
      </c>
      <c r="D379" s="86">
        <f>ROUND(G379,3)</f>
        <v>262.10300000000001</v>
      </c>
      <c r="G379" s="87">
        <v>262.10304000000002</v>
      </c>
    </row>
    <row r="380" spans="1:7">
      <c r="A380" s="89">
        <v>262</v>
      </c>
      <c r="B380" t="s">
        <v>262</v>
      </c>
      <c r="C380">
        <v>407</v>
      </c>
      <c r="D380" s="86">
        <f>ROUND(G380,3)</f>
        <v>0.27100000000000002</v>
      </c>
      <c r="G380" s="87">
        <v>0.27141120000000002</v>
      </c>
    </row>
    <row r="381" spans="1:7">
      <c r="A381" s="89">
        <v>262</v>
      </c>
      <c r="B381" t="s">
        <v>262</v>
      </c>
      <c r="C381">
        <v>379</v>
      </c>
      <c r="D381" s="86">
        <f>ROUND(G381,3)</f>
        <v>6.5529999999999999</v>
      </c>
      <c r="G381" s="87">
        <v>6.5525760000000002</v>
      </c>
    </row>
    <row r="382" spans="1:7">
      <c r="A382" s="89">
        <v>264</v>
      </c>
      <c r="B382" t="s">
        <v>264</v>
      </c>
      <c r="C382">
        <v>407</v>
      </c>
      <c r="D382" s="86">
        <f>ROUND(G382,3)</f>
        <v>0.36199999999999999</v>
      </c>
      <c r="G382" s="87">
        <v>0.36188160000000003</v>
      </c>
    </row>
    <row r="383" spans="1:7">
      <c r="A383" s="89">
        <v>264</v>
      </c>
      <c r="B383" t="s">
        <v>264</v>
      </c>
      <c r="C383">
        <v>379</v>
      </c>
      <c r="D383" s="86">
        <f>ROUND(G383,3)</f>
        <v>8.7370000000000001</v>
      </c>
      <c r="G383" s="87">
        <v>8.7367679999999996</v>
      </c>
    </row>
    <row r="384" spans="1:7">
      <c r="A384" s="89">
        <v>268</v>
      </c>
      <c r="B384" t="s">
        <v>268</v>
      </c>
      <c r="C384">
        <v>407</v>
      </c>
      <c r="D384" s="86">
        <f>ROUND(G384,3)</f>
        <v>0.54300000000000004</v>
      </c>
      <c r="G384" s="87">
        <v>0.54282240000000004</v>
      </c>
    </row>
    <row r="385" spans="1:7">
      <c r="A385" s="89">
        <v>268</v>
      </c>
      <c r="B385" t="s">
        <v>268</v>
      </c>
      <c r="C385">
        <v>379</v>
      </c>
      <c r="D385" s="86">
        <f>ROUND(G385,3)</f>
        <v>13.105</v>
      </c>
      <c r="G385" s="87">
        <v>13.105152</v>
      </c>
    </row>
    <row r="386" spans="1:7">
      <c r="A386" s="89">
        <v>263</v>
      </c>
      <c r="B386" t="s">
        <v>263</v>
      </c>
      <c r="C386">
        <v>407</v>
      </c>
      <c r="D386" s="86">
        <f>ROUND(G386,3)</f>
        <v>0.33900000000000002</v>
      </c>
      <c r="G386" s="87">
        <v>0.33926400000000001</v>
      </c>
    </row>
    <row r="387" spans="1:7">
      <c r="A387" s="89">
        <v>263</v>
      </c>
      <c r="B387" t="s">
        <v>263</v>
      </c>
      <c r="C387">
        <v>379</v>
      </c>
      <c r="D387" s="86">
        <f>ROUND(G387,3)</f>
        <v>8.1910000000000007</v>
      </c>
      <c r="G387" s="87">
        <v>8.1907200000000007</v>
      </c>
    </row>
    <row r="388" spans="1:7">
      <c r="A388" s="89">
        <v>265</v>
      </c>
      <c r="B388" t="s">
        <v>265</v>
      </c>
      <c r="C388">
        <v>407</v>
      </c>
      <c r="D388" s="86">
        <f>ROUND(G388,3)</f>
        <v>0.45200000000000001</v>
      </c>
      <c r="G388" s="87">
        <v>0.45235199999999998</v>
      </c>
    </row>
    <row r="389" spans="1:7">
      <c r="A389" s="89">
        <v>265</v>
      </c>
      <c r="B389" t="s">
        <v>265</v>
      </c>
      <c r="C389">
        <v>379</v>
      </c>
      <c r="D389" s="86">
        <f>ROUND(G389,3)</f>
        <v>10.920999999999999</v>
      </c>
      <c r="G389" s="87">
        <v>10.920959999999999</v>
      </c>
    </row>
    <row r="390" spans="1:7">
      <c r="A390" s="89">
        <v>269</v>
      </c>
      <c r="B390" t="s">
        <v>269</v>
      </c>
      <c r="C390">
        <v>407</v>
      </c>
      <c r="D390" s="86">
        <f>ROUND(G390,3)</f>
        <v>0.67900000000000005</v>
      </c>
      <c r="G390" s="87">
        <v>0.67852800000000002</v>
      </c>
    </row>
    <row r="391" spans="1:7">
      <c r="A391" s="89">
        <v>269</v>
      </c>
      <c r="B391" t="s">
        <v>269</v>
      </c>
      <c r="C391">
        <v>379</v>
      </c>
      <c r="D391" s="86">
        <f>ROUND(G391,3)</f>
        <v>16.381</v>
      </c>
      <c r="G391" s="87">
        <v>16.381440000000001</v>
      </c>
    </row>
    <row r="392" spans="1:7">
      <c r="A392" s="89">
        <v>274</v>
      </c>
      <c r="B392" t="s">
        <v>274</v>
      </c>
      <c r="C392">
        <v>421</v>
      </c>
      <c r="D392" s="86">
        <f>ROUND(G392,3)</f>
        <v>8.0000000000000002E-3</v>
      </c>
      <c r="G392" s="87">
        <v>7.79E-3</v>
      </c>
    </row>
    <row r="393" spans="1:7">
      <c r="A393" s="89">
        <v>274</v>
      </c>
      <c r="B393" t="s">
        <v>274</v>
      </c>
      <c r="C393">
        <v>379</v>
      </c>
      <c r="D393" s="86">
        <f>ROUND(G393,3)</f>
        <v>2.1389999999999998</v>
      </c>
      <c r="G393" s="87">
        <v>2.138925</v>
      </c>
    </row>
    <row r="394" spans="1:7">
      <c r="A394" s="89">
        <v>282</v>
      </c>
      <c r="B394" t="s">
        <v>282</v>
      </c>
      <c r="C394">
        <v>421</v>
      </c>
      <c r="D394" s="86">
        <f>ROUND(G394,3)</f>
        <v>1.2E-2</v>
      </c>
      <c r="G394" s="87">
        <v>1.1684999999999999E-2</v>
      </c>
    </row>
    <row r="395" spans="1:7">
      <c r="A395" s="89">
        <v>282</v>
      </c>
      <c r="B395" t="s">
        <v>282</v>
      </c>
      <c r="C395">
        <v>379</v>
      </c>
      <c r="D395" s="86">
        <f>ROUND(G395,3)</f>
        <v>3.2080000000000002</v>
      </c>
      <c r="G395" s="87">
        <v>3.2083875000000002</v>
      </c>
    </row>
    <row r="396" spans="1:7">
      <c r="A396" s="89">
        <v>275</v>
      </c>
      <c r="B396" t="s">
        <v>275</v>
      </c>
      <c r="C396">
        <v>421</v>
      </c>
      <c r="D396" s="86">
        <f>ROUND(G396,3)</f>
        <v>1.0999999999999999E-2</v>
      </c>
      <c r="G396" s="87">
        <v>1.0906000000000001E-2</v>
      </c>
    </row>
    <row r="397" spans="1:7">
      <c r="A397" s="89">
        <v>275</v>
      </c>
      <c r="B397" t="s">
        <v>275</v>
      </c>
      <c r="C397">
        <v>379</v>
      </c>
      <c r="D397" s="86">
        <f>ROUND(G397,3)</f>
        <v>2.9940000000000002</v>
      </c>
      <c r="G397" s="87">
        <v>2.9944950000000001</v>
      </c>
    </row>
    <row r="398" spans="1:7">
      <c r="A398" s="89">
        <v>283</v>
      </c>
      <c r="B398" t="s">
        <v>283</v>
      </c>
      <c r="C398">
        <v>421</v>
      </c>
      <c r="D398" s="86">
        <f>ROUND(G398,3)</f>
        <v>1.6E-2</v>
      </c>
      <c r="G398" s="87">
        <v>1.6358999999999999E-2</v>
      </c>
    </row>
    <row r="399" spans="1:7">
      <c r="A399" s="89">
        <v>283</v>
      </c>
      <c r="B399" t="s">
        <v>283</v>
      </c>
      <c r="C399">
        <v>379</v>
      </c>
      <c r="D399" s="86">
        <f>ROUND(G399,3)</f>
        <v>4.492</v>
      </c>
      <c r="G399" s="87">
        <v>4.4917425</v>
      </c>
    </row>
    <row r="400" spans="1:7">
      <c r="A400" s="89">
        <v>276</v>
      </c>
      <c r="B400" t="s">
        <v>276</v>
      </c>
      <c r="C400">
        <v>421</v>
      </c>
      <c r="D400" s="86">
        <f>ROUND(G400,3)</f>
        <v>1.6E-2</v>
      </c>
      <c r="G400" s="87">
        <v>1.558E-2</v>
      </c>
    </row>
    <row r="401" spans="1:7">
      <c r="A401" s="89">
        <v>276</v>
      </c>
      <c r="B401" t="s">
        <v>276</v>
      </c>
      <c r="C401">
        <v>379</v>
      </c>
      <c r="D401" s="86">
        <f>ROUND(G401,3)</f>
        <v>4.2779999999999996</v>
      </c>
      <c r="G401" s="87">
        <v>4.2778499999999999</v>
      </c>
    </row>
    <row r="402" spans="1:7">
      <c r="A402" s="89">
        <v>284</v>
      </c>
      <c r="B402" t="s">
        <v>284</v>
      </c>
      <c r="C402">
        <v>421</v>
      </c>
      <c r="D402" s="86">
        <f>ROUND(G402,3)</f>
        <v>2.3E-2</v>
      </c>
      <c r="G402" s="87">
        <v>2.3369999999999998E-2</v>
      </c>
    </row>
    <row r="403" spans="1:7">
      <c r="A403" s="89">
        <v>284</v>
      </c>
      <c r="B403" t="s">
        <v>284</v>
      </c>
      <c r="C403">
        <v>379</v>
      </c>
      <c r="D403" s="86">
        <f>ROUND(G403,3)</f>
        <v>6.4169999999999998</v>
      </c>
      <c r="G403" s="87">
        <v>6.4167750000000003</v>
      </c>
    </row>
    <row r="404" spans="1:7">
      <c r="A404" s="89">
        <v>277</v>
      </c>
      <c r="B404" t="s">
        <v>285</v>
      </c>
      <c r="C404">
        <v>421</v>
      </c>
      <c r="D404" s="86">
        <f>ROUND(G404,3)</f>
        <v>2.3E-2</v>
      </c>
      <c r="G404" s="87">
        <v>2.3369999999999998E-2</v>
      </c>
    </row>
    <row r="405" spans="1:7">
      <c r="A405" s="89">
        <v>277</v>
      </c>
      <c r="B405" t="s">
        <v>285</v>
      </c>
      <c r="C405">
        <v>379</v>
      </c>
      <c r="D405" s="86">
        <f>ROUND(G405,3)</f>
        <v>6.4169999999999998</v>
      </c>
      <c r="G405" s="87">
        <v>6.4167750000000003</v>
      </c>
    </row>
    <row r="406" spans="1:7">
      <c r="A406" s="89">
        <v>285</v>
      </c>
      <c r="B406" t="s">
        <v>1216</v>
      </c>
      <c r="C406">
        <v>421</v>
      </c>
      <c r="D406" s="86">
        <f>ROUND(G406,3)</f>
        <v>3.5000000000000003E-2</v>
      </c>
      <c r="G406" s="87">
        <v>3.5055000000000003E-2</v>
      </c>
    </row>
    <row r="407" spans="1:7">
      <c r="A407" s="89">
        <v>285</v>
      </c>
      <c r="B407" t="s">
        <v>1216</v>
      </c>
      <c r="C407">
        <v>379</v>
      </c>
      <c r="D407" s="86">
        <f>ROUND(G407,3)</f>
        <v>9.625</v>
      </c>
      <c r="G407" s="87">
        <v>9.6251625000000001</v>
      </c>
    </row>
    <row r="408" spans="1:7">
      <c r="A408" s="89">
        <v>278</v>
      </c>
      <c r="B408" t="s">
        <v>278</v>
      </c>
      <c r="C408">
        <v>421</v>
      </c>
      <c r="D408" s="86">
        <f>ROUND(G408,3)</f>
        <v>3.1E-2</v>
      </c>
      <c r="G408" s="87">
        <v>3.116E-2</v>
      </c>
    </row>
    <row r="409" spans="1:7">
      <c r="A409" s="89">
        <v>278</v>
      </c>
      <c r="B409" t="s">
        <v>278</v>
      </c>
      <c r="C409">
        <v>379</v>
      </c>
      <c r="D409" s="86">
        <f>ROUND(G409,3)</f>
        <v>8.5559999999999992</v>
      </c>
      <c r="G409" s="87">
        <v>8.5556999999999999</v>
      </c>
    </row>
    <row r="410" spans="1:7">
      <c r="A410" s="89">
        <v>286</v>
      </c>
      <c r="B410" t="s">
        <v>286</v>
      </c>
      <c r="C410">
        <v>421</v>
      </c>
      <c r="D410" s="86">
        <f>ROUND(G410,3)</f>
        <v>5.8000000000000003E-2</v>
      </c>
      <c r="G410" s="87">
        <v>5.8424999999999998E-2</v>
      </c>
    </row>
    <row r="411" spans="1:7">
      <c r="A411" s="89">
        <v>286</v>
      </c>
      <c r="B411" t="s">
        <v>286</v>
      </c>
      <c r="C411">
        <v>379</v>
      </c>
      <c r="D411" s="86">
        <f>ROUND(G411,3)</f>
        <v>16.042000000000002</v>
      </c>
      <c r="G411" s="87">
        <v>16.0419375</v>
      </c>
    </row>
    <row r="412" spans="1:7">
      <c r="A412" s="89">
        <v>272</v>
      </c>
      <c r="B412" t="s">
        <v>272</v>
      </c>
      <c r="C412">
        <v>421</v>
      </c>
      <c r="D412" s="86">
        <f>ROUND(G412,3)</f>
        <v>4.0000000000000001E-3</v>
      </c>
      <c r="G412" s="87">
        <v>3.895E-3</v>
      </c>
    </row>
    <row r="413" spans="1:7">
      <c r="A413" s="89">
        <v>272</v>
      </c>
      <c r="B413" t="s">
        <v>272</v>
      </c>
      <c r="C413">
        <v>379</v>
      </c>
      <c r="D413" s="86">
        <f>ROUND(G413,3)</f>
        <v>1.069</v>
      </c>
      <c r="G413" s="87">
        <v>1.0694625</v>
      </c>
    </row>
    <row r="414" spans="1:7">
      <c r="A414" s="89">
        <v>280</v>
      </c>
      <c r="B414" t="s">
        <v>280</v>
      </c>
      <c r="C414">
        <v>421</v>
      </c>
      <c r="D414" s="86">
        <f>ROUND(G414,3)</f>
        <v>6.0000000000000001E-3</v>
      </c>
      <c r="G414" s="87">
        <v>5.8424999999999996E-3</v>
      </c>
    </row>
    <row r="415" spans="1:7">
      <c r="A415" s="89">
        <v>280</v>
      </c>
      <c r="B415" t="s">
        <v>280</v>
      </c>
      <c r="C415">
        <v>379</v>
      </c>
      <c r="D415" s="86">
        <f>ROUND(G415,3)</f>
        <v>1.6040000000000001</v>
      </c>
      <c r="G415" s="87">
        <v>1.6041937500000001</v>
      </c>
    </row>
    <row r="416" spans="1:7">
      <c r="A416" s="89">
        <v>279</v>
      </c>
      <c r="B416" t="s">
        <v>279</v>
      </c>
      <c r="C416">
        <v>421</v>
      </c>
      <c r="D416" s="86">
        <f>ROUND(G416,3)</f>
        <v>3.9E-2</v>
      </c>
      <c r="G416" s="87">
        <v>3.8949999999999999E-2</v>
      </c>
    </row>
    <row r="417" spans="1:7">
      <c r="A417" s="89">
        <v>279</v>
      </c>
      <c r="B417" t="s">
        <v>279</v>
      </c>
      <c r="C417">
        <v>379</v>
      </c>
      <c r="D417" s="86">
        <f>ROUND(G417,3)</f>
        <v>10.695</v>
      </c>
      <c r="G417" s="87">
        <v>10.694625</v>
      </c>
    </row>
    <row r="418" spans="1:7">
      <c r="A418" s="89">
        <v>273</v>
      </c>
      <c r="B418" t="s">
        <v>273</v>
      </c>
      <c r="C418">
        <v>421</v>
      </c>
      <c r="D418" s="86">
        <f>ROUND(G418,3)</f>
        <v>5.0000000000000001E-3</v>
      </c>
      <c r="G418" s="87">
        <v>5.4530000000000004E-3</v>
      </c>
    </row>
    <row r="419" spans="1:7">
      <c r="A419" s="89">
        <v>273</v>
      </c>
      <c r="B419" t="s">
        <v>273</v>
      </c>
      <c r="C419">
        <v>379</v>
      </c>
      <c r="D419" s="86">
        <f>ROUND(G419,3)</f>
        <v>1.4970000000000001</v>
      </c>
      <c r="G419" s="87">
        <v>1.4972475000000001</v>
      </c>
    </row>
    <row r="420" spans="1:7">
      <c r="A420" s="89">
        <v>281</v>
      </c>
      <c r="B420" t="s">
        <v>281</v>
      </c>
      <c r="C420">
        <v>421</v>
      </c>
      <c r="D420" s="86">
        <f>ROUND(G420,3)</f>
        <v>8.0000000000000002E-3</v>
      </c>
      <c r="G420" s="87">
        <v>8.1794999999999993E-3</v>
      </c>
    </row>
    <row r="421" spans="1:7">
      <c r="A421" s="89">
        <v>281</v>
      </c>
      <c r="B421" t="s">
        <v>281</v>
      </c>
      <c r="C421">
        <v>379</v>
      </c>
      <c r="D421" s="86">
        <f>ROUND(G421,3)</f>
        <v>2.246</v>
      </c>
      <c r="G421" s="87">
        <v>2.24587125</v>
      </c>
    </row>
    <row r="422" spans="1:7">
      <c r="A422" s="89">
        <v>83</v>
      </c>
      <c r="B422" t="s">
        <v>83</v>
      </c>
      <c r="C422">
        <v>377</v>
      </c>
      <c r="D422" s="86">
        <f>ROUND(G422,3)</f>
        <v>196.51300000000001</v>
      </c>
      <c r="G422" s="87">
        <v>196.51320000000001</v>
      </c>
    </row>
    <row r="423" spans="1:7">
      <c r="A423" s="89">
        <v>83</v>
      </c>
      <c r="B423" t="s">
        <v>83</v>
      </c>
      <c r="C423">
        <v>381</v>
      </c>
      <c r="D423" s="86">
        <f>ROUND(G423,3)</f>
        <v>37.859000000000002</v>
      </c>
      <c r="G423" s="87">
        <v>37.859400000000001</v>
      </c>
    </row>
    <row r="424" spans="1:7">
      <c r="A424" s="89">
        <v>98</v>
      </c>
      <c r="B424" t="s">
        <v>98</v>
      </c>
      <c r="C424">
        <v>377</v>
      </c>
      <c r="D424" s="86">
        <f>ROUND(G424,3)</f>
        <v>294.77</v>
      </c>
      <c r="G424" s="87">
        <v>294.76979999999998</v>
      </c>
    </row>
    <row r="425" spans="1:7">
      <c r="A425" s="89">
        <v>98</v>
      </c>
      <c r="B425" t="s">
        <v>98</v>
      </c>
      <c r="C425">
        <v>381</v>
      </c>
      <c r="D425" s="86">
        <f>ROUND(G425,3)</f>
        <v>56.789000000000001</v>
      </c>
      <c r="G425" s="87">
        <v>56.789099999999998</v>
      </c>
    </row>
    <row r="426" spans="1:7">
      <c r="A426" s="89">
        <v>85</v>
      </c>
      <c r="B426" t="s">
        <v>85</v>
      </c>
      <c r="C426">
        <v>377</v>
      </c>
      <c r="D426" s="86">
        <f>ROUND(G426,3)</f>
        <v>314.42099999999999</v>
      </c>
      <c r="G426" s="87">
        <v>314.42111999999997</v>
      </c>
    </row>
    <row r="427" spans="1:7">
      <c r="A427" s="89">
        <v>85</v>
      </c>
      <c r="B427" t="s">
        <v>85</v>
      </c>
      <c r="C427">
        <v>381</v>
      </c>
      <c r="D427" s="86">
        <f>ROUND(G427,3)</f>
        <v>60.575000000000003</v>
      </c>
      <c r="G427" s="87">
        <v>60.575040000000001</v>
      </c>
    </row>
    <row r="428" spans="1:7">
      <c r="A428" s="89">
        <v>100</v>
      </c>
      <c r="B428" t="s">
        <v>100</v>
      </c>
      <c r="C428">
        <v>377</v>
      </c>
      <c r="D428" s="86">
        <f>ROUND(G428,3)</f>
        <v>471.63200000000001</v>
      </c>
      <c r="G428" s="87">
        <v>471.63168000000002</v>
      </c>
    </row>
    <row r="429" spans="1:7">
      <c r="A429" s="89">
        <v>100</v>
      </c>
      <c r="B429" t="s">
        <v>100</v>
      </c>
      <c r="C429">
        <v>381</v>
      </c>
      <c r="D429" s="86">
        <f>ROUND(G429,3)</f>
        <v>90.863</v>
      </c>
      <c r="G429" s="87">
        <v>90.862560000000002</v>
      </c>
    </row>
    <row r="430" spans="1:7">
      <c r="A430" s="89">
        <v>84</v>
      </c>
      <c r="B430" t="s">
        <v>84</v>
      </c>
      <c r="C430">
        <v>377</v>
      </c>
      <c r="D430" s="86">
        <f>ROUND(G430,3)</f>
        <v>262.01799999999997</v>
      </c>
      <c r="G430" s="87">
        <v>262.01760000000002</v>
      </c>
    </row>
    <row r="431" spans="1:7">
      <c r="A431" s="89">
        <v>84</v>
      </c>
      <c r="B431" t="s">
        <v>84</v>
      </c>
      <c r="C431">
        <v>381</v>
      </c>
      <c r="D431" s="86">
        <f>ROUND(G431,3)</f>
        <v>50.478999999999999</v>
      </c>
      <c r="G431" s="87">
        <v>50.479199999999999</v>
      </c>
    </row>
    <row r="432" spans="1:7">
      <c r="A432" s="89">
        <v>99</v>
      </c>
      <c r="B432" t="s">
        <v>99</v>
      </c>
      <c r="C432">
        <v>377</v>
      </c>
      <c r="D432" s="86">
        <f>ROUND(G432,3)</f>
        <v>393.02600000000001</v>
      </c>
      <c r="G432" s="87">
        <v>393.02640000000002</v>
      </c>
    </row>
    <row r="433" spans="1:7">
      <c r="A433" s="89">
        <v>99</v>
      </c>
      <c r="B433" t="s">
        <v>99</v>
      </c>
      <c r="C433">
        <v>381</v>
      </c>
      <c r="D433" s="86">
        <f>ROUND(G433,3)</f>
        <v>75.718999999999994</v>
      </c>
      <c r="G433" s="87">
        <v>75.718800000000002</v>
      </c>
    </row>
    <row r="434" spans="1:7">
      <c r="A434" s="89">
        <v>86</v>
      </c>
      <c r="B434" t="s">
        <v>86</v>
      </c>
      <c r="C434">
        <v>377</v>
      </c>
      <c r="D434" s="86">
        <f>ROUND(G434,3)</f>
        <v>419.22800000000001</v>
      </c>
      <c r="G434" s="87">
        <v>419.22816</v>
      </c>
    </row>
    <row r="435" spans="1:7">
      <c r="A435" s="89">
        <v>86</v>
      </c>
      <c r="B435" t="s">
        <v>86</v>
      </c>
      <c r="C435">
        <v>381</v>
      </c>
      <c r="D435" s="86">
        <f>ROUND(G435,3)</f>
        <v>80.766999999999996</v>
      </c>
      <c r="G435" s="87">
        <v>80.766720000000007</v>
      </c>
    </row>
    <row r="436" spans="1:7">
      <c r="A436" s="89">
        <v>101</v>
      </c>
      <c r="B436" t="s">
        <v>101</v>
      </c>
      <c r="C436">
        <v>377</v>
      </c>
      <c r="D436" s="86">
        <f>ROUND(G436,3)</f>
        <v>628.84199999999998</v>
      </c>
      <c r="G436" s="87">
        <v>628.84223999999995</v>
      </c>
    </row>
    <row r="437" spans="1:7">
      <c r="A437" s="89">
        <v>101</v>
      </c>
      <c r="B437" t="s">
        <v>101</v>
      </c>
      <c r="C437">
        <v>381</v>
      </c>
      <c r="D437" s="86">
        <f>ROUND(G437,3)</f>
        <v>121.15</v>
      </c>
      <c r="G437" s="87">
        <v>121.15008</v>
      </c>
    </row>
    <row r="438" spans="1:7">
      <c r="A438" s="89">
        <v>75</v>
      </c>
      <c r="B438" t="s">
        <v>75</v>
      </c>
      <c r="C438">
        <v>377</v>
      </c>
      <c r="D438" s="86">
        <f>ROUND(G438,3)</f>
        <v>3.2749999999999999</v>
      </c>
      <c r="G438" s="87">
        <v>3.27522</v>
      </c>
    </row>
    <row r="439" spans="1:7">
      <c r="A439" s="89">
        <v>75</v>
      </c>
      <c r="B439" t="s">
        <v>75</v>
      </c>
      <c r="C439">
        <v>381</v>
      </c>
      <c r="D439" s="86">
        <f>ROUND(G439,3)</f>
        <v>0.63100000000000001</v>
      </c>
      <c r="G439" s="87">
        <v>0.63099000000000005</v>
      </c>
    </row>
    <row r="440" spans="1:7">
      <c r="A440" s="89">
        <v>90</v>
      </c>
      <c r="B440" t="s">
        <v>90</v>
      </c>
      <c r="C440">
        <v>377</v>
      </c>
      <c r="D440" s="86">
        <f>ROUND(G440,3)</f>
        <v>4.9130000000000003</v>
      </c>
      <c r="G440" s="87">
        <v>4.9128299999999996</v>
      </c>
    </row>
    <row r="441" spans="1:7">
      <c r="A441" s="89">
        <v>90</v>
      </c>
      <c r="B441" t="s">
        <v>90</v>
      </c>
      <c r="C441">
        <v>381</v>
      </c>
      <c r="D441" s="86">
        <f>ROUND(G441,3)</f>
        <v>0.94599999999999995</v>
      </c>
      <c r="G441" s="87">
        <v>0.94648500000000002</v>
      </c>
    </row>
    <row r="442" spans="1:7">
      <c r="A442" s="89">
        <v>76</v>
      </c>
      <c r="B442" t="s">
        <v>76</v>
      </c>
      <c r="C442">
        <v>377</v>
      </c>
      <c r="D442" s="86">
        <f>ROUND(G442,3)</f>
        <v>4.585</v>
      </c>
      <c r="G442" s="87">
        <v>4.5853080000000004</v>
      </c>
    </row>
    <row r="443" spans="1:7">
      <c r="A443" s="89">
        <v>76</v>
      </c>
      <c r="B443" t="s">
        <v>76</v>
      </c>
      <c r="C443">
        <v>381</v>
      </c>
      <c r="D443" s="86">
        <f>ROUND(G443,3)</f>
        <v>0.88300000000000001</v>
      </c>
      <c r="G443" s="87">
        <v>0.883386</v>
      </c>
    </row>
    <row r="444" spans="1:7">
      <c r="A444" s="89">
        <v>91</v>
      </c>
      <c r="B444" t="s">
        <v>91</v>
      </c>
      <c r="C444">
        <v>377</v>
      </c>
      <c r="D444" s="86">
        <f>ROUND(G444,3)</f>
        <v>6.8780000000000001</v>
      </c>
      <c r="G444" s="87">
        <v>6.8779620000000001</v>
      </c>
    </row>
    <row r="445" spans="1:7">
      <c r="A445" s="89">
        <v>91</v>
      </c>
      <c r="B445" t="s">
        <v>91</v>
      </c>
      <c r="C445">
        <v>381</v>
      </c>
      <c r="D445" s="86">
        <f>ROUND(G445,3)</f>
        <v>1.325</v>
      </c>
      <c r="G445" s="87">
        <v>1.3250789999999999</v>
      </c>
    </row>
    <row r="446" spans="1:7">
      <c r="A446" s="89">
        <v>77</v>
      </c>
      <c r="B446" t="s">
        <v>77</v>
      </c>
      <c r="C446">
        <v>377</v>
      </c>
      <c r="D446" s="86">
        <f>ROUND(G446,3)</f>
        <v>5.24</v>
      </c>
      <c r="G446" s="87">
        <v>5.2403519999999997</v>
      </c>
    </row>
    <row r="447" spans="1:7">
      <c r="A447" s="89">
        <v>77</v>
      </c>
      <c r="B447" t="s">
        <v>77</v>
      </c>
      <c r="C447">
        <v>381</v>
      </c>
      <c r="D447" s="86">
        <f>ROUND(G447,3)</f>
        <v>1.01</v>
      </c>
      <c r="G447" s="87">
        <v>1.009584</v>
      </c>
    </row>
    <row r="448" spans="1:7">
      <c r="A448" s="89">
        <v>92</v>
      </c>
      <c r="B448" t="s">
        <v>92</v>
      </c>
      <c r="C448">
        <v>377</v>
      </c>
      <c r="D448" s="86">
        <f>ROUND(G448,3)</f>
        <v>7.8609999999999998</v>
      </c>
      <c r="G448" s="87">
        <v>7.8605280000000004</v>
      </c>
    </row>
    <row r="449" spans="1:7">
      <c r="A449" s="89">
        <v>92</v>
      </c>
      <c r="B449" t="s">
        <v>92</v>
      </c>
      <c r="C449">
        <v>381</v>
      </c>
      <c r="D449" s="86">
        <f>ROUND(G449,3)</f>
        <v>1.514</v>
      </c>
      <c r="G449" s="87">
        <v>1.5143759999999999</v>
      </c>
    </row>
    <row r="450" spans="1:7">
      <c r="A450" s="89">
        <v>72</v>
      </c>
      <c r="B450" t="s">
        <v>72</v>
      </c>
      <c r="C450">
        <v>377</v>
      </c>
      <c r="D450" s="86">
        <f>ROUND(G450,3)</f>
        <v>0.65500000000000003</v>
      </c>
      <c r="G450" s="87">
        <v>0.65504399999999996</v>
      </c>
    </row>
    <row r="451" spans="1:7">
      <c r="A451" s="89">
        <v>72</v>
      </c>
      <c r="B451" t="s">
        <v>72</v>
      </c>
      <c r="C451">
        <v>381</v>
      </c>
      <c r="D451" s="86">
        <f>ROUND(G451,3)</f>
        <v>0.126</v>
      </c>
      <c r="G451" s="87">
        <v>0.126198</v>
      </c>
    </row>
    <row r="452" spans="1:7">
      <c r="A452" s="89">
        <v>87</v>
      </c>
      <c r="B452" t="s">
        <v>87</v>
      </c>
      <c r="C452">
        <v>377</v>
      </c>
      <c r="D452" s="86">
        <f>ROUND(G452,3)</f>
        <v>0.98299999999999998</v>
      </c>
      <c r="G452" s="87">
        <v>0.98256600000000005</v>
      </c>
    </row>
    <row r="453" spans="1:7">
      <c r="A453" s="89">
        <v>87</v>
      </c>
      <c r="B453" t="s">
        <v>87</v>
      </c>
      <c r="C453">
        <v>381</v>
      </c>
      <c r="D453" s="86">
        <f>ROUND(G453,3)</f>
        <v>0.189</v>
      </c>
      <c r="G453" s="87">
        <v>0.18929699999999999</v>
      </c>
    </row>
    <row r="454" spans="1:7">
      <c r="A454" s="89">
        <v>78</v>
      </c>
      <c r="B454" t="s">
        <v>78</v>
      </c>
      <c r="C454">
        <v>377</v>
      </c>
      <c r="D454" s="86">
        <f>ROUND(G454,3)</f>
        <v>6.55</v>
      </c>
      <c r="G454" s="87">
        <v>6.55044</v>
      </c>
    </row>
    <row r="455" spans="1:7">
      <c r="A455" s="89">
        <v>78</v>
      </c>
      <c r="B455" t="s">
        <v>78</v>
      </c>
      <c r="C455">
        <v>381</v>
      </c>
      <c r="D455" s="86">
        <f>ROUND(G455,3)</f>
        <v>1.262</v>
      </c>
      <c r="G455" s="87">
        <v>1.2619800000000001</v>
      </c>
    </row>
    <row r="456" spans="1:7">
      <c r="A456" s="89">
        <v>93</v>
      </c>
      <c r="B456" t="s">
        <v>93</v>
      </c>
      <c r="C456">
        <v>377</v>
      </c>
      <c r="D456" s="86">
        <f>ROUND(G456,3)</f>
        <v>9.8260000000000005</v>
      </c>
      <c r="G456" s="87">
        <v>9.8256599999999992</v>
      </c>
    </row>
    <row r="457" spans="1:7">
      <c r="A457" s="89">
        <v>93</v>
      </c>
      <c r="B457" t="s">
        <v>93</v>
      </c>
      <c r="C457">
        <v>381</v>
      </c>
      <c r="D457" s="86">
        <f>ROUND(G457,3)</f>
        <v>1.893</v>
      </c>
      <c r="G457" s="87">
        <v>1.89297</v>
      </c>
    </row>
    <row r="458" spans="1:7">
      <c r="A458" s="89">
        <v>79</v>
      </c>
      <c r="B458" t="s">
        <v>79</v>
      </c>
      <c r="C458">
        <v>377</v>
      </c>
      <c r="D458" s="86">
        <f>ROUND(G458,3)</f>
        <v>9.8260000000000005</v>
      </c>
      <c r="G458" s="87">
        <v>9.8256599999999992</v>
      </c>
    </row>
    <row r="459" spans="1:7">
      <c r="A459" s="89">
        <v>79</v>
      </c>
      <c r="B459" t="s">
        <v>79</v>
      </c>
      <c r="C459">
        <v>381</v>
      </c>
      <c r="D459" s="86">
        <f>ROUND(G459,3)</f>
        <v>1.893</v>
      </c>
      <c r="G459" s="87">
        <v>1.89297</v>
      </c>
    </row>
    <row r="460" spans="1:7">
      <c r="A460" s="89">
        <v>94</v>
      </c>
      <c r="B460" t="s">
        <v>94</v>
      </c>
      <c r="C460">
        <v>377</v>
      </c>
      <c r="D460" s="86">
        <f>ROUND(G460,3)</f>
        <v>14.738</v>
      </c>
      <c r="G460" s="87">
        <v>14.738490000000001</v>
      </c>
    </row>
    <row r="461" spans="1:7">
      <c r="A461" s="89">
        <v>94</v>
      </c>
      <c r="B461" t="s">
        <v>94</v>
      </c>
      <c r="C461">
        <v>381</v>
      </c>
      <c r="D461" s="86">
        <f>ROUND(G461,3)</f>
        <v>2.839</v>
      </c>
      <c r="G461" s="87">
        <v>2.8394550000000001</v>
      </c>
    </row>
    <row r="462" spans="1:7">
      <c r="A462" s="89">
        <v>80</v>
      </c>
      <c r="B462" t="s">
        <v>80</v>
      </c>
      <c r="C462">
        <v>377</v>
      </c>
      <c r="D462" s="86">
        <f>ROUND(G462,3)</f>
        <v>13.101000000000001</v>
      </c>
      <c r="G462" s="87">
        <v>13.10088</v>
      </c>
    </row>
    <row r="463" spans="1:7">
      <c r="A463" s="89">
        <v>80</v>
      </c>
      <c r="B463" t="s">
        <v>80</v>
      </c>
      <c r="C463">
        <v>381</v>
      </c>
      <c r="D463" s="86">
        <f>ROUND(G463,3)</f>
        <v>2.524</v>
      </c>
      <c r="G463" s="87">
        <v>2.5239600000000002</v>
      </c>
    </row>
    <row r="464" spans="1:7">
      <c r="A464" s="89">
        <v>95</v>
      </c>
      <c r="B464" t="s">
        <v>95</v>
      </c>
      <c r="C464">
        <v>377</v>
      </c>
      <c r="D464" s="86">
        <f>ROUND(G464,3)</f>
        <v>19.651</v>
      </c>
      <c r="G464" s="87">
        <v>19.651319999999998</v>
      </c>
    </row>
    <row r="465" spans="1:7">
      <c r="A465" s="89">
        <v>95</v>
      </c>
      <c r="B465" t="s">
        <v>95</v>
      </c>
      <c r="C465">
        <v>381</v>
      </c>
      <c r="D465" s="86">
        <f>ROUND(G465,3)</f>
        <v>3.786</v>
      </c>
      <c r="G465" s="87">
        <v>3.7859400000000001</v>
      </c>
    </row>
    <row r="466" spans="1:7">
      <c r="A466" s="89">
        <v>73</v>
      </c>
      <c r="B466" t="s">
        <v>73</v>
      </c>
      <c r="C466">
        <v>377</v>
      </c>
      <c r="D466" s="86">
        <f>ROUND(G466,3)</f>
        <v>1.6379999999999999</v>
      </c>
      <c r="G466" s="87">
        <v>1.63761</v>
      </c>
    </row>
    <row r="467" spans="1:7">
      <c r="A467" s="89">
        <v>73</v>
      </c>
      <c r="B467" t="s">
        <v>73</v>
      </c>
      <c r="C467">
        <v>381</v>
      </c>
      <c r="D467" s="86">
        <f>ROUND(G467,3)</f>
        <v>0.315</v>
      </c>
      <c r="G467" s="87">
        <v>0.31549500000000003</v>
      </c>
    </row>
    <row r="468" spans="1:7">
      <c r="A468" s="89">
        <v>88</v>
      </c>
      <c r="B468" t="s">
        <v>88</v>
      </c>
      <c r="C468">
        <v>377</v>
      </c>
      <c r="D468" s="86">
        <f>ROUND(G468,3)</f>
        <v>2.456</v>
      </c>
      <c r="G468" s="87">
        <v>2.4564149999999998</v>
      </c>
    </row>
    <row r="469" spans="1:7">
      <c r="A469" s="89">
        <v>88</v>
      </c>
      <c r="B469" t="s">
        <v>88</v>
      </c>
      <c r="C469">
        <v>381</v>
      </c>
      <c r="D469" s="86">
        <f>ROUND(G469,3)</f>
        <v>0.47299999999999998</v>
      </c>
      <c r="G469" s="87">
        <v>0.47324250000000001</v>
      </c>
    </row>
    <row r="470" spans="1:7">
      <c r="A470" s="89">
        <v>81</v>
      </c>
      <c r="B470" t="s">
        <v>81</v>
      </c>
      <c r="C470">
        <v>377</v>
      </c>
      <c r="D470" s="86">
        <f>ROUND(G470,3)</f>
        <v>16.376000000000001</v>
      </c>
      <c r="G470" s="87">
        <v>16.376100000000001</v>
      </c>
    </row>
    <row r="471" spans="1:7">
      <c r="A471" s="89">
        <v>81</v>
      </c>
      <c r="B471" t="s">
        <v>81</v>
      </c>
      <c r="C471">
        <v>381</v>
      </c>
      <c r="D471" s="86">
        <f>ROUND(G471,3)</f>
        <v>3.1549999999999998</v>
      </c>
      <c r="G471" s="87">
        <v>3.1549499999999999</v>
      </c>
    </row>
    <row r="472" spans="1:7">
      <c r="A472" s="89">
        <v>96</v>
      </c>
      <c r="B472" t="s">
        <v>96</v>
      </c>
      <c r="C472">
        <v>377</v>
      </c>
      <c r="D472" s="86">
        <f>ROUND(G472,3)</f>
        <v>24.564</v>
      </c>
      <c r="G472" s="87">
        <v>24.564150000000001</v>
      </c>
    </row>
    <row r="473" spans="1:7">
      <c r="A473" s="89">
        <v>96</v>
      </c>
      <c r="B473" t="s">
        <v>96</v>
      </c>
      <c r="C473">
        <v>381</v>
      </c>
      <c r="D473" s="86">
        <f>ROUND(G473,3)</f>
        <v>4.7320000000000002</v>
      </c>
      <c r="G473" s="87">
        <v>4.7324250000000001</v>
      </c>
    </row>
    <row r="474" spans="1:7">
      <c r="A474" s="89">
        <v>74</v>
      </c>
      <c r="B474" t="s">
        <v>74</v>
      </c>
      <c r="C474">
        <v>377</v>
      </c>
      <c r="D474" s="86">
        <f>ROUND(G474,3)</f>
        <v>2.2930000000000001</v>
      </c>
      <c r="G474" s="87">
        <v>2.2926540000000002</v>
      </c>
    </row>
    <row r="475" spans="1:7">
      <c r="A475" s="89">
        <v>74</v>
      </c>
      <c r="B475" t="s">
        <v>74</v>
      </c>
      <c r="C475">
        <v>381</v>
      </c>
      <c r="D475" s="86">
        <f>ROUND(G475,3)</f>
        <v>0.442</v>
      </c>
      <c r="G475" s="87">
        <v>0.441693</v>
      </c>
    </row>
    <row r="476" spans="1:7">
      <c r="A476" s="89">
        <v>89</v>
      </c>
      <c r="B476" t="s">
        <v>89</v>
      </c>
      <c r="C476">
        <v>377</v>
      </c>
      <c r="D476" s="86">
        <f>ROUND(G476,3)</f>
        <v>3.4390000000000001</v>
      </c>
      <c r="G476" s="87">
        <v>3.4389810000000001</v>
      </c>
    </row>
    <row r="477" spans="1:7">
      <c r="A477" s="89">
        <v>89</v>
      </c>
      <c r="B477" t="s">
        <v>89</v>
      </c>
      <c r="C477">
        <v>381</v>
      </c>
      <c r="D477" s="86">
        <f>ROUND(G477,3)</f>
        <v>0.66300000000000003</v>
      </c>
      <c r="G477" s="87">
        <v>0.66253949999999995</v>
      </c>
    </row>
    <row r="478" spans="1:7">
      <c r="A478" s="89">
        <v>82</v>
      </c>
      <c r="B478" t="s">
        <v>82</v>
      </c>
      <c r="C478">
        <v>377</v>
      </c>
      <c r="D478" s="86">
        <f>ROUND(G478,3)</f>
        <v>26.202000000000002</v>
      </c>
      <c r="G478" s="87">
        <v>26.20176</v>
      </c>
    </row>
    <row r="479" spans="1:7">
      <c r="A479" s="89">
        <v>82</v>
      </c>
      <c r="B479" t="s">
        <v>82</v>
      </c>
      <c r="C479">
        <v>381</v>
      </c>
      <c r="D479" s="86">
        <f>ROUND(G479,3)</f>
        <v>5.048</v>
      </c>
      <c r="G479" s="87">
        <v>5.0479200000000004</v>
      </c>
    </row>
    <row r="480" spans="1:7">
      <c r="A480" s="89">
        <v>97</v>
      </c>
      <c r="B480" t="s">
        <v>97</v>
      </c>
      <c r="C480">
        <v>377</v>
      </c>
      <c r="D480" s="86">
        <f>ROUND(G480,3)</f>
        <v>39.302999999999997</v>
      </c>
      <c r="G480" s="87">
        <v>39.302639999999997</v>
      </c>
    </row>
    <row r="481" spans="1:7">
      <c r="A481" s="89">
        <v>97</v>
      </c>
      <c r="B481" t="s">
        <v>97</v>
      </c>
      <c r="C481">
        <v>381</v>
      </c>
      <c r="D481" s="86">
        <f>ROUND(G481,3)</f>
        <v>7.5720000000000001</v>
      </c>
      <c r="G481" s="87">
        <v>7.5718800000000002</v>
      </c>
    </row>
    <row r="482" spans="1:7">
      <c r="A482" s="89">
        <v>143</v>
      </c>
      <c r="B482" t="s">
        <v>143</v>
      </c>
      <c r="C482">
        <v>377</v>
      </c>
      <c r="D482" s="86">
        <f>ROUND(G482,3)</f>
        <v>210.66900000000001</v>
      </c>
      <c r="G482" s="87">
        <v>210.66864000000001</v>
      </c>
    </row>
    <row r="483" spans="1:7">
      <c r="A483" s="89">
        <v>143</v>
      </c>
      <c r="B483" t="s">
        <v>143</v>
      </c>
      <c r="C483">
        <v>381</v>
      </c>
      <c r="D483" s="86">
        <f>ROUND(G483,3)</f>
        <v>4.694</v>
      </c>
      <c r="G483" s="87">
        <v>4.6936799999999996</v>
      </c>
    </row>
    <row r="484" spans="1:7">
      <c r="A484" s="89">
        <v>158</v>
      </c>
      <c r="B484" t="s">
        <v>158</v>
      </c>
      <c r="C484">
        <v>377</v>
      </c>
      <c r="D484" s="86">
        <f>ROUND(G484,3)</f>
        <v>317.99</v>
      </c>
      <c r="G484" s="87">
        <v>317.99040000000002</v>
      </c>
    </row>
    <row r="485" spans="1:7">
      <c r="A485" s="89">
        <v>158</v>
      </c>
      <c r="B485" t="s">
        <v>158</v>
      </c>
      <c r="C485">
        <v>381</v>
      </c>
      <c r="D485" s="86">
        <f>ROUND(G485,3)</f>
        <v>7.085</v>
      </c>
      <c r="G485" s="87">
        <v>7.0848000000000004</v>
      </c>
    </row>
    <row r="486" spans="1:7">
      <c r="A486" s="89">
        <v>145</v>
      </c>
      <c r="B486" t="s">
        <v>145</v>
      </c>
      <c r="C486">
        <v>377</v>
      </c>
      <c r="D486" s="86">
        <f>ROUND(G486,3)</f>
        <v>337.07</v>
      </c>
      <c r="G486" s="87">
        <v>337.06982399999998</v>
      </c>
    </row>
    <row r="487" spans="1:7">
      <c r="A487" s="89">
        <v>145</v>
      </c>
      <c r="B487" t="s">
        <v>145</v>
      </c>
      <c r="C487">
        <v>381</v>
      </c>
      <c r="D487" s="86">
        <f>ROUND(G487,3)</f>
        <v>7.51</v>
      </c>
      <c r="G487" s="87">
        <v>7.5098880000000001</v>
      </c>
    </row>
    <row r="488" spans="1:7">
      <c r="A488" s="89">
        <v>160</v>
      </c>
      <c r="B488" t="s">
        <v>160</v>
      </c>
      <c r="C488">
        <v>377</v>
      </c>
      <c r="D488" s="86">
        <f>ROUND(G488,3)</f>
        <v>508.78500000000003</v>
      </c>
      <c r="G488" s="87">
        <v>508.78464000000002</v>
      </c>
    </row>
    <row r="489" spans="1:7">
      <c r="A489" s="89">
        <v>160</v>
      </c>
      <c r="B489" t="s">
        <v>160</v>
      </c>
      <c r="C489">
        <v>381</v>
      </c>
      <c r="D489" s="86">
        <f>ROUND(G489,3)</f>
        <v>11.336</v>
      </c>
      <c r="G489" s="87">
        <v>11.33568</v>
      </c>
    </row>
    <row r="490" spans="1:7">
      <c r="A490" s="89">
        <v>144</v>
      </c>
      <c r="B490" t="s">
        <v>144</v>
      </c>
      <c r="C490">
        <v>377</v>
      </c>
      <c r="D490" s="86">
        <f>ROUND(G490,3)</f>
        <v>280.892</v>
      </c>
      <c r="G490" s="87">
        <v>280.89152000000001</v>
      </c>
    </row>
    <row r="491" spans="1:7">
      <c r="A491" s="89">
        <v>144</v>
      </c>
      <c r="B491" t="s">
        <v>144</v>
      </c>
      <c r="C491">
        <v>381</v>
      </c>
      <c r="D491" s="86">
        <f>ROUND(G491,3)</f>
        <v>6.258</v>
      </c>
      <c r="G491" s="87">
        <v>6.2582399999999998</v>
      </c>
    </row>
    <row r="492" spans="1:7">
      <c r="A492" s="89">
        <v>159</v>
      </c>
      <c r="B492" t="s">
        <v>159</v>
      </c>
      <c r="C492">
        <v>377</v>
      </c>
      <c r="D492" s="86">
        <f>ROUND(G492,3)</f>
        <v>423.98700000000002</v>
      </c>
      <c r="G492" s="87">
        <v>423.98719999999997</v>
      </c>
    </row>
    <row r="493" spans="1:7">
      <c r="A493" s="89">
        <v>159</v>
      </c>
      <c r="B493" t="s">
        <v>159</v>
      </c>
      <c r="C493">
        <v>381</v>
      </c>
      <c r="D493" s="86">
        <f>ROUND(G493,3)</f>
        <v>9.4459999999999997</v>
      </c>
      <c r="G493" s="87">
        <v>9.4464000000000006</v>
      </c>
    </row>
    <row r="494" spans="1:7">
      <c r="A494" s="89">
        <v>146</v>
      </c>
      <c r="B494" t="s">
        <v>146</v>
      </c>
      <c r="C494">
        <v>377</v>
      </c>
      <c r="D494" s="86">
        <f>ROUND(G494,3)</f>
        <v>449.42599999999999</v>
      </c>
      <c r="G494" s="87">
        <v>449.42643199999998</v>
      </c>
    </row>
    <row r="495" spans="1:7">
      <c r="A495" s="89">
        <v>146</v>
      </c>
      <c r="B495" t="s">
        <v>146</v>
      </c>
      <c r="C495">
        <v>381</v>
      </c>
      <c r="D495" s="86">
        <f>ROUND(G495,3)</f>
        <v>10.013</v>
      </c>
      <c r="G495" s="87">
        <v>10.013184000000001</v>
      </c>
    </row>
    <row r="496" spans="1:7">
      <c r="A496" s="89">
        <v>161</v>
      </c>
      <c r="B496" t="s">
        <v>161</v>
      </c>
      <c r="C496">
        <v>377</v>
      </c>
      <c r="D496" s="86">
        <f>ROUND(G496,3)</f>
        <v>678.38</v>
      </c>
      <c r="G496" s="87">
        <v>678.37951999999996</v>
      </c>
    </row>
    <row r="497" spans="1:7">
      <c r="A497" s="89">
        <v>161</v>
      </c>
      <c r="B497" t="s">
        <v>161</v>
      </c>
      <c r="C497">
        <v>381</v>
      </c>
      <c r="D497" s="86">
        <f>ROUND(G497,3)</f>
        <v>15.114000000000001</v>
      </c>
      <c r="G497" s="87">
        <v>15.114240000000001</v>
      </c>
    </row>
    <row r="498" spans="1:7">
      <c r="A498" s="89">
        <v>135</v>
      </c>
      <c r="B498" t="s">
        <v>135</v>
      </c>
      <c r="C498">
        <v>377</v>
      </c>
      <c r="D498" s="86">
        <f>ROUND(G498,3)</f>
        <v>3.5110000000000001</v>
      </c>
      <c r="G498" s="87">
        <v>3.5111439999999998</v>
      </c>
    </row>
    <row r="499" spans="1:7">
      <c r="A499" s="89">
        <v>135</v>
      </c>
      <c r="B499" t="s">
        <v>135</v>
      </c>
      <c r="C499">
        <v>381</v>
      </c>
      <c r="D499" s="86">
        <f>ROUND(G499,3)</f>
        <v>7.8E-2</v>
      </c>
      <c r="G499" s="87">
        <v>7.8228000000000006E-2</v>
      </c>
    </row>
    <row r="500" spans="1:7">
      <c r="A500" s="89">
        <v>150</v>
      </c>
      <c r="B500" t="s">
        <v>150</v>
      </c>
      <c r="C500">
        <v>377</v>
      </c>
      <c r="D500" s="86">
        <f>ROUND(G500,3)</f>
        <v>5.3</v>
      </c>
      <c r="G500" s="87">
        <v>5.2998399999999997</v>
      </c>
    </row>
    <row r="501" spans="1:7">
      <c r="A501" s="89">
        <v>150</v>
      </c>
      <c r="B501" t="s">
        <v>150</v>
      </c>
      <c r="C501">
        <v>381</v>
      </c>
      <c r="D501" s="86">
        <f>ROUND(G501,3)</f>
        <v>0.11799999999999999</v>
      </c>
      <c r="G501" s="87">
        <v>0.11808</v>
      </c>
    </row>
    <row r="502" spans="1:7">
      <c r="A502" s="89">
        <v>136</v>
      </c>
      <c r="B502" t="s">
        <v>136</v>
      </c>
      <c r="C502">
        <v>377</v>
      </c>
      <c r="D502" s="86">
        <f>ROUND(G502,3)</f>
        <v>4.9160000000000004</v>
      </c>
      <c r="G502" s="87">
        <v>4.9156015999999996</v>
      </c>
    </row>
    <row r="503" spans="1:7">
      <c r="A503" s="89">
        <v>136</v>
      </c>
      <c r="B503" t="s">
        <v>136</v>
      </c>
      <c r="C503">
        <v>381</v>
      </c>
      <c r="D503" s="86">
        <f>ROUND(G503,3)</f>
        <v>0.11</v>
      </c>
      <c r="G503" s="87">
        <v>0.1095192</v>
      </c>
    </row>
    <row r="504" spans="1:7">
      <c r="A504" s="89">
        <v>151</v>
      </c>
      <c r="B504" t="s">
        <v>151</v>
      </c>
      <c r="C504">
        <v>377</v>
      </c>
      <c r="D504" s="86">
        <f>ROUND(G504,3)</f>
        <v>7.42</v>
      </c>
      <c r="G504" s="87">
        <v>7.4197759999999997</v>
      </c>
    </row>
    <row r="505" spans="1:7">
      <c r="A505" s="89">
        <v>151</v>
      </c>
      <c r="B505" t="s">
        <v>151</v>
      </c>
      <c r="C505">
        <v>381</v>
      </c>
      <c r="D505" s="86">
        <f>ROUND(G505,3)</f>
        <v>0.16500000000000001</v>
      </c>
      <c r="G505" s="87">
        <v>0.16531199999999999</v>
      </c>
    </row>
    <row r="506" spans="1:7">
      <c r="A506" s="89">
        <v>137</v>
      </c>
      <c r="B506" t="s">
        <v>137</v>
      </c>
      <c r="C506">
        <v>377</v>
      </c>
      <c r="D506" s="86">
        <f>ROUND(G506,3)</f>
        <v>5.6180000000000003</v>
      </c>
      <c r="G506" s="87">
        <v>5.6178303999999999</v>
      </c>
    </row>
    <row r="507" spans="1:7">
      <c r="A507" s="89">
        <v>137</v>
      </c>
      <c r="B507" t="s">
        <v>137</v>
      </c>
      <c r="C507">
        <v>381</v>
      </c>
      <c r="D507" s="86">
        <f>ROUND(G507,3)</f>
        <v>0.125</v>
      </c>
      <c r="G507" s="87">
        <v>0.12516479999999999</v>
      </c>
    </row>
    <row r="508" spans="1:7">
      <c r="A508" s="89">
        <v>152</v>
      </c>
      <c r="B508" t="s">
        <v>152</v>
      </c>
      <c r="C508">
        <v>377</v>
      </c>
      <c r="D508" s="86">
        <f>ROUND(G508,3)</f>
        <v>8.48</v>
      </c>
      <c r="G508" s="87">
        <v>8.4797440000000002</v>
      </c>
    </row>
    <row r="509" spans="1:7">
      <c r="A509" s="89">
        <v>152</v>
      </c>
      <c r="B509" t="s">
        <v>152</v>
      </c>
      <c r="C509">
        <v>381</v>
      </c>
      <c r="D509" s="86">
        <f>ROUND(G509,3)</f>
        <v>0.189</v>
      </c>
      <c r="G509" s="87">
        <v>0.18892800000000001</v>
      </c>
    </row>
    <row r="510" spans="1:7">
      <c r="A510" s="89">
        <v>132</v>
      </c>
      <c r="B510" t="s">
        <v>132</v>
      </c>
      <c r="C510">
        <v>377</v>
      </c>
      <c r="D510" s="86">
        <f>ROUND(G510,3)</f>
        <v>0.70199999999999996</v>
      </c>
      <c r="G510" s="87">
        <v>0.70222879999999999</v>
      </c>
    </row>
    <row r="511" spans="1:7">
      <c r="A511" s="89">
        <v>132</v>
      </c>
      <c r="B511" t="s">
        <v>132</v>
      </c>
      <c r="C511">
        <v>381</v>
      </c>
      <c r="D511" s="86">
        <f>ROUND(G511,3)</f>
        <v>1.6E-2</v>
      </c>
      <c r="G511" s="87">
        <v>1.5645599999999999E-2</v>
      </c>
    </row>
    <row r="512" spans="1:7">
      <c r="A512" s="89">
        <v>147</v>
      </c>
      <c r="B512" t="s">
        <v>147</v>
      </c>
      <c r="C512">
        <v>377</v>
      </c>
      <c r="D512" s="86">
        <f>ROUND(G512,3)</f>
        <v>1.06</v>
      </c>
      <c r="G512" s="87">
        <v>1.059968</v>
      </c>
    </row>
    <row r="513" spans="1:7">
      <c r="A513" s="89">
        <v>147</v>
      </c>
      <c r="B513" t="s">
        <v>147</v>
      </c>
      <c r="C513">
        <v>381</v>
      </c>
      <c r="D513" s="86">
        <f>ROUND(G513,3)</f>
        <v>2.4E-2</v>
      </c>
      <c r="G513" s="87">
        <v>2.3616000000000002E-2</v>
      </c>
    </row>
    <row r="514" spans="1:7">
      <c r="A514" s="89">
        <v>138</v>
      </c>
      <c r="B514" t="s">
        <v>138</v>
      </c>
      <c r="C514">
        <v>377</v>
      </c>
      <c r="D514" s="86">
        <f>ROUND(G514,3)</f>
        <v>7.0220000000000002</v>
      </c>
      <c r="G514" s="87">
        <v>7.0222879999999996</v>
      </c>
    </row>
    <row r="515" spans="1:7">
      <c r="A515" s="89">
        <v>138</v>
      </c>
      <c r="B515" t="s">
        <v>138</v>
      </c>
      <c r="C515">
        <v>381</v>
      </c>
      <c r="D515" s="86">
        <f>ROUND(G515,3)</f>
        <v>0.156</v>
      </c>
      <c r="G515" s="87">
        <v>0.15645600000000001</v>
      </c>
    </row>
    <row r="516" spans="1:7">
      <c r="A516" s="89">
        <v>153</v>
      </c>
      <c r="B516" t="s">
        <v>153</v>
      </c>
      <c r="C516">
        <v>377</v>
      </c>
      <c r="D516" s="86">
        <f>ROUND(G516,3)</f>
        <v>10.6</v>
      </c>
      <c r="G516" s="87">
        <v>10.599679999999999</v>
      </c>
    </row>
    <row r="517" spans="1:7">
      <c r="A517" s="89">
        <v>153</v>
      </c>
      <c r="B517" t="s">
        <v>153</v>
      </c>
      <c r="C517">
        <v>381</v>
      </c>
      <c r="D517" s="86">
        <f>ROUND(G517,3)</f>
        <v>0.23599999999999999</v>
      </c>
      <c r="G517" s="87">
        <v>0.23616000000000001</v>
      </c>
    </row>
    <row r="518" spans="1:7">
      <c r="A518" s="89">
        <v>139</v>
      </c>
      <c r="B518" t="s">
        <v>139</v>
      </c>
      <c r="C518">
        <v>377</v>
      </c>
      <c r="D518" s="86">
        <f>ROUND(G518,3)</f>
        <v>10.532999999999999</v>
      </c>
      <c r="G518" s="87">
        <v>10.533431999999999</v>
      </c>
    </row>
    <row r="519" spans="1:7">
      <c r="A519" s="89">
        <v>139</v>
      </c>
      <c r="B519" t="s">
        <v>139</v>
      </c>
      <c r="C519">
        <v>381</v>
      </c>
      <c r="D519" s="86">
        <f>ROUND(G519,3)</f>
        <v>0.23499999999999999</v>
      </c>
      <c r="G519" s="87">
        <v>0.234684</v>
      </c>
    </row>
    <row r="520" spans="1:7">
      <c r="A520" s="89">
        <v>154</v>
      </c>
      <c r="B520" t="s">
        <v>154</v>
      </c>
      <c r="C520">
        <v>377</v>
      </c>
      <c r="D520" s="86">
        <f>ROUND(G520,3)</f>
        <v>15.9</v>
      </c>
      <c r="G520" s="87">
        <v>15.899520000000001</v>
      </c>
    </row>
    <row r="521" spans="1:7">
      <c r="A521" s="89">
        <v>154</v>
      </c>
      <c r="B521" t="s">
        <v>154</v>
      </c>
      <c r="C521">
        <v>381</v>
      </c>
      <c r="D521" s="86">
        <f>ROUND(G521,3)</f>
        <v>0.35399999999999998</v>
      </c>
      <c r="G521" s="87">
        <v>0.35424</v>
      </c>
    </row>
    <row r="522" spans="1:7">
      <c r="A522" s="89">
        <v>140</v>
      </c>
      <c r="B522" t="s">
        <v>140</v>
      </c>
      <c r="C522">
        <v>377</v>
      </c>
      <c r="D522" s="86">
        <f>ROUND(G522,3)</f>
        <v>14.045</v>
      </c>
      <c r="G522" s="87">
        <v>14.044575999999999</v>
      </c>
    </row>
    <row r="523" spans="1:7">
      <c r="A523" s="89">
        <v>140</v>
      </c>
      <c r="B523" t="s">
        <v>140</v>
      </c>
      <c r="C523">
        <v>381</v>
      </c>
      <c r="D523" s="86">
        <f>ROUND(G523,3)</f>
        <v>0.313</v>
      </c>
      <c r="G523" s="87">
        <v>0.31291200000000002</v>
      </c>
    </row>
    <row r="524" spans="1:7">
      <c r="A524" s="89">
        <v>155</v>
      </c>
      <c r="B524" t="s">
        <v>155</v>
      </c>
      <c r="C524">
        <v>377</v>
      </c>
      <c r="D524" s="86">
        <f>ROUND(G524,3)</f>
        <v>21.199000000000002</v>
      </c>
      <c r="G524" s="87">
        <v>21.199359999999999</v>
      </c>
    </row>
    <row r="525" spans="1:7">
      <c r="A525" s="89">
        <v>155</v>
      </c>
      <c r="B525" t="s">
        <v>155</v>
      </c>
      <c r="C525">
        <v>381</v>
      </c>
      <c r="D525" s="86">
        <f>ROUND(G525,3)</f>
        <v>0.47199999999999998</v>
      </c>
      <c r="G525" s="87">
        <v>0.47232000000000002</v>
      </c>
    </row>
    <row r="526" spans="1:7">
      <c r="A526" s="89">
        <v>133</v>
      </c>
      <c r="B526" t="s">
        <v>133</v>
      </c>
      <c r="C526">
        <v>377</v>
      </c>
      <c r="D526" s="86">
        <f>ROUND(G526,3)</f>
        <v>1.756</v>
      </c>
      <c r="G526" s="87">
        <v>1.7555719999999999</v>
      </c>
    </row>
    <row r="527" spans="1:7">
      <c r="A527" s="89">
        <v>133</v>
      </c>
      <c r="B527" t="s">
        <v>133</v>
      </c>
      <c r="C527">
        <v>381</v>
      </c>
      <c r="D527" s="86">
        <f>ROUND(G527,3)</f>
        <v>3.9E-2</v>
      </c>
      <c r="G527" s="87">
        <v>3.9114000000000003E-2</v>
      </c>
    </row>
    <row r="528" spans="1:7">
      <c r="A528" s="89">
        <v>148</v>
      </c>
      <c r="B528" t="s">
        <v>148</v>
      </c>
      <c r="C528">
        <v>377</v>
      </c>
      <c r="D528" s="86">
        <f>ROUND(G528,3)</f>
        <v>2.65</v>
      </c>
      <c r="G528" s="87">
        <v>2.6499199999999998</v>
      </c>
    </row>
    <row r="529" spans="1:7">
      <c r="A529" s="89">
        <v>148</v>
      </c>
      <c r="B529" t="s">
        <v>148</v>
      </c>
      <c r="C529">
        <v>381</v>
      </c>
      <c r="D529" s="86">
        <f>ROUND(G529,3)</f>
        <v>5.8999999999999997E-2</v>
      </c>
      <c r="G529" s="87">
        <v>5.9040000000000002E-2</v>
      </c>
    </row>
    <row r="530" spans="1:7">
      <c r="A530" s="89">
        <v>141</v>
      </c>
      <c r="B530" t="s">
        <v>141</v>
      </c>
      <c r="C530">
        <v>377</v>
      </c>
      <c r="D530" s="86">
        <f>ROUND(G530,3)</f>
        <v>17.556000000000001</v>
      </c>
      <c r="G530" s="87">
        <v>17.555720000000001</v>
      </c>
    </row>
    <row r="531" spans="1:7">
      <c r="A531" s="89">
        <v>141</v>
      </c>
      <c r="B531" t="s">
        <v>141</v>
      </c>
      <c r="C531">
        <v>381</v>
      </c>
      <c r="D531" s="86">
        <f>ROUND(G531,3)</f>
        <v>0.39100000000000001</v>
      </c>
      <c r="G531" s="87">
        <v>0.39113999999999999</v>
      </c>
    </row>
    <row r="532" spans="1:7">
      <c r="A532" s="89">
        <v>156</v>
      </c>
      <c r="B532" t="s">
        <v>156</v>
      </c>
      <c r="C532">
        <v>377</v>
      </c>
      <c r="D532" s="86">
        <f>ROUND(G532,3)</f>
        <v>26.498999999999999</v>
      </c>
      <c r="G532" s="87">
        <v>26.499199999999998</v>
      </c>
    </row>
    <row r="533" spans="1:7">
      <c r="A533" s="89">
        <v>156</v>
      </c>
      <c r="B533" t="s">
        <v>156</v>
      </c>
      <c r="C533">
        <v>381</v>
      </c>
      <c r="D533" s="86">
        <f>ROUND(G533,3)</f>
        <v>0.59</v>
      </c>
      <c r="G533" s="87">
        <v>0.59040000000000004</v>
      </c>
    </row>
    <row r="534" spans="1:7">
      <c r="A534" s="89">
        <v>134</v>
      </c>
      <c r="B534" t="s">
        <v>134</v>
      </c>
      <c r="C534">
        <v>377</v>
      </c>
      <c r="D534" s="86">
        <f>ROUND(G534,3)</f>
        <v>2.4580000000000002</v>
      </c>
      <c r="G534" s="87">
        <v>2.4578007999999998</v>
      </c>
    </row>
    <row r="535" spans="1:7">
      <c r="A535" s="89">
        <v>134</v>
      </c>
      <c r="B535" t="s">
        <v>134</v>
      </c>
      <c r="C535">
        <v>381</v>
      </c>
      <c r="D535" s="86">
        <f>ROUND(G535,3)</f>
        <v>5.5E-2</v>
      </c>
      <c r="G535" s="87">
        <v>5.4759599999999999E-2</v>
      </c>
    </row>
    <row r="536" spans="1:7">
      <c r="A536" s="89">
        <v>149</v>
      </c>
      <c r="B536" t="s">
        <v>149</v>
      </c>
      <c r="C536">
        <v>377</v>
      </c>
      <c r="D536" s="86">
        <f>ROUND(G536,3)</f>
        <v>3.71</v>
      </c>
      <c r="G536" s="87">
        <v>3.7098879999999999</v>
      </c>
    </row>
    <row r="537" spans="1:7">
      <c r="A537" s="89">
        <v>149</v>
      </c>
      <c r="B537" t="s">
        <v>149</v>
      </c>
      <c r="C537">
        <v>381</v>
      </c>
      <c r="D537" s="86">
        <f>ROUND(G537,3)</f>
        <v>8.3000000000000004E-2</v>
      </c>
      <c r="G537" s="87">
        <v>8.2655999999999993E-2</v>
      </c>
    </row>
    <row r="538" spans="1:7">
      <c r="A538" s="89">
        <v>142</v>
      </c>
      <c r="B538" t="s">
        <v>142</v>
      </c>
      <c r="C538">
        <v>377</v>
      </c>
      <c r="D538" s="86">
        <f>ROUND(G538,3)</f>
        <v>28.088999999999999</v>
      </c>
      <c r="G538" s="87">
        <v>28.089151999999999</v>
      </c>
    </row>
    <row r="539" spans="1:7">
      <c r="A539" s="89">
        <v>142</v>
      </c>
      <c r="B539" t="s">
        <v>142</v>
      </c>
      <c r="C539">
        <v>381</v>
      </c>
      <c r="D539" s="86">
        <f>ROUND(G539,3)</f>
        <v>0.626</v>
      </c>
      <c r="G539" s="87">
        <v>0.62582400000000005</v>
      </c>
    </row>
    <row r="540" spans="1:7">
      <c r="A540" s="89">
        <v>157</v>
      </c>
      <c r="B540" t="s">
        <v>157</v>
      </c>
      <c r="C540">
        <v>377</v>
      </c>
      <c r="D540" s="86">
        <f>ROUND(G540,3)</f>
        <v>42.399000000000001</v>
      </c>
      <c r="G540" s="87">
        <v>42.398719999999997</v>
      </c>
    </row>
    <row r="541" spans="1:7">
      <c r="A541" s="89">
        <v>157</v>
      </c>
      <c r="B541" t="s">
        <v>157</v>
      </c>
      <c r="C541">
        <v>381</v>
      </c>
      <c r="D541" s="86">
        <f>ROUND(G541,3)</f>
        <v>0.94499999999999995</v>
      </c>
      <c r="G541" s="87">
        <v>0.94464000000000004</v>
      </c>
    </row>
    <row r="542" spans="1:7">
      <c r="A542" s="89">
        <v>113</v>
      </c>
      <c r="B542" t="s">
        <v>113</v>
      </c>
      <c r="C542">
        <v>377</v>
      </c>
      <c r="D542" s="86">
        <f>ROUND(G542,3)</f>
        <v>205.23400000000001</v>
      </c>
      <c r="G542" s="87">
        <v>205.2336</v>
      </c>
    </row>
    <row r="543" spans="1:7">
      <c r="A543" s="89">
        <v>113</v>
      </c>
      <c r="B543" t="s">
        <v>113</v>
      </c>
      <c r="C543">
        <v>381</v>
      </c>
      <c r="D543" s="86">
        <f>ROUND(G543,3)</f>
        <v>19.483000000000001</v>
      </c>
      <c r="G543" s="87">
        <v>19.4832</v>
      </c>
    </row>
    <row r="544" spans="1:7">
      <c r="A544" s="89">
        <v>130</v>
      </c>
      <c r="B544" t="s">
        <v>130</v>
      </c>
      <c r="C544">
        <v>377</v>
      </c>
      <c r="D544" s="86">
        <f>ROUND(G544,3)</f>
        <v>492.56099999999998</v>
      </c>
      <c r="G544" s="87">
        <v>492.56063999999998</v>
      </c>
    </row>
    <row r="545" spans="1:7">
      <c r="A545" s="89">
        <v>130</v>
      </c>
      <c r="B545" t="s">
        <v>130</v>
      </c>
      <c r="C545">
        <v>381</v>
      </c>
      <c r="D545" s="86">
        <f>ROUND(G545,3)</f>
        <v>46.76</v>
      </c>
      <c r="G545" s="87">
        <v>46.759680000000003</v>
      </c>
    </row>
    <row r="546" spans="1:7">
      <c r="A546" s="89">
        <v>114</v>
      </c>
      <c r="B546" t="s">
        <v>114</v>
      </c>
      <c r="C546">
        <v>377</v>
      </c>
      <c r="D546" s="86">
        <f>ROUND(G546,3)</f>
        <v>273.64499999999998</v>
      </c>
      <c r="G546" s="87">
        <v>273.64479999999998</v>
      </c>
    </row>
    <row r="547" spans="1:7">
      <c r="A547" s="89">
        <v>114</v>
      </c>
      <c r="B547" t="s">
        <v>114</v>
      </c>
      <c r="C547">
        <v>381</v>
      </c>
      <c r="D547" s="86">
        <f>ROUND(G547,3)</f>
        <v>25.978000000000002</v>
      </c>
      <c r="G547" s="87">
        <v>25.977599999999999</v>
      </c>
    </row>
    <row r="548" spans="1:7">
      <c r="A548" s="89">
        <v>129</v>
      </c>
      <c r="B548" t="s">
        <v>129</v>
      </c>
      <c r="C548">
        <v>377</v>
      </c>
      <c r="D548" s="86">
        <f>ROUND(G548,3)</f>
        <v>410.46699999999998</v>
      </c>
      <c r="G548" s="87">
        <v>410.46719999999999</v>
      </c>
    </row>
    <row r="549" spans="1:7">
      <c r="A549" s="89">
        <v>129</v>
      </c>
      <c r="B549" t="s">
        <v>129</v>
      </c>
      <c r="C549">
        <v>381</v>
      </c>
      <c r="D549" s="86">
        <f>ROUND(G549,3)</f>
        <v>38.966000000000001</v>
      </c>
      <c r="G549" s="87">
        <v>38.9664</v>
      </c>
    </row>
    <row r="550" spans="1:7">
      <c r="A550" s="89">
        <v>105</v>
      </c>
      <c r="B550" t="s">
        <v>105</v>
      </c>
      <c r="C550">
        <v>377</v>
      </c>
      <c r="D550" s="86">
        <f>ROUND(G550,3)</f>
        <v>3.4209999999999998</v>
      </c>
      <c r="G550" s="87">
        <v>3.42056</v>
      </c>
    </row>
    <row r="551" spans="1:7">
      <c r="A551" s="89">
        <v>105</v>
      </c>
      <c r="B551" t="s">
        <v>105</v>
      </c>
      <c r="C551">
        <v>381</v>
      </c>
      <c r="D551" s="86">
        <f>ROUND(G551,3)</f>
        <v>0.32500000000000001</v>
      </c>
      <c r="G551" s="87">
        <v>0.32472000000000001</v>
      </c>
    </row>
    <row r="552" spans="1:7">
      <c r="A552" s="89">
        <v>106</v>
      </c>
      <c r="B552" t="s">
        <v>106</v>
      </c>
      <c r="C552">
        <v>377</v>
      </c>
      <c r="D552" s="86">
        <f>ROUND(G552,3)</f>
        <v>4.7889999999999997</v>
      </c>
      <c r="G552" s="87">
        <v>4.7887839999999997</v>
      </c>
    </row>
    <row r="553" spans="1:7">
      <c r="A553" s="89">
        <v>106</v>
      </c>
      <c r="B553" t="s">
        <v>106</v>
      </c>
      <c r="C553">
        <v>381</v>
      </c>
      <c r="D553" s="86">
        <f>ROUND(G553,3)</f>
        <v>0.45500000000000002</v>
      </c>
      <c r="G553" s="87">
        <v>0.45460800000000001</v>
      </c>
    </row>
    <row r="554" spans="1:7">
      <c r="A554" s="89">
        <v>107</v>
      </c>
      <c r="B554" t="s">
        <v>107</v>
      </c>
      <c r="C554">
        <v>377</v>
      </c>
      <c r="D554" s="86">
        <f>ROUND(G554,3)</f>
        <v>5.4729999999999999</v>
      </c>
      <c r="G554" s="87">
        <v>5.4728960000000004</v>
      </c>
    </row>
    <row r="555" spans="1:7">
      <c r="A555" s="89">
        <v>107</v>
      </c>
      <c r="B555" t="s">
        <v>107</v>
      </c>
      <c r="C555">
        <v>381</v>
      </c>
      <c r="D555" s="86">
        <f>ROUND(G555,3)</f>
        <v>0.52</v>
      </c>
      <c r="G555" s="87">
        <v>0.51955200000000001</v>
      </c>
    </row>
    <row r="556" spans="1:7">
      <c r="A556" s="89">
        <v>122</v>
      </c>
      <c r="B556" t="s">
        <v>122</v>
      </c>
      <c r="C556">
        <v>377</v>
      </c>
      <c r="D556" s="86">
        <f>ROUND(G556,3)</f>
        <v>8.2089999999999996</v>
      </c>
      <c r="G556" s="87">
        <v>8.2093439999999998</v>
      </c>
    </row>
    <row r="557" spans="1:7">
      <c r="A557" s="89">
        <v>122</v>
      </c>
      <c r="B557" t="s">
        <v>122</v>
      </c>
      <c r="C557">
        <v>381</v>
      </c>
      <c r="D557" s="86">
        <f>ROUND(G557,3)</f>
        <v>0.77900000000000003</v>
      </c>
      <c r="G557" s="87">
        <v>0.77932800000000002</v>
      </c>
    </row>
    <row r="558" spans="1:7">
      <c r="A558" s="89">
        <v>108</v>
      </c>
      <c r="B558" t="s">
        <v>108</v>
      </c>
      <c r="C558">
        <v>377</v>
      </c>
      <c r="D558" s="86">
        <f>ROUND(G558,3)</f>
        <v>6.8410000000000002</v>
      </c>
      <c r="G558" s="87">
        <v>6.8411200000000001</v>
      </c>
    </row>
    <row r="559" spans="1:7">
      <c r="A559" s="89">
        <v>108</v>
      </c>
      <c r="B559" t="s">
        <v>108</v>
      </c>
      <c r="C559">
        <v>381</v>
      </c>
      <c r="D559" s="86">
        <f>ROUND(G559,3)</f>
        <v>0.64900000000000002</v>
      </c>
      <c r="G559" s="87">
        <v>0.64944000000000002</v>
      </c>
    </row>
    <row r="560" spans="1:7">
      <c r="A560" s="89">
        <v>109</v>
      </c>
      <c r="B560" t="s">
        <v>109</v>
      </c>
      <c r="C560">
        <v>377</v>
      </c>
      <c r="D560" s="86">
        <f>ROUND(G560,3)</f>
        <v>10.262</v>
      </c>
      <c r="G560" s="87">
        <v>10.26168</v>
      </c>
    </row>
    <row r="561" spans="1:7">
      <c r="A561" s="89">
        <v>109</v>
      </c>
      <c r="B561" t="s">
        <v>109</v>
      </c>
      <c r="C561">
        <v>381</v>
      </c>
      <c r="D561" s="86">
        <f>ROUND(G561,3)</f>
        <v>0.97399999999999998</v>
      </c>
      <c r="G561" s="87">
        <v>0.97416000000000003</v>
      </c>
    </row>
    <row r="562" spans="1:7">
      <c r="A562" s="89">
        <v>110</v>
      </c>
      <c r="B562" t="s">
        <v>110</v>
      </c>
      <c r="C562">
        <v>377</v>
      </c>
      <c r="D562" s="86">
        <f>ROUND(G562,3)</f>
        <v>13.682</v>
      </c>
      <c r="G562" s="87">
        <v>13.68224</v>
      </c>
    </row>
    <row r="563" spans="1:7">
      <c r="A563" s="89">
        <v>110</v>
      </c>
      <c r="B563" t="s">
        <v>110</v>
      </c>
      <c r="C563">
        <v>381</v>
      </c>
      <c r="D563" s="86">
        <f>ROUND(G563,3)</f>
        <v>1.2989999999999999</v>
      </c>
      <c r="G563" s="87">
        <v>1.29888</v>
      </c>
    </row>
    <row r="564" spans="1:7">
      <c r="A564" s="89">
        <v>118</v>
      </c>
      <c r="B564" t="s">
        <v>118</v>
      </c>
      <c r="C564">
        <v>377</v>
      </c>
      <c r="D564" s="86">
        <f>ROUND(G564,3)</f>
        <v>2.5649999999999999</v>
      </c>
      <c r="G564" s="87">
        <v>2.56542</v>
      </c>
    </row>
    <row r="565" spans="1:7">
      <c r="A565" s="89">
        <v>118</v>
      </c>
      <c r="B565" t="s">
        <v>118</v>
      </c>
      <c r="C565">
        <v>381</v>
      </c>
      <c r="D565" s="86">
        <f>ROUND(G565,3)</f>
        <v>0.24399999999999999</v>
      </c>
      <c r="G565" s="87">
        <v>0.24354000000000001</v>
      </c>
    </row>
    <row r="566" spans="1:7">
      <c r="A566" s="89">
        <v>104</v>
      </c>
      <c r="B566" t="s">
        <v>104</v>
      </c>
      <c r="C566">
        <v>377</v>
      </c>
      <c r="D566" s="86">
        <f>ROUND(G566,3)</f>
        <v>2.3940000000000001</v>
      </c>
      <c r="G566" s="87">
        <v>2.3943919999999999</v>
      </c>
    </row>
    <row r="567" spans="1:7">
      <c r="A567" s="89">
        <v>104</v>
      </c>
      <c r="B567" t="s">
        <v>104</v>
      </c>
      <c r="C567">
        <v>381</v>
      </c>
      <c r="D567" s="86">
        <f>ROUND(G567,3)</f>
        <v>0.22700000000000001</v>
      </c>
      <c r="G567" s="87">
        <v>0.22730400000000001</v>
      </c>
    </row>
    <row r="568" spans="1:7">
      <c r="A568" s="89">
        <v>112</v>
      </c>
      <c r="B568" t="s">
        <v>112</v>
      </c>
      <c r="C568">
        <v>377</v>
      </c>
      <c r="D568" s="86">
        <f>ROUND(G568,3)</f>
        <v>27.364000000000001</v>
      </c>
      <c r="G568" s="87">
        <v>27.36448</v>
      </c>
    </row>
    <row r="569" spans="1:7">
      <c r="A569" s="89">
        <v>112</v>
      </c>
      <c r="B569" t="s">
        <v>112</v>
      </c>
      <c r="C569">
        <v>381</v>
      </c>
      <c r="D569" s="86">
        <f>ROUND(G569,3)</f>
        <v>2.5979999999999999</v>
      </c>
      <c r="G569" s="87">
        <v>2.5977600000000001</v>
      </c>
    </row>
    <row r="570" spans="1:7">
      <c r="A570" s="89">
        <v>128</v>
      </c>
      <c r="B570" t="s">
        <v>128</v>
      </c>
      <c r="C570">
        <v>377</v>
      </c>
      <c r="D570" s="86">
        <f>ROUND(G570,3)</f>
        <v>307.85000000000002</v>
      </c>
      <c r="G570" s="87">
        <v>307.85039999999998</v>
      </c>
    </row>
    <row r="571" spans="1:7">
      <c r="A571" s="89">
        <v>128</v>
      </c>
      <c r="B571" t="s">
        <v>128</v>
      </c>
      <c r="C571">
        <v>381</v>
      </c>
      <c r="D571" s="86">
        <f>ROUND(G571,3)</f>
        <v>29.225000000000001</v>
      </c>
      <c r="G571" s="87">
        <v>29.224799999999998</v>
      </c>
    </row>
    <row r="572" spans="1:7">
      <c r="A572" s="89">
        <v>115</v>
      </c>
      <c r="B572" t="s">
        <v>115</v>
      </c>
      <c r="C572">
        <v>377</v>
      </c>
      <c r="D572" s="86">
        <f>ROUND(G572,3)</f>
        <v>328.37400000000002</v>
      </c>
      <c r="G572" s="87">
        <v>328.37376</v>
      </c>
    </row>
    <row r="573" spans="1:7">
      <c r="A573" s="89">
        <v>115</v>
      </c>
      <c r="B573" t="s">
        <v>115</v>
      </c>
      <c r="C573">
        <v>381</v>
      </c>
      <c r="D573" s="86">
        <f>ROUND(G573,3)</f>
        <v>31.172999999999998</v>
      </c>
      <c r="G573" s="87">
        <v>31.173120000000001</v>
      </c>
    </row>
    <row r="574" spans="1:7">
      <c r="A574" s="89">
        <v>116</v>
      </c>
      <c r="B574" t="s">
        <v>116</v>
      </c>
      <c r="C574">
        <v>377</v>
      </c>
      <c r="D574" s="86">
        <f>ROUND(G574,3)</f>
        <v>437.83199999999999</v>
      </c>
      <c r="G574" s="87">
        <v>437.83168000000001</v>
      </c>
    </row>
    <row r="575" spans="1:7">
      <c r="A575" s="89">
        <v>116</v>
      </c>
      <c r="B575" t="s">
        <v>116</v>
      </c>
      <c r="C575">
        <v>381</v>
      </c>
      <c r="D575" s="86">
        <f>ROUND(G575,3)</f>
        <v>41.564</v>
      </c>
      <c r="G575" s="87">
        <v>41.564160000000001</v>
      </c>
    </row>
    <row r="576" spans="1:7">
      <c r="A576" s="89">
        <v>131</v>
      </c>
      <c r="B576" t="s">
        <v>131</v>
      </c>
      <c r="C576">
        <v>377</v>
      </c>
      <c r="D576" s="86">
        <f>ROUND(G576,3)</f>
        <v>656.74800000000005</v>
      </c>
      <c r="G576" s="87">
        <v>656.74752000000001</v>
      </c>
    </row>
    <row r="577" spans="1:7">
      <c r="A577" s="89">
        <v>131</v>
      </c>
      <c r="B577" t="s">
        <v>131</v>
      </c>
      <c r="C577">
        <v>381</v>
      </c>
      <c r="D577" s="86">
        <f>ROUND(G577,3)</f>
        <v>62.345999999999997</v>
      </c>
      <c r="G577" s="87">
        <v>62.346240000000002</v>
      </c>
    </row>
    <row r="578" spans="1:7">
      <c r="A578" s="89">
        <v>120</v>
      </c>
      <c r="B578" t="s">
        <v>120</v>
      </c>
      <c r="C578">
        <v>377</v>
      </c>
      <c r="D578" s="86">
        <f>ROUND(G578,3)</f>
        <v>5.1310000000000002</v>
      </c>
      <c r="G578" s="87">
        <v>5.1308400000000001</v>
      </c>
    </row>
    <row r="579" spans="1:7">
      <c r="A579" s="89">
        <v>120</v>
      </c>
      <c r="B579" t="s">
        <v>120</v>
      </c>
      <c r="C579">
        <v>381</v>
      </c>
      <c r="D579" s="86">
        <f>ROUND(G579,3)</f>
        <v>0.48699999999999999</v>
      </c>
      <c r="G579" s="87">
        <v>0.48708000000000001</v>
      </c>
    </row>
    <row r="580" spans="1:7">
      <c r="A580" s="89">
        <v>121</v>
      </c>
      <c r="B580" t="s">
        <v>121</v>
      </c>
      <c r="C580">
        <v>377</v>
      </c>
      <c r="D580" s="86">
        <f>ROUND(G580,3)</f>
        <v>7.1829999999999998</v>
      </c>
      <c r="G580" s="87">
        <v>7.1831759999999996</v>
      </c>
    </row>
    <row r="581" spans="1:7">
      <c r="A581" s="89">
        <v>121</v>
      </c>
      <c r="B581" t="s">
        <v>121</v>
      </c>
      <c r="C581">
        <v>381</v>
      </c>
      <c r="D581" s="86">
        <f>ROUND(G581,3)</f>
        <v>0.68200000000000005</v>
      </c>
      <c r="G581" s="87">
        <v>0.68191199999999996</v>
      </c>
    </row>
    <row r="582" spans="1:7">
      <c r="A582" s="89">
        <v>102</v>
      </c>
      <c r="B582" t="s">
        <v>102</v>
      </c>
      <c r="C582">
        <v>377</v>
      </c>
      <c r="D582" s="86">
        <f>ROUND(G582,3)</f>
        <v>0.68400000000000005</v>
      </c>
      <c r="G582" s="87">
        <v>0.68411200000000005</v>
      </c>
    </row>
    <row r="583" spans="1:7">
      <c r="A583" s="89">
        <v>102</v>
      </c>
      <c r="B583" t="s">
        <v>102</v>
      </c>
      <c r="C583">
        <v>381</v>
      </c>
      <c r="D583" s="86">
        <f>ROUND(G583,3)</f>
        <v>6.5000000000000002E-2</v>
      </c>
      <c r="G583" s="87">
        <v>6.4944000000000002E-2</v>
      </c>
    </row>
    <row r="584" spans="1:7">
      <c r="A584" s="89">
        <v>117</v>
      </c>
      <c r="B584" t="s">
        <v>117</v>
      </c>
      <c r="C584">
        <v>377</v>
      </c>
      <c r="D584" s="86">
        <f>ROUND(G584,3)</f>
        <v>1.026</v>
      </c>
      <c r="G584" s="87">
        <v>1.026168</v>
      </c>
    </row>
    <row r="585" spans="1:7">
      <c r="A585" s="89">
        <v>117</v>
      </c>
      <c r="B585" t="s">
        <v>117</v>
      </c>
      <c r="C585">
        <v>381</v>
      </c>
      <c r="D585" s="86">
        <f>ROUND(G585,3)</f>
        <v>9.7000000000000003E-2</v>
      </c>
      <c r="G585" s="87">
        <v>9.7416000000000003E-2</v>
      </c>
    </row>
    <row r="586" spans="1:7">
      <c r="A586" s="89">
        <v>123</v>
      </c>
      <c r="B586" t="s">
        <v>123</v>
      </c>
      <c r="C586">
        <v>377</v>
      </c>
      <c r="D586" s="86">
        <f>ROUND(G586,3)</f>
        <v>10.262</v>
      </c>
      <c r="G586" s="87">
        <v>10.26168</v>
      </c>
    </row>
    <row r="587" spans="1:7">
      <c r="A587" s="89">
        <v>123</v>
      </c>
      <c r="B587" t="s">
        <v>123</v>
      </c>
      <c r="C587">
        <v>381</v>
      </c>
      <c r="D587" s="86">
        <f>ROUND(G587,3)</f>
        <v>0.97399999999999998</v>
      </c>
      <c r="G587" s="87">
        <v>0.97416000000000003</v>
      </c>
    </row>
    <row r="588" spans="1:7">
      <c r="A588" s="89">
        <v>124</v>
      </c>
      <c r="B588" t="s">
        <v>124</v>
      </c>
      <c r="C588">
        <v>377</v>
      </c>
      <c r="D588" s="86">
        <f>ROUND(G588,3)</f>
        <v>15.393000000000001</v>
      </c>
      <c r="G588" s="87">
        <v>15.392519999999999</v>
      </c>
    </row>
    <row r="589" spans="1:7">
      <c r="A589" s="89">
        <v>124</v>
      </c>
      <c r="B589" t="s">
        <v>124</v>
      </c>
      <c r="C589">
        <v>381</v>
      </c>
      <c r="D589" s="86">
        <f>ROUND(G589,3)</f>
        <v>1.4610000000000001</v>
      </c>
      <c r="G589" s="87">
        <v>1.4612400000000001</v>
      </c>
    </row>
    <row r="590" spans="1:7">
      <c r="A590" s="89">
        <v>125</v>
      </c>
      <c r="B590" t="s">
        <v>125</v>
      </c>
      <c r="C590">
        <v>377</v>
      </c>
      <c r="D590" s="86">
        <f>ROUND(G590,3)</f>
        <v>20.523</v>
      </c>
      <c r="G590" s="87">
        <v>20.52336</v>
      </c>
    </row>
    <row r="591" spans="1:7">
      <c r="A591" s="89">
        <v>125</v>
      </c>
      <c r="B591" t="s">
        <v>125</v>
      </c>
      <c r="C591">
        <v>381</v>
      </c>
      <c r="D591" s="86">
        <f>ROUND(G591,3)</f>
        <v>1.948</v>
      </c>
      <c r="G591" s="87">
        <v>1.9483200000000001</v>
      </c>
    </row>
    <row r="592" spans="1:7">
      <c r="A592" s="89">
        <v>103</v>
      </c>
      <c r="B592" t="s">
        <v>103</v>
      </c>
      <c r="C592">
        <v>377</v>
      </c>
      <c r="D592" s="86">
        <f>ROUND(G592,3)</f>
        <v>1.71</v>
      </c>
      <c r="G592" s="87">
        <v>1.71028</v>
      </c>
    </row>
    <row r="593" spans="1:7">
      <c r="A593" s="89">
        <v>103</v>
      </c>
      <c r="B593" t="s">
        <v>103</v>
      </c>
      <c r="C593">
        <v>381</v>
      </c>
      <c r="D593" s="86">
        <f>ROUND(G593,3)</f>
        <v>0.16200000000000001</v>
      </c>
      <c r="G593" s="87">
        <v>0.16236</v>
      </c>
    </row>
    <row r="594" spans="1:7">
      <c r="A594" s="89">
        <v>111</v>
      </c>
      <c r="B594" t="s">
        <v>111</v>
      </c>
      <c r="C594">
        <v>377</v>
      </c>
      <c r="D594" s="86">
        <f>ROUND(G594,3)</f>
        <v>17.103000000000002</v>
      </c>
      <c r="G594" s="87">
        <v>17.102799999999998</v>
      </c>
    </row>
    <row r="595" spans="1:7">
      <c r="A595" s="89">
        <v>111</v>
      </c>
      <c r="B595" t="s">
        <v>111</v>
      </c>
      <c r="C595">
        <v>381</v>
      </c>
      <c r="D595" s="86">
        <f>ROUND(G595,3)</f>
        <v>1.6240000000000001</v>
      </c>
      <c r="G595" s="87">
        <v>1.6235999999999999</v>
      </c>
    </row>
    <row r="596" spans="1:7">
      <c r="A596" s="89">
        <v>126</v>
      </c>
      <c r="B596" t="s">
        <v>126</v>
      </c>
      <c r="C596">
        <v>377</v>
      </c>
      <c r="D596" s="86">
        <f>ROUND(G596,3)</f>
        <v>25.654</v>
      </c>
      <c r="G596" s="87">
        <v>25.654199999999999</v>
      </c>
    </row>
    <row r="597" spans="1:7">
      <c r="A597" s="89">
        <v>126</v>
      </c>
      <c r="B597" t="s">
        <v>126</v>
      </c>
      <c r="C597">
        <v>381</v>
      </c>
      <c r="D597" s="86">
        <f>ROUND(G597,3)</f>
        <v>2.4350000000000001</v>
      </c>
      <c r="G597" s="87">
        <v>2.4354</v>
      </c>
    </row>
    <row r="598" spans="1:7">
      <c r="A598" s="89">
        <v>119</v>
      </c>
      <c r="B598" t="s">
        <v>119</v>
      </c>
      <c r="C598">
        <v>377</v>
      </c>
      <c r="D598" s="86">
        <f>ROUND(G598,3)</f>
        <v>3.5920000000000001</v>
      </c>
      <c r="G598" s="87">
        <v>3.5915879999999998</v>
      </c>
    </row>
    <row r="599" spans="1:7">
      <c r="A599" s="89">
        <v>119</v>
      </c>
      <c r="B599" t="s">
        <v>119</v>
      </c>
      <c r="C599">
        <v>381</v>
      </c>
      <c r="D599" s="86">
        <f>ROUND(G599,3)</f>
        <v>0.34100000000000003</v>
      </c>
      <c r="G599" s="87">
        <v>0.34095599999999998</v>
      </c>
    </row>
    <row r="600" spans="1:7">
      <c r="A600" s="89">
        <v>127</v>
      </c>
      <c r="B600" t="s">
        <v>127</v>
      </c>
      <c r="C600">
        <v>377</v>
      </c>
      <c r="D600" s="86">
        <f>ROUND(G600,3)</f>
        <v>41.046999999999997</v>
      </c>
      <c r="G600" s="87">
        <v>41.046720000000001</v>
      </c>
    </row>
    <row r="601" spans="1:7">
      <c r="A601" s="89">
        <v>127</v>
      </c>
      <c r="B601" t="s">
        <v>127</v>
      </c>
      <c r="C601">
        <v>381</v>
      </c>
      <c r="D601" s="86">
        <f>ROUND(G601,3)</f>
        <v>3.8969999999999998</v>
      </c>
      <c r="G601" s="87">
        <v>3.8966400000000001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01"/>
  <sheetViews>
    <sheetView tabSelected="1" topLeftCell="A590" workbookViewId="0">
      <selection activeCell="H1" sqref="H1:J601"/>
    </sheetView>
  </sheetViews>
  <sheetFormatPr baseColWidth="10" defaultRowHeight="15"/>
  <cols>
    <col min="3" max="5" width="11.42578125" style="86"/>
    <col min="6" max="6" width="11.42578125" style="87"/>
    <col min="8" max="9" width="11.42578125" style="90"/>
    <col min="10" max="10" width="11.42578125" style="86"/>
  </cols>
  <sheetData>
    <row r="1" spans="1:10">
      <c r="A1" s="89">
        <v>225</v>
      </c>
      <c r="B1">
        <v>379</v>
      </c>
      <c r="C1" s="86">
        <f>ROUND(F1,3)</f>
        <v>133.66800000000001</v>
      </c>
      <c r="F1" s="87">
        <v>133.66800000000001</v>
      </c>
      <c r="H1" s="90">
        <v>225</v>
      </c>
      <c r="I1" s="90">
        <v>379</v>
      </c>
      <c r="J1" s="86">
        <v>133.66800000000001</v>
      </c>
    </row>
    <row r="2" spans="1:10">
      <c r="A2" s="89">
        <v>241</v>
      </c>
      <c r="B2">
        <v>379</v>
      </c>
      <c r="C2" s="86">
        <f>ROUND(F2,3)</f>
        <v>200.50200000000001</v>
      </c>
      <c r="F2" s="87">
        <v>200.50200000000001</v>
      </c>
      <c r="H2" s="90">
        <v>241</v>
      </c>
      <c r="I2" s="90">
        <v>379</v>
      </c>
      <c r="J2" s="86">
        <v>200.50200000000001</v>
      </c>
    </row>
    <row r="3" spans="1:10">
      <c r="A3" s="89">
        <v>228</v>
      </c>
      <c r="B3">
        <v>379</v>
      </c>
      <c r="C3" s="86">
        <f>ROUND(F3,3)</f>
        <v>213.869</v>
      </c>
      <c r="F3" s="87">
        <v>213.86879999999999</v>
      </c>
      <c r="H3" s="90">
        <v>228</v>
      </c>
      <c r="I3" s="90">
        <v>379</v>
      </c>
      <c r="J3" s="86">
        <v>213.869</v>
      </c>
    </row>
    <row r="4" spans="1:10">
      <c r="A4" s="89">
        <v>244</v>
      </c>
      <c r="B4">
        <v>379</v>
      </c>
      <c r="C4" s="86">
        <f>ROUND(F4,3)</f>
        <v>320.803</v>
      </c>
      <c r="F4" s="87">
        <v>320.8032</v>
      </c>
      <c r="H4" s="90">
        <v>244</v>
      </c>
      <c r="I4" s="90">
        <v>379</v>
      </c>
      <c r="J4" s="86">
        <v>320.803</v>
      </c>
    </row>
    <row r="5" spans="1:10">
      <c r="A5" s="89">
        <v>226</v>
      </c>
      <c r="B5">
        <v>379</v>
      </c>
      <c r="C5" s="86">
        <f>ROUND(F5,3)</f>
        <v>178.22399999999999</v>
      </c>
      <c r="F5" s="87">
        <v>178.22399999999999</v>
      </c>
      <c r="H5" s="90">
        <v>226</v>
      </c>
      <c r="I5" s="90">
        <v>379</v>
      </c>
      <c r="J5" s="86">
        <v>178.22399999999999</v>
      </c>
    </row>
    <row r="6" spans="1:10">
      <c r="A6" s="89">
        <v>242</v>
      </c>
      <c r="B6">
        <v>379</v>
      </c>
      <c r="C6" s="86">
        <f>ROUND(F6,3)</f>
        <v>267.33600000000001</v>
      </c>
      <c r="F6" s="87">
        <v>267.33600000000001</v>
      </c>
      <c r="H6" s="90">
        <v>242</v>
      </c>
      <c r="I6" s="90">
        <v>379</v>
      </c>
      <c r="J6" s="86">
        <v>267.33600000000001</v>
      </c>
    </row>
    <row r="7" spans="1:10">
      <c r="A7" s="89">
        <v>229</v>
      </c>
      <c r="B7">
        <v>379</v>
      </c>
      <c r="C7" s="86">
        <f>ROUND(F7,3)</f>
        <v>285.15800000000002</v>
      </c>
      <c r="F7" s="87">
        <v>285.15839999999997</v>
      </c>
      <c r="H7" s="90">
        <v>229</v>
      </c>
      <c r="I7" s="90">
        <v>379</v>
      </c>
      <c r="J7" s="86">
        <v>285.15800000000002</v>
      </c>
    </row>
    <row r="8" spans="1:10">
      <c r="A8" s="89">
        <v>245</v>
      </c>
      <c r="B8">
        <v>379</v>
      </c>
      <c r="C8" s="86">
        <f>ROUND(F8,3)</f>
        <v>427.738</v>
      </c>
      <c r="F8" s="87">
        <v>427.73759999999999</v>
      </c>
      <c r="H8" s="90">
        <v>245</v>
      </c>
      <c r="I8" s="90">
        <v>379</v>
      </c>
      <c r="J8" s="86">
        <v>427.738</v>
      </c>
    </row>
    <row r="9" spans="1:10">
      <c r="A9" s="89">
        <v>227</v>
      </c>
      <c r="B9">
        <v>379</v>
      </c>
      <c r="C9" s="86">
        <f>ROUND(F9,3)</f>
        <v>222.78</v>
      </c>
      <c r="F9" s="87">
        <v>222.78</v>
      </c>
      <c r="H9" s="90">
        <v>227</v>
      </c>
      <c r="I9" s="90">
        <v>379</v>
      </c>
      <c r="J9" s="86">
        <v>222.78</v>
      </c>
    </row>
    <row r="10" spans="1:10">
      <c r="A10" s="89">
        <v>243</v>
      </c>
      <c r="B10">
        <v>379</v>
      </c>
      <c r="C10" s="86">
        <f>ROUND(F10,3)</f>
        <v>334.17</v>
      </c>
      <c r="F10" s="87">
        <v>334.17</v>
      </c>
      <c r="H10" s="90">
        <v>243</v>
      </c>
      <c r="I10" s="90">
        <v>379</v>
      </c>
      <c r="J10" s="86">
        <v>334.17</v>
      </c>
    </row>
    <row r="11" spans="1:10">
      <c r="A11" s="89">
        <v>217</v>
      </c>
      <c r="B11">
        <v>379</v>
      </c>
      <c r="C11" s="86">
        <f>ROUND(F11,3)</f>
        <v>2.2280000000000002</v>
      </c>
      <c r="F11" s="87">
        <v>2.2277999999999998</v>
      </c>
      <c r="H11" s="90">
        <v>217</v>
      </c>
      <c r="I11" s="90">
        <v>379</v>
      </c>
      <c r="J11" s="86">
        <v>2.2280000000000002</v>
      </c>
    </row>
    <row r="12" spans="1:10">
      <c r="A12" s="89">
        <v>233</v>
      </c>
      <c r="B12">
        <v>379</v>
      </c>
      <c r="C12" s="86">
        <f>ROUND(F12,3)</f>
        <v>3.3420000000000001</v>
      </c>
      <c r="F12" s="87">
        <v>3.3416999999999999</v>
      </c>
      <c r="H12" s="90">
        <v>233</v>
      </c>
      <c r="I12" s="90">
        <v>379</v>
      </c>
      <c r="J12" s="86">
        <v>3.3420000000000001</v>
      </c>
    </row>
    <row r="13" spans="1:10">
      <c r="A13" s="89">
        <v>218</v>
      </c>
      <c r="B13">
        <v>379</v>
      </c>
      <c r="C13" s="86">
        <f>ROUND(F13,3)</f>
        <v>3.1190000000000002</v>
      </c>
      <c r="F13" s="87">
        <v>3.1189200000000001</v>
      </c>
      <c r="H13" s="90">
        <v>218</v>
      </c>
      <c r="I13" s="90">
        <v>379</v>
      </c>
      <c r="J13" s="86">
        <v>3.1190000000000002</v>
      </c>
    </row>
    <row r="14" spans="1:10">
      <c r="A14" s="89">
        <v>234</v>
      </c>
      <c r="B14">
        <v>379</v>
      </c>
      <c r="C14" s="86">
        <f>ROUND(F14,3)</f>
        <v>4.6779999999999999</v>
      </c>
      <c r="F14" s="87">
        <v>4.6783799999999998</v>
      </c>
      <c r="H14" s="90">
        <v>234</v>
      </c>
      <c r="I14" s="90">
        <v>379</v>
      </c>
      <c r="J14" s="86">
        <v>4.6779999999999999</v>
      </c>
    </row>
    <row r="15" spans="1:10">
      <c r="A15" s="89">
        <v>219</v>
      </c>
      <c r="B15">
        <v>379</v>
      </c>
      <c r="C15" s="86">
        <f>ROUND(F15,3)</f>
        <v>3.5640000000000001</v>
      </c>
      <c r="F15" s="87">
        <v>3.5644800000000001</v>
      </c>
      <c r="H15" s="90">
        <v>219</v>
      </c>
      <c r="I15" s="90">
        <v>379</v>
      </c>
      <c r="J15" s="86">
        <v>3.5640000000000001</v>
      </c>
    </row>
    <row r="16" spans="1:10">
      <c r="A16" s="89">
        <v>235</v>
      </c>
      <c r="B16">
        <v>379</v>
      </c>
      <c r="C16" s="86">
        <f>ROUND(F16,3)</f>
        <v>5.3470000000000004</v>
      </c>
      <c r="F16" s="87">
        <v>5.3467200000000004</v>
      </c>
      <c r="H16" s="90">
        <v>235</v>
      </c>
      <c r="I16" s="90">
        <v>379</v>
      </c>
      <c r="J16" s="86">
        <v>5.3470000000000004</v>
      </c>
    </row>
    <row r="17" spans="1:10">
      <c r="A17" s="89">
        <v>214</v>
      </c>
      <c r="B17">
        <v>379</v>
      </c>
      <c r="C17" s="86">
        <f>ROUND(F17,3)</f>
        <v>0.44600000000000001</v>
      </c>
      <c r="F17" s="87">
        <v>0.44556000000000001</v>
      </c>
      <c r="H17" s="90">
        <v>214</v>
      </c>
      <c r="I17" s="90">
        <v>379</v>
      </c>
      <c r="J17" s="86">
        <v>0.44600000000000001</v>
      </c>
    </row>
    <row r="18" spans="1:10">
      <c r="A18" s="89">
        <v>230</v>
      </c>
      <c r="B18">
        <v>379</v>
      </c>
      <c r="C18" s="86">
        <f>ROUND(F18,3)</f>
        <v>0.66800000000000004</v>
      </c>
      <c r="F18" s="87">
        <v>0.66834000000000005</v>
      </c>
      <c r="H18" s="90">
        <v>230</v>
      </c>
      <c r="I18" s="90">
        <v>379</v>
      </c>
      <c r="J18" s="86">
        <v>0.66800000000000004</v>
      </c>
    </row>
    <row r="19" spans="1:10">
      <c r="A19" s="89">
        <v>220</v>
      </c>
      <c r="B19">
        <v>379</v>
      </c>
      <c r="C19" s="86">
        <f>ROUND(F19,3)</f>
        <v>4.4560000000000004</v>
      </c>
      <c r="F19" s="87">
        <v>4.4555999999999996</v>
      </c>
      <c r="H19" s="90">
        <v>220</v>
      </c>
      <c r="I19" s="90">
        <v>379</v>
      </c>
      <c r="J19" s="86">
        <v>4.4560000000000004</v>
      </c>
    </row>
    <row r="20" spans="1:10">
      <c r="A20" s="89">
        <v>236</v>
      </c>
      <c r="B20">
        <v>379</v>
      </c>
      <c r="C20" s="86">
        <f>ROUND(F20,3)</f>
        <v>6.6829999999999998</v>
      </c>
      <c r="F20" s="87">
        <v>6.6833999999999998</v>
      </c>
      <c r="H20" s="90">
        <v>236</v>
      </c>
      <c r="I20" s="90">
        <v>379</v>
      </c>
      <c r="J20" s="86">
        <v>6.6829999999999998</v>
      </c>
    </row>
    <row r="21" spans="1:10">
      <c r="A21" s="89">
        <v>221</v>
      </c>
      <c r="B21">
        <v>379</v>
      </c>
      <c r="C21" s="86">
        <f>ROUND(F21,3)</f>
        <v>6.6829999999999998</v>
      </c>
      <c r="F21" s="87">
        <v>6.6833999999999998</v>
      </c>
      <c r="H21" s="90">
        <v>221</v>
      </c>
      <c r="I21" s="90">
        <v>379</v>
      </c>
      <c r="J21" s="86">
        <v>6.6829999999999998</v>
      </c>
    </row>
    <row r="22" spans="1:10">
      <c r="A22" s="89">
        <v>237</v>
      </c>
      <c r="B22">
        <v>379</v>
      </c>
      <c r="C22" s="86">
        <f>ROUND(F22,3)</f>
        <v>10.025</v>
      </c>
      <c r="F22" s="87">
        <v>10.0251</v>
      </c>
      <c r="H22" s="90">
        <v>237</v>
      </c>
      <c r="I22" s="90">
        <v>379</v>
      </c>
      <c r="J22" s="86">
        <v>10.025</v>
      </c>
    </row>
    <row r="23" spans="1:10">
      <c r="A23" s="89">
        <v>222</v>
      </c>
      <c r="B23">
        <v>379</v>
      </c>
      <c r="C23" s="86">
        <f>ROUND(F23,3)</f>
        <v>8.9109999999999996</v>
      </c>
      <c r="F23" s="87">
        <v>8.9111999999999991</v>
      </c>
      <c r="H23" s="90">
        <v>222</v>
      </c>
      <c r="I23" s="90">
        <v>379</v>
      </c>
      <c r="J23" s="86">
        <v>8.9109999999999996</v>
      </c>
    </row>
    <row r="24" spans="1:10">
      <c r="A24" s="89">
        <v>238</v>
      </c>
      <c r="B24">
        <v>379</v>
      </c>
      <c r="C24" s="86">
        <f>ROUND(F24,3)</f>
        <v>13.367000000000001</v>
      </c>
      <c r="F24" s="87">
        <v>13.3668</v>
      </c>
      <c r="H24" s="90">
        <v>238</v>
      </c>
      <c r="I24" s="90">
        <v>379</v>
      </c>
      <c r="J24" s="86">
        <v>13.367000000000001</v>
      </c>
    </row>
    <row r="25" spans="1:10">
      <c r="A25" s="89">
        <v>215</v>
      </c>
      <c r="B25">
        <v>379</v>
      </c>
      <c r="C25" s="86">
        <f>ROUND(F25,3)</f>
        <v>1.1140000000000001</v>
      </c>
      <c r="F25" s="87">
        <v>1.1138999999999999</v>
      </c>
      <c r="H25" s="90">
        <v>215</v>
      </c>
      <c r="I25" s="90">
        <v>379</v>
      </c>
      <c r="J25" s="86">
        <v>1.1140000000000001</v>
      </c>
    </row>
    <row r="26" spans="1:10">
      <c r="A26" s="89">
        <v>231</v>
      </c>
      <c r="B26">
        <v>379</v>
      </c>
      <c r="C26" s="86">
        <f>ROUND(F26,3)</f>
        <v>1.671</v>
      </c>
      <c r="F26" s="87">
        <v>1.6708499999999999</v>
      </c>
      <c r="H26" s="90">
        <v>231</v>
      </c>
      <c r="I26" s="90">
        <v>379</v>
      </c>
      <c r="J26" s="86">
        <v>1.671</v>
      </c>
    </row>
    <row r="27" spans="1:10">
      <c r="A27" s="89">
        <v>223</v>
      </c>
      <c r="B27">
        <v>379</v>
      </c>
      <c r="C27" s="86">
        <f>ROUND(F27,3)</f>
        <v>11.138999999999999</v>
      </c>
      <c r="F27" s="87">
        <v>11.138999999999999</v>
      </c>
      <c r="H27" s="90">
        <v>223</v>
      </c>
      <c r="I27" s="90">
        <v>379</v>
      </c>
      <c r="J27" s="86">
        <v>11.138999999999999</v>
      </c>
    </row>
    <row r="28" spans="1:10">
      <c r="A28" s="89">
        <v>239</v>
      </c>
      <c r="B28">
        <v>379</v>
      </c>
      <c r="C28" s="86">
        <f>ROUND(F28,3)</f>
        <v>16.709</v>
      </c>
      <c r="F28" s="87">
        <v>16.708500000000001</v>
      </c>
      <c r="H28" s="90">
        <v>239</v>
      </c>
      <c r="I28" s="90">
        <v>379</v>
      </c>
      <c r="J28" s="86">
        <v>16.709</v>
      </c>
    </row>
    <row r="29" spans="1:10">
      <c r="A29" s="89">
        <v>216</v>
      </c>
      <c r="B29">
        <v>379</v>
      </c>
      <c r="C29" s="86">
        <f>ROUND(F29,3)</f>
        <v>1.5589999999999999</v>
      </c>
      <c r="F29" s="87">
        <v>1.5594600000000001</v>
      </c>
      <c r="H29" s="90">
        <v>216</v>
      </c>
      <c r="I29" s="90">
        <v>379</v>
      </c>
      <c r="J29" s="86">
        <v>1.5589999999999999</v>
      </c>
    </row>
    <row r="30" spans="1:10">
      <c r="A30" s="89">
        <v>232</v>
      </c>
      <c r="B30">
        <v>379</v>
      </c>
      <c r="C30" s="86">
        <f>ROUND(F30,3)</f>
        <v>2.339</v>
      </c>
      <c r="F30" s="87">
        <v>2.3391899999999999</v>
      </c>
      <c r="H30" s="90">
        <v>232</v>
      </c>
      <c r="I30" s="90">
        <v>379</v>
      </c>
      <c r="J30" s="86">
        <v>2.339</v>
      </c>
    </row>
    <row r="31" spans="1:10">
      <c r="A31" s="89">
        <v>224</v>
      </c>
      <c r="B31">
        <v>379</v>
      </c>
      <c r="C31" s="86">
        <f>ROUND(F31,3)</f>
        <v>17.821999999999999</v>
      </c>
      <c r="F31" s="87">
        <v>17.822399999999998</v>
      </c>
      <c r="H31" s="90">
        <v>224</v>
      </c>
      <c r="I31" s="90">
        <v>379</v>
      </c>
      <c r="J31" s="86">
        <v>17.821999999999999</v>
      </c>
    </row>
    <row r="32" spans="1:10">
      <c r="A32" s="89">
        <v>240</v>
      </c>
      <c r="B32">
        <v>379</v>
      </c>
      <c r="C32" s="86">
        <f>ROUND(F32,3)</f>
        <v>26.734000000000002</v>
      </c>
      <c r="F32" s="87">
        <v>26.733599999999999</v>
      </c>
      <c r="H32" s="90">
        <v>240</v>
      </c>
      <c r="I32" s="90">
        <v>379</v>
      </c>
      <c r="J32" s="86">
        <v>26.734000000000002</v>
      </c>
    </row>
    <row r="33" spans="1:10">
      <c r="A33" s="89">
        <v>22</v>
      </c>
      <c r="B33">
        <v>378</v>
      </c>
      <c r="C33" s="86">
        <f>ROUND(F33,3)</f>
        <v>150.98599999999999</v>
      </c>
      <c r="F33" s="87">
        <v>150.9864</v>
      </c>
      <c r="H33" s="90">
        <v>22</v>
      </c>
      <c r="I33" s="90">
        <v>378</v>
      </c>
      <c r="J33" s="86">
        <v>150.98599999999999</v>
      </c>
    </row>
    <row r="34" spans="1:10">
      <c r="A34" s="89">
        <v>37</v>
      </c>
      <c r="B34">
        <v>378</v>
      </c>
      <c r="C34" s="86">
        <f>ROUND(F34,3)</f>
        <v>227.904</v>
      </c>
      <c r="F34" s="87">
        <v>227.904</v>
      </c>
      <c r="H34" s="90">
        <v>37</v>
      </c>
      <c r="I34" s="90">
        <v>378</v>
      </c>
      <c r="J34" s="86">
        <v>227.904</v>
      </c>
    </row>
    <row r="35" spans="1:10">
      <c r="A35" s="89">
        <v>24</v>
      </c>
      <c r="B35">
        <v>378</v>
      </c>
      <c r="C35" s="86">
        <f>ROUND(F35,3)</f>
        <v>241.578</v>
      </c>
      <c r="F35" s="87">
        <v>241.57823999999999</v>
      </c>
      <c r="H35" s="90">
        <v>24</v>
      </c>
      <c r="I35" s="90">
        <v>378</v>
      </c>
      <c r="J35" s="86">
        <v>241.578</v>
      </c>
    </row>
    <row r="36" spans="1:10">
      <c r="A36" s="89">
        <v>39</v>
      </c>
      <c r="B36">
        <v>378</v>
      </c>
      <c r="C36" s="86">
        <f>ROUND(F36,3)</f>
        <v>364.64600000000002</v>
      </c>
      <c r="F36" s="87">
        <v>364.64640000000003</v>
      </c>
      <c r="H36" s="90">
        <v>39</v>
      </c>
      <c r="I36" s="90">
        <v>378</v>
      </c>
      <c r="J36" s="86">
        <v>364.64600000000002</v>
      </c>
    </row>
    <row r="37" spans="1:10">
      <c r="A37" s="89">
        <v>23</v>
      </c>
      <c r="B37">
        <v>378</v>
      </c>
      <c r="C37" s="86">
        <f>ROUND(F37,3)</f>
        <v>201.315</v>
      </c>
      <c r="F37" s="87">
        <v>201.3152</v>
      </c>
      <c r="H37" s="90">
        <v>23</v>
      </c>
      <c r="I37" s="90">
        <v>378</v>
      </c>
      <c r="J37" s="86">
        <v>201.315</v>
      </c>
    </row>
    <row r="38" spans="1:10">
      <c r="A38" s="89">
        <v>38</v>
      </c>
      <c r="B38">
        <v>378</v>
      </c>
      <c r="C38" s="86">
        <f>ROUND(F38,3)</f>
        <v>303.87200000000001</v>
      </c>
      <c r="F38" s="87">
        <v>303.87200000000001</v>
      </c>
      <c r="H38" s="90">
        <v>38</v>
      </c>
      <c r="I38" s="90">
        <v>378</v>
      </c>
      <c r="J38" s="86">
        <v>303.87200000000001</v>
      </c>
    </row>
    <row r="39" spans="1:10">
      <c r="A39" s="89">
        <v>25</v>
      </c>
      <c r="B39">
        <v>378</v>
      </c>
      <c r="C39" s="86">
        <f>ROUND(F39,3)</f>
        <v>322.10399999999998</v>
      </c>
      <c r="F39" s="87">
        <v>322.10431999999997</v>
      </c>
      <c r="H39" s="90">
        <v>25</v>
      </c>
      <c r="I39" s="90">
        <v>378</v>
      </c>
      <c r="J39" s="86">
        <v>322.10399999999998</v>
      </c>
    </row>
    <row r="40" spans="1:10">
      <c r="A40" s="89">
        <v>40</v>
      </c>
      <c r="B40">
        <v>378</v>
      </c>
      <c r="C40" s="86">
        <f>ROUND(F40,3)</f>
        <v>486.19499999999999</v>
      </c>
      <c r="F40" s="87">
        <v>486.1952</v>
      </c>
      <c r="H40" s="90">
        <v>40</v>
      </c>
      <c r="I40" s="90">
        <v>378</v>
      </c>
      <c r="J40" s="86">
        <v>486.19499999999999</v>
      </c>
    </row>
    <row r="41" spans="1:10">
      <c r="A41" s="89">
        <v>3</v>
      </c>
      <c r="B41">
        <v>378</v>
      </c>
      <c r="C41" s="86">
        <f>ROUND(F41,3)</f>
        <v>1.329</v>
      </c>
      <c r="F41" s="87">
        <v>1.32944</v>
      </c>
      <c r="H41" s="90">
        <v>3</v>
      </c>
      <c r="I41" s="90">
        <v>378</v>
      </c>
      <c r="J41" s="86">
        <v>1.329</v>
      </c>
    </row>
    <row r="42" spans="1:10">
      <c r="A42" s="89">
        <v>13</v>
      </c>
      <c r="B42">
        <v>378</v>
      </c>
      <c r="C42" s="86">
        <f>ROUND(F42,3)</f>
        <v>1.762</v>
      </c>
      <c r="F42" s="87">
        <v>1.7615080000000001</v>
      </c>
      <c r="H42" s="90">
        <v>13</v>
      </c>
      <c r="I42" s="90">
        <v>378</v>
      </c>
      <c r="J42" s="86">
        <v>1.762</v>
      </c>
    </row>
    <row r="43" spans="1:10">
      <c r="A43" s="89">
        <v>5</v>
      </c>
      <c r="B43">
        <v>378</v>
      </c>
      <c r="C43" s="86">
        <f>ROUND(F43,3)</f>
        <v>2.6589999999999998</v>
      </c>
      <c r="F43" s="87">
        <v>2.6588799999999999</v>
      </c>
      <c r="H43" s="90">
        <v>5</v>
      </c>
      <c r="I43" s="90">
        <v>378</v>
      </c>
      <c r="J43" s="86">
        <v>2.6589999999999998</v>
      </c>
    </row>
    <row r="44" spans="1:10">
      <c r="A44" s="89">
        <v>15</v>
      </c>
      <c r="B44">
        <v>378</v>
      </c>
      <c r="C44" s="86">
        <f>ROUND(F44,3)</f>
        <v>3.5230000000000001</v>
      </c>
      <c r="F44" s="87">
        <v>3.5230160000000001</v>
      </c>
      <c r="H44" s="90">
        <v>15</v>
      </c>
      <c r="I44" s="90">
        <v>378</v>
      </c>
      <c r="J44" s="86">
        <v>3.5230000000000001</v>
      </c>
    </row>
    <row r="45" spans="1:10">
      <c r="A45" s="89">
        <v>30</v>
      </c>
      <c r="B45">
        <v>378</v>
      </c>
      <c r="C45" s="86">
        <f>ROUND(F45,3)</f>
        <v>5.3179999999999996</v>
      </c>
      <c r="F45" s="87">
        <v>5.3177599999999998</v>
      </c>
      <c r="H45" s="90">
        <v>30</v>
      </c>
      <c r="I45" s="90">
        <v>378</v>
      </c>
      <c r="J45" s="86">
        <v>5.3179999999999996</v>
      </c>
    </row>
    <row r="46" spans="1:10">
      <c r="A46" s="89">
        <v>1</v>
      </c>
      <c r="B46">
        <v>378</v>
      </c>
      <c r="C46" s="86">
        <f>ROUND(F46,3)</f>
        <v>0.38</v>
      </c>
      <c r="F46" s="87">
        <v>0.37984000000000001</v>
      </c>
      <c r="H46" s="90">
        <v>1</v>
      </c>
      <c r="I46" s="90">
        <v>378</v>
      </c>
      <c r="J46" s="86">
        <v>0.38</v>
      </c>
    </row>
    <row r="47" spans="1:10">
      <c r="A47" s="89">
        <v>11</v>
      </c>
      <c r="B47">
        <v>378</v>
      </c>
      <c r="C47" s="86">
        <f>ROUND(F47,3)</f>
        <v>0.503</v>
      </c>
      <c r="F47" s="87">
        <v>0.50328799999999996</v>
      </c>
      <c r="H47" s="90">
        <v>11</v>
      </c>
      <c r="I47" s="90">
        <v>378</v>
      </c>
      <c r="J47" s="86">
        <v>0.503</v>
      </c>
    </row>
    <row r="48" spans="1:10">
      <c r="A48" s="89">
        <v>26</v>
      </c>
      <c r="B48">
        <v>378</v>
      </c>
      <c r="C48" s="86">
        <f>ROUND(F48,3)</f>
        <v>0.76</v>
      </c>
      <c r="F48" s="87">
        <v>0.75968000000000002</v>
      </c>
      <c r="H48" s="90">
        <v>26</v>
      </c>
      <c r="I48" s="90">
        <v>378</v>
      </c>
      <c r="J48" s="86">
        <v>0.76</v>
      </c>
    </row>
    <row r="49" spans="1:10">
      <c r="A49" s="89">
        <v>9</v>
      </c>
      <c r="B49">
        <v>378</v>
      </c>
      <c r="C49" s="86">
        <f>ROUND(F49,3)</f>
        <v>7.5970000000000004</v>
      </c>
      <c r="F49" s="87">
        <v>7.5968</v>
      </c>
      <c r="H49" s="90">
        <v>9</v>
      </c>
      <c r="I49" s="90">
        <v>378</v>
      </c>
      <c r="J49" s="86">
        <v>7.5970000000000004</v>
      </c>
    </row>
    <row r="50" spans="1:10">
      <c r="A50" s="89">
        <v>19</v>
      </c>
      <c r="B50">
        <v>378</v>
      </c>
      <c r="C50" s="86">
        <f>ROUND(F50,3)</f>
        <v>10.066000000000001</v>
      </c>
      <c r="F50" s="87">
        <v>10.065759999999999</v>
      </c>
      <c r="H50" s="90">
        <v>19</v>
      </c>
      <c r="I50" s="90">
        <v>378</v>
      </c>
      <c r="J50" s="86">
        <v>10.066000000000001</v>
      </c>
    </row>
    <row r="51" spans="1:10">
      <c r="A51" s="89">
        <v>34</v>
      </c>
      <c r="B51">
        <v>378</v>
      </c>
      <c r="C51" s="86">
        <f>ROUND(F51,3)</f>
        <v>15.194000000000001</v>
      </c>
      <c r="F51" s="87">
        <v>15.1936</v>
      </c>
      <c r="H51" s="90">
        <v>34</v>
      </c>
      <c r="I51" s="90">
        <v>378</v>
      </c>
      <c r="J51" s="86">
        <v>15.194000000000001</v>
      </c>
    </row>
    <row r="52" spans="1:10">
      <c r="A52" s="89">
        <v>10</v>
      </c>
      <c r="B52">
        <v>378</v>
      </c>
      <c r="C52" s="86">
        <f>ROUND(F52,3)</f>
        <v>9.4960000000000004</v>
      </c>
      <c r="F52" s="87">
        <v>9.4960000000000004</v>
      </c>
      <c r="H52" s="90">
        <v>10</v>
      </c>
      <c r="I52" s="90">
        <v>378</v>
      </c>
      <c r="J52" s="86">
        <v>9.4960000000000004</v>
      </c>
    </row>
    <row r="53" spans="1:10">
      <c r="A53" s="89">
        <v>20</v>
      </c>
      <c r="B53">
        <v>378</v>
      </c>
      <c r="C53" s="86">
        <f>ROUND(F53,3)</f>
        <v>12.582000000000001</v>
      </c>
      <c r="F53" s="87">
        <v>12.5822</v>
      </c>
      <c r="H53" s="90">
        <v>20</v>
      </c>
      <c r="I53" s="90">
        <v>378</v>
      </c>
      <c r="J53" s="86">
        <v>12.582000000000001</v>
      </c>
    </row>
    <row r="54" spans="1:10">
      <c r="A54" s="89">
        <v>35</v>
      </c>
      <c r="B54">
        <v>378</v>
      </c>
      <c r="C54" s="86">
        <f>ROUND(F54,3)</f>
        <v>18.992000000000001</v>
      </c>
      <c r="F54" s="87">
        <v>18.992000000000001</v>
      </c>
      <c r="H54" s="90">
        <v>35</v>
      </c>
      <c r="I54" s="90">
        <v>378</v>
      </c>
      <c r="J54" s="86">
        <v>18.992000000000001</v>
      </c>
    </row>
    <row r="55" spans="1:10">
      <c r="A55" s="89">
        <v>28</v>
      </c>
      <c r="B55">
        <v>378</v>
      </c>
      <c r="C55" s="86">
        <f>ROUND(F55,3)</f>
        <v>2.6589999999999998</v>
      </c>
      <c r="F55" s="87">
        <v>2.6588799999999999</v>
      </c>
      <c r="H55" s="90">
        <v>28</v>
      </c>
      <c r="I55" s="90">
        <v>378</v>
      </c>
      <c r="J55" s="86">
        <v>2.6589999999999998</v>
      </c>
    </row>
    <row r="56" spans="1:10">
      <c r="A56" s="89">
        <v>21</v>
      </c>
      <c r="B56">
        <v>378</v>
      </c>
      <c r="C56" s="86">
        <f>ROUND(F56,3)</f>
        <v>20.132000000000001</v>
      </c>
      <c r="F56" s="87">
        <v>20.131519999999998</v>
      </c>
      <c r="H56" s="90">
        <v>21</v>
      </c>
      <c r="I56" s="90">
        <v>378</v>
      </c>
      <c r="J56" s="86">
        <v>20.132000000000001</v>
      </c>
    </row>
    <row r="57" spans="1:10">
      <c r="A57" s="89">
        <v>36</v>
      </c>
      <c r="B57">
        <v>378</v>
      </c>
      <c r="C57" s="86">
        <f>ROUND(F57,3)</f>
        <v>30.387</v>
      </c>
      <c r="F57" s="87">
        <v>30.3872</v>
      </c>
      <c r="H57" s="90">
        <v>36</v>
      </c>
      <c r="I57" s="90">
        <v>378</v>
      </c>
      <c r="J57" s="86">
        <v>30.387</v>
      </c>
    </row>
    <row r="58" spans="1:10">
      <c r="A58" s="89">
        <v>4</v>
      </c>
      <c r="B58">
        <v>378</v>
      </c>
      <c r="C58" s="86">
        <f>ROUND(F58,3)</f>
        <v>1.899</v>
      </c>
      <c r="F58" s="87">
        <v>1.8992</v>
      </c>
      <c r="H58" s="90">
        <v>4</v>
      </c>
      <c r="I58" s="90">
        <v>378</v>
      </c>
      <c r="J58" s="86">
        <v>1.899</v>
      </c>
    </row>
    <row r="59" spans="1:10">
      <c r="A59" s="89">
        <v>14</v>
      </c>
      <c r="B59">
        <v>378</v>
      </c>
      <c r="C59" s="86">
        <f>ROUND(F59,3)</f>
        <v>2.516</v>
      </c>
      <c r="F59" s="87">
        <v>2.5164399999999998</v>
      </c>
      <c r="H59" s="90">
        <v>14</v>
      </c>
      <c r="I59" s="90">
        <v>378</v>
      </c>
      <c r="J59" s="86">
        <v>2.516</v>
      </c>
    </row>
    <row r="60" spans="1:10">
      <c r="A60" s="89">
        <v>29</v>
      </c>
      <c r="B60">
        <v>378</v>
      </c>
      <c r="C60" s="86">
        <f>ROUND(F60,3)</f>
        <v>3.798</v>
      </c>
      <c r="F60" s="87">
        <v>3.7984</v>
      </c>
      <c r="H60" s="90">
        <v>29</v>
      </c>
      <c r="I60" s="90">
        <v>378</v>
      </c>
      <c r="J60" s="86">
        <v>3.798</v>
      </c>
    </row>
    <row r="61" spans="1:10">
      <c r="A61" s="89">
        <v>6</v>
      </c>
      <c r="B61">
        <v>378</v>
      </c>
      <c r="C61" s="86">
        <f>ROUND(F61,3)</f>
        <v>3.0390000000000001</v>
      </c>
      <c r="F61" s="87">
        <v>3.0387200000000001</v>
      </c>
      <c r="H61" s="90">
        <v>6</v>
      </c>
      <c r="I61" s="90">
        <v>378</v>
      </c>
      <c r="J61" s="86">
        <v>3.0390000000000001</v>
      </c>
    </row>
    <row r="62" spans="1:10">
      <c r="A62" s="89">
        <v>16</v>
      </c>
      <c r="B62">
        <v>378</v>
      </c>
      <c r="C62" s="86">
        <f>ROUND(F62,3)</f>
        <v>4.0259999999999998</v>
      </c>
      <c r="F62" s="87">
        <v>4.0263039999999997</v>
      </c>
      <c r="H62" s="90">
        <v>16</v>
      </c>
      <c r="I62" s="90">
        <v>378</v>
      </c>
      <c r="J62" s="86">
        <v>4.0259999999999998</v>
      </c>
    </row>
    <row r="63" spans="1:10">
      <c r="A63" s="89">
        <v>31</v>
      </c>
      <c r="B63">
        <v>378</v>
      </c>
      <c r="C63" s="86">
        <f>ROUND(F63,3)</f>
        <v>6.077</v>
      </c>
      <c r="F63" s="87">
        <v>6.0774400000000002</v>
      </c>
      <c r="H63" s="90">
        <v>31</v>
      </c>
      <c r="I63" s="90">
        <v>378</v>
      </c>
      <c r="J63" s="86">
        <v>6.077</v>
      </c>
    </row>
    <row r="64" spans="1:10">
      <c r="A64" s="89">
        <v>7</v>
      </c>
      <c r="B64">
        <v>378</v>
      </c>
      <c r="C64" s="86">
        <f>ROUND(F64,3)</f>
        <v>3.798</v>
      </c>
      <c r="F64" s="87">
        <v>3.7984</v>
      </c>
      <c r="H64" s="90">
        <v>7</v>
      </c>
      <c r="I64" s="90">
        <v>378</v>
      </c>
      <c r="J64" s="86">
        <v>3.798</v>
      </c>
    </row>
    <row r="65" spans="1:10">
      <c r="A65" s="89">
        <v>17</v>
      </c>
      <c r="B65">
        <v>378</v>
      </c>
      <c r="C65" s="86">
        <f>ROUND(F65,3)</f>
        <v>5.0330000000000004</v>
      </c>
      <c r="F65" s="87">
        <v>5.0328799999999996</v>
      </c>
      <c r="H65" s="90">
        <v>17</v>
      </c>
      <c r="I65" s="90">
        <v>378</v>
      </c>
      <c r="J65" s="86">
        <v>5.0330000000000004</v>
      </c>
    </row>
    <row r="66" spans="1:10">
      <c r="A66" s="89">
        <v>32</v>
      </c>
      <c r="B66">
        <v>378</v>
      </c>
      <c r="C66" s="86">
        <f>ROUND(F66,3)</f>
        <v>7.5970000000000004</v>
      </c>
      <c r="F66" s="87">
        <v>7.5968</v>
      </c>
      <c r="H66" s="90">
        <v>32</v>
      </c>
      <c r="I66" s="90">
        <v>378</v>
      </c>
      <c r="J66" s="86">
        <v>7.5970000000000004</v>
      </c>
    </row>
    <row r="67" spans="1:10">
      <c r="A67" s="89">
        <v>8</v>
      </c>
      <c r="B67">
        <v>378</v>
      </c>
      <c r="C67" s="86">
        <f>ROUND(F67,3)</f>
        <v>5.6980000000000004</v>
      </c>
      <c r="F67" s="87">
        <v>5.6976000000000004</v>
      </c>
      <c r="H67" s="90">
        <v>8</v>
      </c>
      <c r="I67" s="90">
        <v>378</v>
      </c>
      <c r="J67" s="86">
        <v>5.6980000000000004</v>
      </c>
    </row>
    <row r="68" spans="1:10">
      <c r="A68" s="89">
        <v>18</v>
      </c>
      <c r="B68">
        <v>378</v>
      </c>
      <c r="C68" s="86">
        <f>ROUND(F68,3)</f>
        <v>7.5490000000000004</v>
      </c>
      <c r="F68" s="87">
        <v>7.5493199999999998</v>
      </c>
      <c r="H68" s="90">
        <v>18</v>
      </c>
      <c r="I68" s="90">
        <v>378</v>
      </c>
      <c r="J68" s="86">
        <v>7.5490000000000004</v>
      </c>
    </row>
    <row r="69" spans="1:10">
      <c r="A69" s="89">
        <v>33</v>
      </c>
      <c r="B69">
        <v>378</v>
      </c>
      <c r="C69" s="86">
        <f>ROUND(F69,3)</f>
        <v>11.395</v>
      </c>
      <c r="F69" s="87">
        <v>11.395200000000001</v>
      </c>
      <c r="H69" s="90">
        <v>33</v>
      </c>
      <c r="I69" s="90">
        <v>378</v>
      </c>
      <c r="J69" s="86">
        <v>11.395</v>
      </c>
    </row>
    <row r="70" spans="1:10">
      <c r="A70" s="89">
        <v>2</v>
      </c>
      <c r="B70">
        <v>378</v>
      </c>
      <c r="C70" s="86">
        <f>ROUND(F70,3)</f>
        <v>0.95</v>
      </c>
      <c r="F70" s="87">
        <v>0.9496</v>
      </c>
      <c r="H70" s="90">
        <v>2</v>
      </c>
      <c r="I70" s="90">
        <v>378</v>
      </c>
      <c r="J70" s="86">
        <v>0.95</v>
      </c>
    </row>
    <row r="71" spans="1:10">
      <c r="A71" s="89">
        <v>12</v>
      </c>
      <c r="B71">
        <v>378</v>
      </c>
      <c r="C71" s="86">
        <f>ROUND(F71,3)</f>
        <v>1.258</v>
      </c>
      <c r="F71" s="87">
        <v>1.2582199999999999</v>
      </c>
      <c r="H71" s="90">
        <v>12</v>
      </c>
      <c r="I71" s="90">
        <v>378</v>
      </c>
      <c r="J71" s="86">
        <v>1.258</v>
      </c>
    </row>
    <row r="72" spans="1:10">
      <c r="A72" s="89">
        <v>27</v>
      </c>
      <c r="B72">
        <v>378</v>
      </c>
      <c r="C72" s="86">
        <f>ROUND(F72,3)</f>
        <v>1.899</v>
      </c>
      <c r="F72" s="87">
        <v>1.8992</v>
      </c>
      <c r="H72" s="90">
        <v>27</v>
      </c>
      <c r="I72" s="90">
        <v>378</v>
      </c>
      <c r="J72" s="86">
        <v>1.899</v>
      </c>
    </row>
    <row r="73" spans="1:10">
      <c r="A73" s="89">
        <v>165</v>
      </c>
      <c r="B73">
        <v>423</v>
      </c>
      <c r="C73" s="86">
        <f>ROUND(F73,3)</f>
        <v>2.56</v>
      </c>
      <c r="F73" s="87">
        <v>2.5601400000000001</v>
      </c>
      <c r="H73" s="90">
        <v>165</v>
      </c>
      <c r="I73" s="90">
        <v>423</v>
      </c>
      <c r="J73" s="86">
        <v>2.56</v>
      </c>
    </row>
    <row r="74" spans="1:10">
      <c r="A74" s="89">
        <v>176</v>
      </c>
      <c r="B74">
        <v>423</v>
      </c>
      <c r="C74" s="86">
        <f>ROUND(F74,3)</f>
        <v>3.84</v>
      </c>
      <c r="F74" s="87">
        <v>3.8402099999999999</v>
      </c>
      <c r="H74" s="90">
        <v>176</v>
      </c>
      <c r="I74" s="90">
        <v>423</v>
      </c>
      <c r="J74" s="86">
        <v>3.84</v>
      </c>
    </row>
    <row r="75" spans="1:10">
      <c r="A75" s="89">
        <v>166</v>
      </c>
      <c r="B75">
        <v>423</v>
      </c>
      <c r="C75" s="86">
        <f>ROUND(F75,3)</f>
        <v>3.5840000000000001</v>
      </c>
      <c r="F75" s="87">
        <v>3.5841959999999999</v>
      </c>
      <c r="H75" s="90">
        <v>166</v>
      </c>
      <c r="I75" s="90">
        <v>423</v>
      </c>
      <c r="J75" s="86">
        <v>3.5840000000000001</v>
      </c>
    </row>
    <row r="76" spans="1:10">
      <c r="A76" s="89">
        <v>177</v>
      </c>
      <c r="B76">
        <v>423</v>
      </c>
      <c r="C76" s="86">
        <f>ROUND(F76,3)</f>
        <v>5.3760000000000003</v>
      </c>
      <c r="F76" s="87">
        <v>5.3762939999999997</v>
      </c>
      <c r="H76" s="90">
        <v>177</v>
      </c>
      <c r="I76" s="90">
        <v>423</v>
      </c>
      <c r="J76" s="86">
        <v>5.3760000000000003</v>
      </c>
    </row>
    <row r="77" spans="1:10">
      <c r="A77" s="89">
        <v>167</v>
      </c>
      <c r="B77">
        <v>423</v>
      </c>
      <c r="C77" s="86">
        <f>ROUND(F77,3)</f>
        <v>4.0960000000000001</v>
      </c>
      <c r="F77" s="87">
        <v>4.0962240000000003</v>
      </c>
      <c r="H77" s="90">
        <v>167</v>
      </c>
      <c r="I77" s="90">
        <v>423</v>
      </c>
      <c r="J77" s="86">
        <v>4.0960000000000001</v>
      </c>
    </row>
    <row r="78" spans="1:10">
      <c r="A78" s="89">
        <v>178</v>
      </c>
      <c r="B78">
        <v>423</v>
      </c>
      <c r="C78" s="86">
        <f>ROUND(F78,3)</f>
        <v>6.1440000000000001</v>
      </c>
      <c r="F78" s="87">
        <v>6.144336</v>
      </c>
      <c r="H78" s="90">
        <v>178</v>
      </c>
      <c r="I78" s="90">
        <v>423</v>
      </c>
      <c r="J78" s="86">
        <v>6.1440000000000001</v>
      </c>
    </row>
    <row r="79" spans="1:10">
      <c r="A79" s="89">
        <v>162</v>
      </c>
      <c r="B79">
        <v>423</v>
      </c>
      <c r="C79" s="86">
        <f>ROUND(F79,3)</f>
        <v>0.51200000000000001</v>
      </c>
      <c r="F79" s="87">
        <v>0.51202800000000004</v>
      </c>
      <c r="H79" s="90">
        <v>162</v>
      </c>
      <c r="I79" s="90">
        <v>423</v>
      </c>
      <c r="J79" s="86">
        <v>0.51200000000000001</v>
      </c>
    </row>
    <row r="80" spans="1:10">
      <c r="A80" s="89">
        <v>173</v>
      </c>
      <c r="B80">
        <v>423</v>
      </c>
      <c r="C80" s="86">
        <f>ROUND(F80,3)</f>
        <v>0.76800000000000002</v>
      </c>
      <c r="F80" s="87">
        <v>0.768042</v>
      </c>
      <c r="H80" s="90">
        <v>173</v>
      </c>
      <c r="I80" s="90">
        <v>423</v>
      </c>
      <c r="J80" s="86">
        <v>0.76800000000000002</v>
      </c>
    </row>
    <row r="81" spans="1:10">
      <c r="A81" s="89">
        <v>168</v>
      </c>
      <c r="B81">
        <v>423</v>
      </c>
      <c r="C81" s="86">
        <f>ROUND(F81,3)</f>
        <v>5.12</v>
      </c>
      <c r="F81" s="87">
        <v>5.1202800000000002</v>
      </c>
      <c r="H81" s="90">
        <v>168</v>
      </c>
      <c r="I81" s="90">
        <v>423</v>
      </c>
      <c r="J81" s="86">
        <v>5.12</v>
      </c>
    </row>
    <row r="82" spans="1:10">
      <c r="A82" s="89">
        <v>179</v>
      </c>
      <c r="B82">
        <v>423</v>
      </c>
      <c r="C82" s="86">
        <f>ROUND(F82,3)</f>
        <v>7.68</v>
      </c>
      <c r="F82" s="87">
        <v>7.6804199999999998</v>
      </c>
      <c r="H82" s="90">
        <v>179</v>
      </c>
      <c r="I82" s="90">
        <v>423</v>
      </c>
      <c r="J82" s="86">
        <v>7.68</v>
      </c>
    </row>
    <row r="83" spans="1:10">
      <c r="A83" s="89">
        <v>169</v>
      </c>
      <c r="B83">
        <v>423</v>
      </c>
      <c r="C83" s="86">
        <f>ROUND(F83,3)</f>
        <v>7.68</v>
      </c>
      <c r="F83" s="87">
        <v>7.6804199999999998</v>
      </c>
      <c r="H83" s="90">
        <v>169</v>
      </c>
      <c r="I83" s="90">
        <v>423</v>
      </c>
      <c r="J83" s="86">
        <v>7.68</v>
      </c>
    </row>
    <row r="84" spans="1:10">
      <c r="A84" s="89">
        <v>180</v>
      </c>
      <c r="B84">
        <v>423</v>
      </c>
      <c r="C84" s="86">
        <f>ROUND(F84,3)</f>
        <v>11.521000000000001</v>
      </c>
      <c r="F84" s="87">
        <v>11.520630000000001</v>
      </c>
      <c r="H84" s="90">
        <v>180</v>
      </c>
      <c r="I84" s="90">
        <v>423</v>
      </c>
      <c r="J84" s="86">
        <v>11.521000000000001</v>
      </c>
    </row>
    <row r="85" spans="1:10">
      <c r="A85" s="89">
        <v>170</v>
      </c>
      <c r="B85">
        <v>423</v>
      </c>
      <c r="C85" s="86">
        <f>ROUND(F85,3)</f>
        <v>10.241</v>
      </c>
      <c r="F85" s="87">
        <v>10.24056</v>
      </c>
      <c r="H85" s="90">
        <v>170</v>
      </c>
      <c r="I85" s="90">
        <v>423</v>
      </c>
      <c r="J85" s="86">
        <v>10.241</v>
      </c>
    </row>
    <row r="86" spans="1:10">
      <c r="A86" s="89">
        <v>181</v>
      </c>
      <c r="B86">
        <v>423</v>
      </c>
      <c r="C86" s="86">
        <f>ROUND(F86,3)</f>
        <v>15.361000000000001</v>
      </c>
      <c r="F86" s="87">
        <v>15.36084</v>
      </c>
      <c r="H86" s="90">
        <v>181</v>
      </c>
      <c r="I86" s="90">
        <v>423</v>
      </c>
      <c r="J86" s="86">
        <v>15.361000000000001</v>
      </c>
    </row>
    <row r="87" spans="1:10">
      <c r="A87" s="89">
        <v>163</v>
      </c>
      <c r="B87">
        <v>423</v>
      </c>
      <c r="C87" s="86">
        <f>ROUND(F87,3)</f>
        <v>1.28</v>
      </c>
      <c r="F87" s="87">
        <v>1.28007</v>
      </c>
      <c r="H87" s="90">
        <v>163</v>
      </c>
      <c r="I87" s="90">
        <v>423</v>
      </c>
      <c r="J87" s="86">
        <v>1.28</v>
      </c>
    </row>
    <row r="88" spans="1:10">
      <c r="A88" s="89">
        <v>174</v>
      </c>
      <c r="B88">
        <v>423</v>
      </c>
      <c r="C88" s="86">
        <f>ROUND(F88,3)</f>
        <v>1.92</v>
      </c>
      <c r="F88" s="87">
        <v>1.920105</v>
      </c>
      <c r="H88" s="90">
        <v>174</v>
      </c>
      <c r="I88" s="90">
        <v>423</v>
      </c>
      <c r="J88" s="86">
        <v>1.92</v>
      </c>
    </row>
    <row r="89" spans="1:10">
      <c r="A89" s="89">
        <v>171</v>
      </c>
      <c r="B89">
        <v>423</v>
      </c>
      <c r="C89" s="86">
        <f>ROUND(F89,3)</f>
        <v>12.801</v>
      </c>
      <c r="F89" s="87">
        <v>12.800700000000001</v>
      </c>
      <c r="H89" s="90">
        <v>171</v>
      </c>
      <c r="I89" s="90">
        <v>423</v>
      </c>
      <c r="J89" s="86">
        <v>12.801</v>
      </c>
    </row>
    <row r="90" spans="1:10">
      <c r="A90" s="89">
        <v>182</v>
      </c>
      <c r="B90">
        <v>423</v>
      </c>
      <c r="C90" s="86">
        <f>ROUND(F90,3)</f>
        <v>19.201000000000001</v>
      </c>
      <c r="F90" s="87">
        <v>19.201049999999999</v>
      </c>
      <c r="H90" s="90">
        <v>182</v>
      </c>
      <c r="I90" s="90">
        <v>423</v>
      </c>
      <c r="J90" s="86">
        <v>19.201000000000001</v>
      </c>
    </row>
    <row r="91" spans="1:10">
      <c r="A91" s="89">
        <v>164</v>
      </c>
      <c r="B91">
        <v>423</v>
      </c>
      <c r="C91" s="86">
        <f>ROUND(F91,3)</f>
        <v>1.792</v>
      </c>
      <c r="F91" s="87">
        <v>1.792098</v>
      </c>
      <c r="H91" s="90">
        <v>164</v>
      </c>
      <c r="I91" s="90">
        <v>423</v>
      </c>
      <c r="J91" s="86">
        <v>1.792</v>
      </c>
    </row>
    <row r="92" spans="1:10">
      <c r="A92" s="89">
        <v>175</v>
      </c>
      <c r="B92">
        <v>423</v>
      </c>
      <c r="C92" s="86">
        <f>ROUND(F92,3)</f>
        <v>2.6880000000000002</v>
      </c>
      <c r="F92" s="87">
        <v>2.6881469999999998</v>
      </c>
      <c r="H92" s="90">
        <v>175</v>
      </c>
      <c r="I92" s="90">
        <v>423</v>
      </c>
      <c r="J92" s="86">
        <v>2.6880000000000002</v>
      </c>
    </row>
    <row r="93" spans="1:10">
      <c r="A93" s="89">
        <v>172</v>
      </c>
      <c r="B93">
        <v>423</v>
      </c>
      <c r="C93" s="86">
        <f>ROUND(F93,3)</f>
        <v>20.481000000000002</v>
      </c>
      <c r="F93" s="87">
        <v>20.481120000000001</v>
      </c>
      <c r="H93" s="90">
        <v>172</v>
      </c>
      <c r="I93" s="90">
        <v>423</v>
      </c>
      <c r="J93" s="86">
        <v>20.481000000000002</v>
      </c>
    </row>
    <row r="94" spans="1:10">
      <c r="A94" s="89">
        <v>183</v>
      </c>
      <c r="B94">
        <v>423</v>
      </c>
      <c r="C94" s="86">
        <f>ROUND(F94,3)</f>
        <v>30.722000000000001</v>
      </c>
      <c r="F94" s="87">
        <v>30.721679999999999</v>
      </c>
      <c r="H94" s="90">
        <v>183</v>
      </c>
      <c r="I94" s="90">
        <v>423</v>
      </c>
      <c r="J94" s="86">
        <v>30.722000000000001</v>
      </c>
    </row>
    <row r="95" spans="1:10">
      <c r="A95" s="89">
        <v>192</v>
      </c>
      <c r="B95">
        <v>379</v>
      </c>
      <c r="C95" s="86">
        <f>ROUND(F95,3)</f>
        <v>7.508</v>
      </c>
      <c r="F95" s="87">
        <v>7.5081600000000002</v>
      </c>
      <c r="H95" s="90">
        <v>192</v>
      </c>
      <c r="I95" s="90">
        <v>379</v>
      </c>
      <c r="J95" s="86">
        <v>7.508</v>
      </c>
    </row>
    <row r="96" spans="1:10">
      <c r="A96" s="89">
        <v>192</v>
      </c>
      <c r="B96">
        <v>378</v>
      </c>
      <c r="C96" s="86">
        <f>ROUND(F96,3)</f>
        <v>2.145</v>
      </c>
      <c r="F96" s="87">
        <v>2.144736</v>
      </c>
      <c r="H96" s="90">
        <v>192</v>
      </c>
      <c r="I96" s="90">
        <v>378</v>
      </c>
      <c r="J96" s="86">
        <v>2.145</v>
      </c>
    </row>
    <row r="97" spans="1:10">
      <c r="A97" s="89">
        <v>195</v>
      </c>
      <c r="B97">
        <v>379</v>
      </c>
      <c r="C97" s="86">
        <f>ROUND(F97,3)</f>
        <v>112.622</v>
      </c>
      <c r="F97" s="87">
        <v>112.6224</v>
      </c>
      <c r="H97" s="90">
        <v>195</v>
      </c>
      <c r="I97" s="90">
        <v>379</v>
      </c>
      <c r="J97" s="86">
        <v>112.622</v>
      </c>
    </row>
    <row r="98" spans="1:10">
      <c r="A98" s="89">
        <v>195</v>
      </c>
      <c r="B98">
        <v>378</v>
      </c>
      <c r="C98" s="86">
        <f>ROUND(F98,3)</f>
        <v>32.170999999999999</v>
      </c>
      <c r="F98" s="87">
        <v>32.171039999999998</v>
      </c>
      <c r="H98" s="90">
        <v>195</v>
      </c>
      <c r="I98" s="90">
        <v>378</v>
      </c>
      <c r="J98" s="86">
        <v>32.170999999999999</v>
      </c>
    </row>
    <row r="99" spans="1:10">
      <c r="A99" s="89">
        <v>187</v>
      </c>
      <c r="B99">
        <v>379</v>
      </c>
      <c r="C99" s="86">
        <f>ROUND(F99,3)</f>
        <v>1.877</v>
      </c>
      <c r="F99" s="87">
        <v>1.87704</v>
      </c>
      <c r="H99" s="90">
        <v>187</v>
      </c>
      <c r="I99" s="90">
        <v>379</v>
      </c>
      <c r="J99" s="86">
        <v>1.877</v>
      </c>
    </row>
    <row r="100" spans="1:10">
      <c r="A100" s="89">
        <v>187</v>
      </c>
      <c r="B100">
        <v>378</v>
      </c>
      <c r="C100" s="86">
        <f>ROUND(F100,3)</f>
        <v>0.53600000000000003</v>
      </c>
      <c r="F100" s="87">
        <v>0.53618399999999999</v>
      </c>
      <c r="H100" s="90">
        <v>187</v>
      </c>
      <c r="I100" s="90">
        <v>378</v>
      </c>
      <c r="J100" s="86">
        <v>0.53600000000000003</v>
      </c>
    </row>
    <row r="101" spans="1:10">
      <c r="A101" s="89">
        <v>188</v>
      </c>
      <c r="B101">
        <v>379</v>
      </c>
      <c r="C101" s="86">
        <f>ROUND(F101,3)</f>
        <v>2.6280000000000001</v>
      </c>
      <c r="F101" s="87">
        <v>2.627856</v>
      </c>
      <c r="H101" s="90">
        <v>188</v>
      </c>
      <c r="I101" s="90">
        <v>379</v>
      </c>
      <c r="J101" s="86">
        <v>2.6280000000000001</v>
      </c>
    </row>
    <row r="102" spans="1:10">
      <c r="A102" s="89">
        <v>188</v>
      </c>
      <c r="B102">
        <v>378</v>
      </c>
      <c r="C102" s="86">
        <f>ROUND(F102,3)</f>
        <v>0.751</v>
      </c>
      <c r="F102" s="87">
        <v>0.75065760000000004</v>
      </c>
      <c r="H102" s="90">
        <v>188</v>
      </c>
      <c r="I102" s="90">
        <v>378</v>
      </c>
      <c r="J102" s="86">
        <v>0.751</v>
      </c>
    </row>
    <row r="103" spans="1:10">
      <c r="A103" s="89">
        <v>185</v>
      </c>
      <c r="B103">
        <v>379</v>
      </c>
      <c r="C103" s="86">
        <f>ROUND(F103,3)</f>
        <v>0.93899999999999995</v>
      </c>
      <c r="F103" s="87">
        <v>0.93852000000000002</v>
      </c>
      <c r="H103" s="90">
        <v>185</v>
      </c>
      <c r="I103" s="90">
        <v>379</v>
      </c>
      <c r="J103" s="86">
        <v>0.93899999999999995</v>
      </c>
    </row>
    <row r="104" spans="1:10">
      <c r="A104" s="89">
        <v>185</v>
      </c>
      <c r="B104">
        <v>378</v>
      </c>
      <c r="C104" s="86">
        <f>ROUND(F104,3)</f>
        <v>0.26800000000000002</v>
      </c>
      <c r="F104" s="87">
        <v>0.268092</v>
      </c>
      <c r="H104" s="90">
        <v>185</v>
      </c>
      <c r="I104" s="90">
        <v>378</v>
      </c>
      <c r="J104" s="86">
        <v>0.26800000000000002</v>
      </c>
    </row>
    <row r="105" spans="1:10">
      <c r="A105" s="89">
        <v>193</v>
      </c>
      <c r="B105">
        <v>379</v>
      </c>
      <c r="C105" s="86">
        <f>ROUND(F105,3)</f>
        <v>9.3849999999999998</v>
      </c>
      <c r="F105" s="87">
        <v>9.3851999999999993</v>
      </c>
      <c r="H105" s="90">
        <v>193</v>
      </c>
      <c r="I105" s="90">
        <v>379</v>
      </c>
      <c r="J105" s="86">
        <v>9.3849999999999998</v>
      </c>
    </row>
    <row r="106" spans="1:10">
      <c r="A106" s="89">
        <v>193</v>
      </c>
      <c r="B106">
        <v>378</v>
      </c>
      <c r="C106" s="86">
        <f>ROUND(F106,3)</f>
        <v>2.681</v>
      </c>
      <c r="F106" s="87">
        <v>2.68092</v>
      </c>
      <c r="H106" s="90">
        <v>193</v>
      </c>
      <c r="I106" s="90">
        <v>378</v>
      </c>
      <c r="J106" s="86">
        <v>2.681</v>
      </c>
    </row>
    <row r="107" spans="1:10">
      <c r="A107" s="89">
        <v>186</v>
      </c>
      <c r="B107">
        <v>379</v>
      </c>
      <c r="C107" s="86">
        <f>ROUND(F107,3)</f>
        <v>1.3140000000000001</v>
      </c>
      <c r="F107" s="87">
        <v>1.313928</v>
      </c>
      <c r="H107" s="90">
        <v>186</v>
      </c>
      <c r="I107" s="90">
        <v>379</v>
      </c>
      <c r="J107" s="86">
        <v>1.3140000000000001</v>
      </c>
    </row>
    <row r="108" spans="1:10">
      <c r="A108" s="89">
        <v>186</v>
      </c>
      <c r="B108">
        <v>378</v>
      </c>
      <c r="C108" s="86">
        <f>ROUND(F108,3)</f>
        <v>0.375</v>
      </c>
      <c r="F108" s="87">
        <v>0.37532880000000002</v>
      </c>
      <c r="H108" s="90">
        <v>186</v>
      </c>
      <c r="I108" s="90">
        <v>378</v>
      </c>
      <c r="J108" s="86">
        <v>0.375</v>
      </c>
    </row>
    <row r="109" spans="1:10">
      <c r="A109" s="89">
        <v>197</v>
      </c>
      <c r="B109">
        <v>379</v>
      </c>
      <c r="C109" s="86">
        <f>ROUND(F109,3)</f>
        <v>180.196</v>
      </c>
      <c r="F109" s="87">
        <v>180.19584</v>
      </c>
      <c r="H109" s="90">
        <v>197</v>
      </c>
      <c r="I109" s="90">
        <v>379</v>
      </c>
      <c r="J109" s="86">
        <v>180.196</v>
      </c>
    </row>
    <row r="110" spans="1:10">
      <c r="A110" s="89">
        <v>197</v>
      </c>
      <c r="B110">
        <v>378</v>
      </c>
      <c r="C110" s="86">
        <f>ROUND(F110,3)</f>
        <v>51.473999999999997</v>
      </c>
      <c r="F110" s="87">
        <v>51.473663999999999</v>
      </c>
      <c r="H110" s="90">
        <v>197</v>
      </c>
      <c r="I110" s="90">
        <v>378</v>
      </c>
      <c r="J110" s="86">
        <v>51.473999999999997</v>
      </c>
    </row>
    <row r="111" spans="1:10">
      <c r="A111" s="89">
        <v>196</v>
      </c>
      <c r="B111">
        <v>379</v>
      </c>
      <c r="C111" s="86">
        <f>ROUND(F111,3)</f>
        <v>150.16300000000001</v>
      </c>
      <c r="F111" s="87">
        <v>150.16319999999999</v>
      </c>
      <c r="H111" s="90">
        <v>196</v>
      </c>
      <c r="I111" s="90">
        <v>379</v>
      </c>
      <c r="J111" s="86">
        <v>150.16300000000001</v>
      </c>
    </row>
    <row r="112" spans="1:10">
      <c r="A112" s="89">
        <v>196</v>
      </c>
      <c r="B112">
        <v>378</v>
      </c>
      <c r="C112" s="86">
        <f>ROUND(F112,3)</f>
        <v>42.895000000000003</v>
      </c>
      <c r="F112" s="87">
        <v>42.89472</v>
      </c>
      <c r="H112" s="90">
        <v>196</v>
      </c>
      <c r="I112" s="90">
        <v>378</v>
      </c>
      <c r="J112" s="86">
        <v>42.895000000000003</v>
      </c>
    </row>
    <row r="113" spans="1:10">
      <c r="A113" s="89">
        <v>198</v>
      </c>
      <c r="B113">
        <v>379</v>
      </c>
      <c r="C113" s="86">
        <f>ROUND(F113,3)</f>
        <v>240.261</v>
      </c>
      <c r="F113" s="87">
        <v>240.26112000000001</v>
      </c>
      <c r="H113" s="90">
        <v>198</v>
      </c>
      <c r="I113" s="90">
        <v>379</v>
      </c>
      <c r="J113" s="86">
        <v>240.261</v>
      </c>
    </row>
    <row r="114" spans="1:10">
      <c r="A114" s="89">
        <v>198</v>
      </c>
      <c r="B114">
        <v>378</v>
      </c>
      <c r="C114" s="86">
        <f>ROUND(F114,3)</f>
        <v>68.632000000000005</v>
      </c>
      <c r="F114" s="87">
        <v>68.631551999999999</v>
      </c>
      <c r="H114" s="90">
        <v>198</v>
      </c>
      <c r="I114" s="90">
        <v>378</v>
      </c>
      <c r="J114" s="86">
        <v>68.632000000000005</v>
      </c>
    </row>
    <row r="115" spans="1:10">
      <c r="A115" s="89">
        <v>189</v>
      </c>
      <c r="B115">
        <v>379</v>
      </c>
      <c r="C115" s="86">
        <f>ROUND(F115,3)</f>
        <v>3.0030000000000001</v>
      </c>
      <c r="F115" s="87">
        <v>3.0032640000000002</v>
      </c>
      <c r="H115" s="90">
        <v>189</v>
      </c>
      <c r="I115" s="90">
        <v>379</v>
      </c>
      <c r="J115" s="86">
        <v>3.0030000000000001</v>
      </c>
    </row>
    <row r="116" spans="1:10">
      <c r="A116" s="89">
        <v>189</v>
      </c>
      <c r="B116">
        <v>378</v>
      </c>
      <c r="C116" s="86">
        <f>ROUND(F116,3)</f>
        <v>0.85799999999999998</v>
      </c>
      <c r="F116" s="87">
        <v>0.85789439999999995</v>
      </c>
      <c r="H116" s="90">
        <v>189</v>
      </c>
      <c r="I116" s="90">
        <v>378</v>
      </c>
      <c r="J116" s="86">
        <v>0.85799999999999998</v>
      </c>
    </row>
    <row r="117" spans="1:10">
      <c r="A117" s="89">
        <v>184</v>
      </c>
      <c r="B117">
        <v>379</v>
      </c>
      <c r="C117" s="86">
        <f>ROUND(F117,3)</f>
        <v>0.375</v>
      </c>
      <c r="F117" s="87">
        <v>0.37540800000000002</v>
      </c>
      <c r="H117" s="90">
        <v>184</v>
      </c>
      <c r="I117" s="90">
        <v>379</v>
      </c>
      <c r="J117" s="86">
        <v>0.375</v>
      </c>
    </row>
    <row r="118" spans="1:10">
      <c r="A118" s="89">
        <v>184</v>
      </c>
      <c r="B118">
        <v>378</v>
      </c>
      <c r="C118" s="86">
        <f>ROUND(F118,3)</f>
        <v>0.107</v>
      </c>
      <c r="F118" s="87">
        <v>0.10723679999999999</v>
      </c>
      <c r="H118" s="90">
        <v>184</v>
      </c>
      <c r="I118" s="90">
        <v>378</v>
      </c>
      <c r="J118" s="86">
        <v>0.107</v>
      </c>
    </row>
    <row r="119" spans="1:10">
      <c r="A119" s="89">
        <v>190</v>
      </c>
      <c r="B119">
        <v>379</v>
      </c>
      <c r="C119" s="86">
        <f>ROUND(F119,3)</f>
        <v>3.754</v>
      </c>
      <c r="F119" s="87">
        <v>3.7540800000000001</v>
      </c>
      <c r="H119" s="90">
        <v>190</v>
      </c>
      <c r="I119" s="90">
        <v>379</v>
      </c>
      <c r="J119" s="86">
        <v>3.754</v>
      </c>
    </row>
    <row r="120" spans="1:10">
      <c r="A120" s="89">
        <v>190</v>
      </c>
      <c r="B120">
        <v>378</v>
      </c>
      <c r="C120" s="86">
        <f>ROUND(F120,3)</f>
        <v>1.0720000000000001</v>
      </c>
      <c r="F120" s="87">
        <v>1.072368</v>
      </c>
      <c r="H120" s="90">
        <v>190</v>
      </c>
      <c r="I120" s="90">
        <v>378</v>
      </c>
      <c r="J120" s="86">
        <v>1.0720000000000001</v>
      </c>
    </row>
    <row r="121" spans="1:10">
      <c r="A121" s="89">
        <v>191</v>
      </c>
      <c r="B121">
        <v>379</v>
      </c>
      <c r="C121" s="86">
        <f>ROUND(F121,3)</f>
        <v>5.6310000000000002</v>
      </c>
      <c r="F121" s="87">
        <v>5.6311200000000001</v>
      </c>
      <c r="H121" s="90">
        <v>191</v>
      </c>
      <c r="I121" s="90">
        <v>379</v>
      </c>
      <c r="J121" s="86">
        <v>5.6310000000000002</v>
      </c>
    </row>
    <row r="122" spans="1:10">
      <c r="A122" s="89">
        <v>191</v>
      </c>
      <c r="B122">
        <v>378</v>
      </c>
      <c r="C122" s="86">
        <f>ROUND(F122,3)</f>
        <v>1.609</v>
      </c>
      <c r="F122" s="87">
        <v>1.608552</v>
      </c>
      <c r="H122" s="90">
        <v>191</v>
      </c>
      <c r="I122" s="90">
        <v>378</v>
      </c>
      <c r="J122" s="86">
        <v>1.609</v>
      </c>
    </row>
    <row r="123" spans="1:10">
      <c r="A123" s="89">
        <v>194</v>
      </c>
      <c r="B123">
        <v>379</v>
      </c>
      <c r="C123" s="86">
        <f>ROUND(F123,3)</f>
        <v>15.016</v>
      </c>
      <c r="F123" s="87">
        <v>15.01632</v>
      </c>
      <c r="H123" s="90">
        <v>194</v>
      </c>
      <c r="I123" s="90">
        <v>379</v>
      </c>
      <c r="J123" s="86">
        <v>15.016</v>
      </c>
    </row>
    <row r="124" spans="1:10">
      <c r="A124" s="89">
        <v>194</v>
      </c>
      <c r="B124">
        <v>378</v>
      </c>
      <c r="C124" s="86">
        <f>ROUND(F124,3)</f>
        <v>4.2889999999999997</v>
      </c>
      <c r="F124" s="87">
        <v>4.289472</v>
      </c>
      <c r="H124" s="90">
        <v>194</v>
      </c>
      <c r="I124" s="90">
        <v>378</v>
      </c>
      <c r="J124" s="86">
        <v>4.2889999999999997</v>
      </c>
    </row>
    <row r="125" spans="1:10">
      <c r="A125" s="89">
        <v>210</v>
      </c>
      <c r="B125">
        <v>379</v>
      </c>
      <c r="C125" s="86">
        <f>ROUND(F125,3)</f>
        <v>171.04499999999999</v>
      </c>
      <c r="F125" s="87">
        <v>171.04526999999999</v>
      </c>
      <c r="H125" s="90">
        <v>210</v>
      </c>
      <c r="I125" s="90">
        <v>379</v>
      </c>
      <c r="J125" s="86">
        <v>171.04499999999999</v>
      </c>
    </row>
    <row r="126" spans="1:10">
      <c r="A126" s="89">
        <v>210</v>
      </c>
      <c r="B126">
        <v>378</v>
      </c>
      <c r="C126" s="86">
        <f>ROUND(F126,3)</f>
        <v>48.256999999999998</v>
      </c>
      <c r="F126" s="87">
        <v>48.25656</v>
      </c>
      <c r="H126" s="90">
        <v>210</v>
      </c>
      <c r="I126" s="90">
        <v>378</v>
      </c>
      <c r="J126" s="86">
        <v>48.256999999999998</v>
      </c>
    </row>
    <row r="127" spans="1:10">
      <c r="A127" s="89">
        <v>212</v>
      </c>
      <c r="B127">
        <v>379</v>
      </c>
      <c r="C127" s="86">
        <f>ROUND(F127,3)</f>
        <v>273.67200000000003</v>
      </c>
      <c r="F127" s="87">
        <v>273.67243200000001</v>
      </c>
      <c r="H127" s="90">
        <v>212</v>
      </c>
      <c r="I127" s="90">
        <v>379</v>
      </c>
      <c r="J127" s="86">
        <v>273.67200000000003</v>
      </c>
    </row>
    <row r="128" spans="1:10">
      <c r="A128" s="89">
        <v>212</v>
      </c>
      <c r="B128">
        <v>378</v>
      </c>
      <c r="C128" s="86">
        <f>ROUND(F128,3)</f>
        <v>77.209999999999994</v>
      </c>
      <c r="F128" s="87">
        <v>77.210496000000006</v>
      </c>
      <c r="H128" s="90">
        <v>212</v>
      </c>
      <c r="I128" s="90">
        <v>378</v>
      </c>
      <c r="J128" s="86">
        <v>77.209999999999994</v>
      </c>
    </row>
    <row r="129" spans="1:10">
      <c r="A129" s="89">
        <v>211</v>
      </c>
      <c r="B129">
        <v>379</v>
      </c>
      <c r="C129" s="86">
        <f>ROUND(F129,3)</f>
        <v>228.06</v>
      </c>
      <c r="F129" s="87">
        <v>228.06036</v>
      </c>
      <c r="H129" s="90">
        <v>211</v>
      </c>
      <c r="I129" s="90">
        <v>379</v>
      </c>
      <c r="J129" s="86">
        <v>228.06</v>
      </c>
    </row>
    <row r="130" spans="1:10">
      <c r="A130" s="89">
        <v>211</v>
      </c>
      <c r="B130">
        <v>378</v>
      </c>
      <c r="C130" s="86">
        <f>ROUND(F130,3)</f>
        <v>64.341999999999999</v>
      </c>
      <c r="F130" s="87">
        <v>64.342079999999996</v>
      </c>
      <c r="H130" s="90">
        <v>211</v>
      </c>
      <c r="I130" s="90">
        <v>378</v>
      </c>
      <c r="J130" s="86">
        <v>64.341999999999999</v>
      </c>
    </row>
    <row r="131" spans="1:10">
      <c r="A131" s="89">
        <v>213</v>
      </c>
      <c r="B131">
        <v>379</v>
      </c>
      <c r="C131" s="86">
        <f>ROUND(F131,3)</f>
        <v>364.89699999999999</v>
      </c>
      <c r="F131" s="87">
        <v>364.89657599999998</v>
      </c>
      <c r="H131" s="90">
        <v>213</v>
      </c>
      <c r="I131" s="90">
        <v>379</v>
      </c>
      <c r="J131" s="86">
        <v>364.89699999999999</v>
      </c>
    </row>
    <row r="132" spans="1:10">
      <c r="A132" s="89">
        <v>213</v>
      </c>
      <c r="B132">
        <v>378</v>
      </c>
      <c r="C132" s="86">
        <f>ROUND(F132,3)</f>
        <v>102.947</v>
      </c>
      <c r="F132" s="87">
        <v>102.947328</v>
      </c>
      <c r="H132" s="90">
        <v>213</v>
      </c>
      <c r="I132" s="90">
        <v>378</v>
      </c>
      <c r="J132" s="86">
        <v>102.947</v>
      </c>
    </row>
    <row r="133" spans="1:10">
      <c r="A133" s="89">
        <v>202</v>
      </c>
      <c r="B133">
        <v>379</v>
      </c>
      <c r="C133" s="86">
        <f>ROUND(F133,3)</f>
        <v>2.851</v>
      </c>
      <c r="F133" s="87">
        <v>2.8507544999999999</v>
      </c>
      <c r="H133" s="90">
        <v>202</v>
      </c>
      <c r="I133" s="90">
        <v>379</v>
      </c>
      <c r="J133" s="86">
        <v>2.851</v>
      </c>
    </row>
    <row r="134" spans="1:10">
      <c r="A134" s="89">
        <v>202</v>
      </c>
      <c r="B134">
        <v>378</v>
      </c>
      <c r="C134" s="86">
        <f>ROUND(F134,3)</f>
        <v>0.80400000000000005</v>
      </c>
      <c r="F134" s="87">
        <v>0.80427599999999999</v>
      </c>
      <c r="H134" s="90">
        <v>202</v>
      </c>
      <c r="I134" s="90">
        <v>378</v>
      </c>
      <c r="J134" s="86">
        <v>0.80400000000000005</v>
      </c>
    </row>
    <row r="135" spans="1:10">
      <c r="A135" s="89">
        <v>203</v>
      </c>
      <c r="B135">
        <v>379</v>
      </c>
      <c r="C135" s="86">
        <f>ROUND(F135,3)</f>
        <v>3.9910000000000001</v>
      </c>
      <c r="F135" s="87">
        <v>3.9910562999999999</v>
      </c>
      <c r="H135" s="90">
        <v>203</v>
      </c>
      <c r="I135" s="90">
        <v>379</v>
      </c>
      <c r="J135" s="86">
        <v>3.9910000000000001</v>
      </c>
    </row>
    <row r="136" spans="1:10">
      <c r="A136" s="89">
        <v>203</v>
      </c>
      <c r="B136">
        <v>378</v>
      </c>
      <c r="C136" s="86">
        <f>ROUND(F136,3)</f>
        <v>1.1259999999999999</v>
      </c>
      <c r="F136" s="87">
        <v>1.1259863999999999</v>
      </c>
      <c r="H136" s="90">
        <v>203</v>
      </c>
      <c r="I136" s="90">
        <v>378</v>
      </c>
      <c r="J136" s="86">
        <v>1.1259999999999999</v>
      </c>
    </row>
    <row r="137" spans="1:10">
      <c r="A137" s="89">
        <v>204</v>
      </c>
      <c r="B137">
        <v>379</v>
      </c>
      <c r="C137" s="86">
        <f>ROUND(F137,3)</f>
        <v>4.5609999999999999</v>
      </c>
      <c r="F137" s="87">
        <v>4.5612072000000001</v>
      </c>
      <c r="H137" s="90">
        <v>204</v>
      </c>
      <c r="I137" s="90">
        <v>379</v>
      </c>
      <c r="J137" s="86">
        <v>4.5609999999999999</v>
      </c>
    </row>
    <row r="138" spans="1:10">
      <c r="A138" s="89">
        <v>204</v>
      </c>
      <c r="B138">
        <v>378</v>
      </c>
      <c r="C138" s="86">
        <f>ROUND(F138,3)</f>
        <v>1.2869999999999999</v>
      </c>
      <c r="F138" s="87">
        <v>1.2868416</v>
      </c>
      <c r="H138" s="90">
        <v>204</v>
      </c>
      <c r="I138" s="90">
        <v>378</v>
      </c>
      <c r="J138" s="86">
        <v>1.2869999999999999</v>
      </c>
    </row>
    <row r="139" spans="1:10">
      <c r="A139" s="89">
        <v>199</v>
      </c>
      <c r="B139">
        <v>379</v>
      </c>
      <c r="C139" s="86">
        <f>ROUND(F139,3)</f>
        <v>0.56999999999999995</v>
      </c>
      <c r="F139" s="87">
        <v>0.57015090000000002</v>
      </c>
      <c r="H139" s="90">
        <v>199</v>
      </c>
      <c r="I139" s="90">
        <v>379</v>
      </c>
      <c r="J139" s="86">
        <v>0.56999999999999995</v>
      </c>
    </row>
    <row r="140" spans="1:10">
      <c r="A140" s="89">
        <v>199</v>
      </c>
      <c r="B140">
        <v>378</v>
      </c>
      <c r="C140" s="86">
        <f>ROUND(F140,3)</f>
        <v>0.161</v>
      </c>
      <c r="F140" s="87">
        <v>0.1608552</v>
      </c>
      <c r="H140" s="90">
        <v>199</v>
      </c>
      <c r="I140" s="90">
        <v>378</v>
      </c>
      <c r="J140" s="86">
        <v>0.161</v>
      </c>
    </row>
    <row r="141" spans="1:10">
      <c r="A141" s="89">
        <v>205</v>
      </c>
      <c r="B141">
        <v>379</v>
      </c>
      <c r="C141" s="86">
        <f>ROUND(F141,3)</f>
        <v>5.702</v>
      </c>
      <c r="F141" s="87">
        <v>5.7015089999999997</v>
      </c>
      <c r="H141" s="90">
        <v>205</v>
      </c>
      <c r="I141" s="90">
        <v>379</v>
      </c>
      <c r="J141" s="86">
        <v>5.702</v>
      </c>
    </row>
    <row r="142" spans="1:10">
      <c r="A142" s="89">
        <v>205</v>
      </c>
      <c r="B142">
        <v>378</v>
      </c>
      <c r="C142" s="86">
        <f>ROUND(F142,3)</f>
        <v>1.609</v>
      </c>
      <c r="F142" s="87">
        <v>1.608552</v>
      </c>
      <c r="H142" s="90">
        <v>205</v>
      </c>
      <c r="I142" s="90">
        <v>378</v>
      </c>
      <c r="J142" s="86">
        <v>1.609</v>
      </c>
    </row>
    <row r="143" spans="1:10">
      <c r="A143" s="89">
        <v>206</v>
      </c>
      <c r="B143">
        <v>379</v>
      </c>
      <c r="C143" s="86">
        <f>ROUND(F143,3)</f>
        <v>8.5519999999999996</v>
      </c>
      <c r="F143" s="87">
        <v>8.5522635000000005</v>
      </c>
      <c r="H143" s="90">
        <v>206</v>
      </c>
      <c r="I143" s="90">
        <v>379</v>
      </c>
      <c r="J143" s="86">
        <v>8.5519999999999996</v>
      </c>
    </row>
    <row r="144" spans="1:10">
      <c r="A144" s="89">
        <v>206</v>
      </c>
      <c r="B144">
        <v>378</v>
      </c>
      <c r="C144" s="86">
        <f>ROUND(F144,3)</f>
        <v>2.4129999999999998</v>
      </c>
      <c r="F144" s="87">
        <v>2.4128280000000002</v>
      </c>
      <c r="H144" s="90">
        <v>206</v>
      </c>
      <c r="I144" s="90">
        <v>378</v>
      </c>
      <c r="J144" s="86">
        <v>2.4129999999999998</v>
      </c>
    </row>
    <row r="145" spans="1:10">
      <c r="A145" s="89">
        <v>207</v>
      </c>
      <c r="B145">
        <v>379</v>
      </c>
      <c r="C145" s="86">
        <f>ROUND(F145,3)</f>
        <v>11.403</v>
      </c>
      <c r="F145" s="87">
        <v>11.403017999999999</v>
      </c>
      <c r="H145" s="90">
        <v>207</v>
      </c>
      <c r="I145" s="90">
        <v>379</v>
      </c>
      <c r="J145" s="86">
        <v>11.403</v>
      </c>
    </row>
    <row r="146" spans="1:10">
      <c r="A146" s="89">
        <v>207</v>
      </c>
      <c r="B146">
        <v>378</v>
      </c>
      <c r="C146" s="86">
        <f>ROUND(F146,3)</f>
        <v>3.2170000000000001</v>
      </c>
      <c r="F146" s="87">
        <v>3.217104</v>
      </c>
      <c r="H146" s="90">
        <v>207</v>
      </c>
      <c r="I146" s="90">
        <v>378</v>
      </c>
      <c r="J146" s="86">
        <v>3.2170000000000001</v>
      </c>
    </row>
    <row r="147" spans="1:10">
      <c r="A147" s="89">
        <v>200</v>
      </c>
      <c r="B147">
        <v>379</v>
      </c>
      <c r="C147" s="86">
        <f>ROUND(F147,3)</f>
        <v>1.425</v>
      </c>
      <c r="F147" s="87">
        <v>1.4253772499999999</v>
      </c>
      <c r="H147" s="90">
        <v>200</v>
      </c>
      <c r="I147" s="90">
        <v>379</v>
      </c>
      <c r="J147" s="86">
        <v>1.425</v>
      </c>
    </row>
    <row r="148" spans="1:10">
      <c r="A148" s="89">
        <v>200</v>
      </c>
      <c r="B148">
        <v>378</v>
      </c>
      <c r="C148" s="86">
        <f>ROUND(F148,3)</f>
        <v>0.40200000000000002</v>
      </c>
      <c r="F148" s="87">
        <v>0.402138</v>
      </c>
      <c r="H148" s="90">
        <v>200</v>
      </c>
      <c r="I148" s="90">
        <v>378</v>
      </c>
      <c r="J148" s="86">
        <v>0.40200000000000002</v>
      </c>
    </row>
    <row r="149" spans="1:10">
      <c r="A149" s="89">
        <v>208</v>
      </c>
      <c r="B149">
        <v>379</v>
      </c>
      <c r="C149" s="86">
        <f>ROUND(F149,3)</f>
        <v>14.254</v>
      </c>
      <c r="F149" s="87">
        <v>14.2537725</v>
      </c>
      <c r="H149" s="90">
        <v>208</v>
      </c>
      <c r="I149" s="90">
        <v>379</v>
      </c>
      <c r="J149" s="86">
        <v>14.254</v>
      </c>
    </row>
    <row r="150" spans="1:10">
      <c r="A150" s="89">
        <v>208</v>
      </c>
      <c r="B150">
        <v>378</v>
      </c>
      <c r="C150" s="86">
        <f>ROUND(F150,3)</f>
        <v>4.0209999999999999</v>
      </c>
      <c r="F150" s="87">
        <v>4.0213799999999997</v>
      </c>
      <c r="H150" s="90">
        <v>208</v>
      </c>
      <c r="I150" s="90">
        <v>378</v>
      </c>
      <c r="J150" s="86">
        <v>4.0209999999999999</v>
      </c>
    </row>
    <row r="151" spans="1:10">
      <c r="A151" s="89">
        <v>201</v>
      </c>
      <c r="B151">
        <v>379</v>
      </c>
      <c r="C151" s="86">
        <f>ROUND(F151,3)</f>
        <v>1.996</v>
      </c>
      <c r="F151" s="87">
        <v>1.9955281499999999</v>
      </c>
      <c r="H151" s="90">
        <v>201</v>
      </c>
      <c r="I151" s="90">
        <v>379</v>
      </c>
      <c r="J151" s="86">
        <v>1.996</v>
      </c>
    </row>
    <row r="152" spans="1:10">
      <c r="A152" s="89">
        <v>201</v>
      </c>
      <c r="B152">
        <v>378</v>
      </c>
      <c r="C152" s="86">
        <f>ROUND(F152,3)</f>
        <v>0.56299999999999994</v>
      </c>
      <c r="F152" s="87">
        <v>0.56299319999999997</v>
      </c>
      <c r="H152" s="90">
        <v>201</v>
      </c>
      <c r="I152" s="90">
        <v>378</v>
      </c>
      <c r="J152" s="86">
        <v>0.56299999999999994</v>
      </c>
    </row>
    <row r="153" spans="1:10">
      <c r="A153" s="89">
        <v>209</v>
      </c>
      <c r="B153">
        <v>379</v>
      </c>
      <c r="C153" s="86">
        <f>ROUND(F153,3)</f>
        <v>22.806000000000001</v>
      </c>
      <c r="F153" s="87">
        <v>22.806035999999999</v>
      </c>
      <c r="H153" s="90">
        <v>209</v>
      </c>
      <c r="I153" s="90">
        <v>379</v>
      </c>
      <c r="J153" s="86">
        <v>22.806000000000001</v>
      </c>
    </row>
    <row r="154" spans="1:10">
      <c r="A154" s="89">
        <v>209</v>
      </c>
      <c r="B154">
        <v>378</v>
      </c>
      <c r="C154" s="86">
        <f>ROUND(F154,3)</f>
        <v>6.4340000000000002</v>
      </c>
      <c r="F154" s="87">
        <v>6.4342079999999999</v>
      </c>
      <c r="H154" s="90">
        <v>209</v>
      </c>
      <c r="I154" s="90">
        <v>378</v>
      </c>
      <c r="J154" s="86">
        <v>6.4340000000000002</v>
      </c>
    </row>
    <row r="155" spans="1:10">
      <c r="A155" s="89">
        <v>319</v>
      </c>
      <c r="B155">
        <v>377</v>
      </c>
      <c r="C155" s="86">
        <f>ROUND(F155,3)</f>
        <v>1.597</v>
      </c>
      <c r="F155" s="87">
        <v>1.5970500000000001</v>
      </c>
      <c r="H155" s="90">
        <v>319</v>
      </c>
      <c r="I155" s="90">
        <v>377</v>
      </c>
      <c r="J155" s="86">
        <v>1.597</v>
      </c>
    </row>
    <row r="156" spans="1:10">
      <c r="A156" s="89">
        <v>319</v>
      </c>
      <c r="B156">
        <v>422</v>
      </c>
      <c r="C156" s="86">
        <f>ROUND(F156,3)</f>
        <v>6.9000000000000006E-2</v>
      </c>
      <c r="F156" s="87">
        <v>6.8985000000000005E-2</v>
      </c>
      <c r="H156" s="90">
        <v>319</v>
      </c>
      <c r="I156" s="90">
        <v>422</v>
      </c>
      <c r="J156" s="86">
        <v>6.9000000000000006E-2</v>
      </c>
    </row>
    <row r="157" spans="1:10">
      <c r="A157" s="89">
        <v>321</v>
      </c>
      <c r="B157">
        <v>377</v>
      </c>
      <c r="C157" s="86">
        <f>ROUND(F157,3)</f>
        <v>3.194</v>
      </c>
      <c r="F157" s="87">
        <v>3.1941000000000002</v>
      </c>
      <c r="H157" s="90">
        <v>321</v>
      </c>
      <c r="I157" s="90">
        <v>377</v>
      </c>
      <c r="J157" s="86">
        <v>3.194</v>
      </c>
    </row>
    <row r="158" spans="1:10">
      <c r="A158" s="89">
        <v>321</v>
      </c>
      <c r="B158">
        <v>422</v>
      </c>
      <c r="C158" s="86">
        <f>ROUND(F158,3)</f>
        <v>0.13800000000000001</v>
      </c>
      <c r="F158" s="87">
        <v>0.13797000000000001</v>
      </c>
      <c r="H158" s="90">
        <v>321</v>
      </c>
      <c r="I158" s="90">
        <v>422</v>
      </c>
      <c r="J158" s="86">
        <v>0.13800000000000001</v>
      </c>
    </row>
    <row r="159" spans="1:10">
      <c r="A159" s="89">
        <v>329</v>
      </c>
      <c r="B159">
        <v>377</v>
      </c>
      <c r="C159" s="86">
        <f>ROUND(F159,3)</f>
        <v>4.7910000000000004</v>
      </c>
      <c r="F159" s="87">
        <v>4.79115</v>
      </c>
      <c r="H159" s="90">
        <v>329</v>
      </c>
      <c r="I159" s="90">
        <v>377</v>
      </c>
      <c r="J159" s="86">
        <v>4.7910000000000004</v>
      </c>
    </row>
    <row r="160" spans="1:10">
      <c r="A160" s="89">
        <v>329</v>
      </c>
      <c r="B160">
        <v>422</v>
      </c>
      <c r="C160" s="86">
        <f>ROUND(F160,3)</f>
        <v>0.20699999999999999</v>
      </c>
      <c r="F160" s="87">
        <v>0.206955</v>
      </c>
      <c r="H160" s="90">
        <v>329</v>
      </c>
      <c r="I160" s="90">
        <v>422</v>
      </c>
      <c r="J160" s="86">
        <v>0.20699999999999999</v>
      </c>
    </row>
    <row r="161" spans="1:10">
      <c r="A161" s="89">
        <v>322</v>
      </c>
      <c r="B161">
        <v>377</v>
      </c>
      <c r="C161" s="86">
        <f>ROUND(F161,3)</f>
        <v>4.4720000000000004</v>
      </c>
      <c r="F161" s="87">
        <v>4.4717399999999996</v>
      </c>
      <c r="H161" s="90">
        <v>322</v>
      </c>
      <c r="I161" s="90">
        <v>377</v>
      </c>
      <c r="J161" s="86">
        <v>4.4720000000000004</v>
      </c>
    </row>
    <row r="162" spans="1:10">
      <c r="A162" s="89">
        <v>322</v>
      </c>
      <c r="B162">
        <v>422</v>
      </c>
      <c r="C162" s="86">
        <f>ROUND(F162,3)</f>
        <v>0.193</v>
      </c>
      <c r="F162" s="87">
        <v>0.193158</v>
      </c>
      <c r="H162" s="90">
        <v>322</v>
      </c>
      <c r="I162" s="90">
        <v>422</v>
      </c>
      <c r="J162" s="86">
        <v>0.193</v>
      </c>
    </row>
    <row r="163" spans="1:10">
      <c r="A163" s="89">
        <v>330</v>
      </c>
      <c r="B163">
        <v>377</v>
      </c>
      <c r="C163" s="86">
        <f>ROUND(F163,3)</f>
        <v>6.7080000000000002</v>
      </c>
      <c r="F163" s="87">
        <v>6.7076099999999999</v>
      </c>
      <c r="H163" s="90">
        <v>330</v>
      </c>
      <c r="I163" s="90">
        <v>377</v>
      </c>
      <c r="J163" s="86">
        <v>6.7080000000000002</v>
      </c>
    </row>
    <row r="164" spans="1:10">
      <c r="A164" s="89">
        <v>330</v>
      </c>
      <c r="B164">
        <v>422</v>
      </c>
      <c r="C164" s="86">
        <f>ROUND(F164,3)</f>
        <v>0.28999999999999998</v>
      </c>
      <c r="F164" s="87">
        <v>0.28973700000000002</v>
      </c>
      <c r="H164" s="90">
        <v>330</v>
      </c>
      <c r="I164" s="90">
        <v>422</v>
      </c>
      <c r="J164" s="86">
        <v>0.28999999999999998</v>
      </c>
    </row>
    <row r="165" spans="1:10">
      <c r="A165" s="89">
        <v>323</v>
      </c>
      <c r="B165">
        <v>377</v>
      </c>
      <c r="C165" s="86">
        <f>ROUND(F165,3)</f>
        <v>6.3879999999999999</v>
      </c>
      <c r="F165" s="87">
        <v>6.3882000000000003</v>
      </c>
      <c r="H165" s="90">
        <v>323</v>
      </c>
      <c r="I165" s="90">
        <v>377</v>
      </c>
      <c r="J165" s="86">
        <v>6.3879999999999999</v>
      </c>
    </row>
    <row r="166" spans="1:10">
      <c r="A166" s="89">
        <v>323</v>
      </c>
      <c r="B166">
        <v>422</v>
      </c>
      <c r="C166" s="86">
        <f>ROUND(F166,3)</f>
        <v>0.27600000000000002</v>
      </c>
      <c r="F166" s="87">
        <v>0.27594000000000002</v>
      </c>
      <c r="H166" s="90">
        <v>323</v>
      </c>
      <c r="I166" s="90">
        <v>422</v>
      </c>
      <c r="J166" s="86">
        <v>0.27600000000000002</v>
      </c>
    </row>
    <row r="167" spans="1:10">
      <c r="A167" s="89">
        <v>331</v>
      </c>
      <c r="B167">
        <v>377</v>
      </c>
      <c r="C167" s="86">
        <f>ROUND(F167,3)</f>
        <v>9.5820000000000007</v>
      </c>
      <c r="F167" s="87">
        <v>9.5823</v>
      </c>
      <c r="H167" s="90">
        <v>331</v>
      </c>
      <c r="I167" s="90">
        <v>377</v>
      </c>
      <c r="J167" s="86">
        <v>9.5820000000000007</v>
      </c>
    </row>
    <row r="168" spans="1:10">
      <c r="A168" s="89">
        <v>331</v>
      </c>
      <c r="B168">
        <v>422</v>
      </c>
      <c r="C168" s="86">
        <f>ROUND(F168,3)</f>
        <v>0.41399999999999998</v>
      </c>
      <c r="F168" s="87">
        <v>0.41391</v>
      </c>
      <c r="H168" s="90">
        <v>331</v>
      </c>
      <c r="I168" s="90">
        <v>422</v>
      </c>
      <c r="J168" s="86">
        <v>0.41399999999999998</v>
      </c>
    </row>
    <row r="169" spans="1:10">
      <c r="A169" s="89">
        <v>324</v>
      </c>
      <c r="B169">
        <v>377</v>
      </c>
      <c r="C169" s="86">
        <f>ROUND(F169,3)</f>
        <v>9.5820000000000007</v>
      </c>
      <c r="F169" s="87">
        <v>9.5823</v>
      </c>
      <c r="H169" s="90">
        <v>324</v>
      </c>
      <c r="I169" s="90">
        <v>377</v>
      </c>
      <c r="J169" s="86">
        <v>9.5820000000000007</v>
      </c>
    </row>
    <row r="170" spans="1:10">
      <c r="A170" s="89">
        <v>324</v>
      </c>
      <c r="B170">
        <v>422</v>
      </c>
      <c r="C170" s="86">
        <f>ROUND(F170,3)</f>
        <v>0.41399999999999998</v>
      </c>
      <c r="F170" s="87">
        <v>0.41391</v>
      </c>
      <c r="H170" s="90">
        <v>324</v>
      </c>
      <c r="I170" s="90">
        <v>422</v>
      </c>
      <c r="J170" s="86">
        <v>0.41399999999999998</v>
      </c>
    </row>
    <row r="171" spans="1:10">
      <c r="A171" s="89">
        <v>332</v>
      </c>
      <c r="B171">
        <v>377</v>
      </c>
      <c r="C171" s="86">
        <f>ROUND(F171,3)</f>
        <v>14.372999999999999</v>
      </c>
      <c r="F171" s="87">
        <v>14.37345</v>
      </c>
      <c r="H171" s="90">
        <v>332</v>
      </c>
      <c r="I171" s="90">
        <v>377</v>
      </c>
      <c r="J171" s="86">
        <v>14.372999999999999</v>
      </c>
    </row>
    <row r="172" spans="1:10">
      <c r="A172" s="89">
        <v>332</v>
      </c>
      <c r="B172">
        <v>422</v>
      </c>
      <c r="C172" s="86">
        <f>ROUND(F172,3)</f>
        <v>0.621</v>
      </c>
      <c r="F172" s="87">
        <v>0.620865</v>
      </c>
      <c r="H172" s="90">
        <v>332</v>
      </c>
      <c r="I172" s="90">
        <v>422</v>
      </c>
      <c r="J172" s="86">
        <v>0.621</v>
      </c>
    </row>
    <row r="173" spans="1:10">
      <c r="A173" s="89">
        <v>325</v>
      </c>
      <c r="B173">
        <v>377</v>
      </c>
      <c r="C173" s="86">
        <f>ROUND(F173,3)</f>
        <v>12.776</v>
      </c>
      <c r="F173" s="87">
        <v>12.776400000000001</v>
      </c>
      <c r="H173" s="90">
        <v>325</v>
      </c>
      <c r="I173" s="90">
        <v>377</v>
      </c>
      <c r="J173" s="86">
        <v>12.776</v>
      </c>
    </row>
    <row r="174" spans="1:10">
      <c r="A174" s="89">
        <v>325</v>
      </c>
      <c r="B174">
        <v>422</v>
      </c>
      <c r="C174" s="86">
        <f>ROUND(F174,3)</f>
        <v>0.55200000000000005</v>
      </c>
      <c r="F174" s="87">
        <v>0.55188000000000004</v>
      </c>
      <c r="H174" s="90">
        <v>325</v>
      </c>
      <c r="I174" s="90">
        <v>422</v>
      </c>
      <c r="J174" s="86">
        <v>0.55200000000000005</v>
      </c>
    </row>
    <row r="175" spans="1:10">
      <c r="A175" s="89">
        <v>333</v>
      </c>
      <c r="B175">
        <v>377</v>
      </c>
      <c r="C175" s="86">
        <f>ROUND(F175,3)</f>
        <v>19.164999999999999</v>
      </c>
      <c r="F175" s="87">
        <v>19.1646</v>
      </c>
      <c r="H175" s="90">
        <v>333</v>
      </c>
      <c r="I175" s="90">
        <v>377</v>
      </c>
      <c r="J175" s="86">
        <v>19.164999999999999</v>
      </c>
    </row>
    <row r="176" spans="1:10">
      <c r="A176" s="89">
        <v>333</v>
      </c>
      <c r="B176">
        <v>422</v>
      </c>
      <c r="C176" s="86">
        <f>ROUND(F176,3)</f>
        <v>0.82799999999999996</v>
      </c>
      <c r="F176" s="87">
        <v>0.82782</v>
      </c>
      <c r="H176" s="90">
        <v>333</v>
      </c>
      <c r="I176" s="90">
        <v>422</v>
      </c>
      <c r="J176" s="86">
        <v>0.82799999999999996</v>
      </c>
    </row>
    <row r="177" spans="1:10">
      <c r="A177" s="89">
        <v>327</v>
      </c>
      <c r="B177">
        <v>377</v>
      </c>
      <c r="C177" s="86">
        <f>ROUND(F177,3)</f>
        <v>2.3959999999999999</v>
      </c>
      <c r="F177" s="87">
        <v>2.395575</v>
      </c>
      <c r="H177" s="90">
        <v>327</v>
      </c>
      <c r="I177" s="90">
        <v>377</v>
      </c>
      <c r="J177" s="86">
        <v>2.3959999999999999</v>
      </c>
    </row>
    <row r="178" spans="1:10">
      <c r="A178" s="89">
        <v>327</v>
      </c>
      <c r="B178">
        <v>422</v>
      </c>
      <c r="C178" s="86">
        <f>ROUND(F178,3)</f>
        <v>0.10299999999999999</v>
      </c>
      <c r="F178" s="87">
        <v>0.1034775</v>
      </c>
      <c r="H178" s="90">
        <v>327</v>
      </c>
      <c r="I178" s="90">
        <v>422</v>
      </c>
      <c r="J178" s="86">
        <v>0.10299999999999999</v>
      </c>
    </row>
    <row r="179" spans="1:10">
      <c r="A179" s="89">
        <v>326</v>
      </c>
      <c r="B179">
        <v>377</v>
      </c>
      <c r="C179" s="86">
        <f>ROUND(F179,3)</f>
        <v>15.971</v>
      </c>
      <c r="F179" s="87">
        <v>15.970499999999999</v>
      </c>
      <c r="H179" s="90">
        <v>326</v>
      </c>
      <c r="I179" s="90">
        <v>377</v>
      </c>
      <c r="J179" s="86">
        <v>15.971</v>
      </c>
    </row>
    <row r="180" spans="1:10">
      <c r="A180" s="89">
        <v>326</v>
      </c>
      <c r="B180">
        <v>422</v>
      </c>
      <c r="C180" s="86">
        <f>ROUND(F180,3)</f>
        <v>0.69</v>
      </c>
      <c r="F180" s="87">
        <v>0.68984999999999996</v>
      </c>
      <c r="H180" s="90">
        <v>326</v>
      </c>
      <c r="I180" s="90">
        <v>422</v>
      </c>
      <c r="J180" s="86">
        <v>0.69</v>
      </c>
    </row>
    <row r="181" spans="1:10">
      <c r="A181" s="89">
        <v>334</v>
      </c>
      <c r="B181">
        <v>377</v>
      </c>
      <c r="C181" s="86">
        <f>ROUND(F181,3)</f>
        <v>23.956</v>
      </c>
      <c r="F181" s="87">
        <v>23.955749999999998</v>
      </c>
      <c r="H181" s="90">
        <v>334</v>
      </c>
      <c r="I181" s="90">
        <v>377</v>
      </c>
      <c r="J181" s="86">
        <v>23.956</v>
      </c>
    </row>
    <row r="182" spans="1:10">
      <c r="A182" s="89">
        <v>334</v>
      </c>
      <c r="B182">
        <v>422</v>
      </c>
      <c r="C182" s="86">
        <f>ROUND(F182,3)</f>
        <v>1.0349999999999999</v>
      </c>
      <c r="F182" s="87">
        <v>1.034775</v>
      </c>
      <c r="H182" s="90">
        <v>334</v>
      </c>
      <c r="I182" s="90">
        <v>422</v>
      </c>
      <c r="J182" s="86">
        <v>1.0349999999999999</v>
      </c>
    </row>
    <row r="183" spans="1:10">
      <c r="A183" s="89">
        <v>320</v>
      </c>
      <c r="B183">
        <v>377</v>
      </c>
      <c r="C183" s="86">
        <f>ROUND(F183,3)</f>
        <v>2.2360000000000002</v>
      </c>
      <c r="F183" s="87">
        <v>2.2358699999999998</v>
      </c>
      <c r="H183" s="90">
        <v>320</v>
      </c>
      <c r="I183" s="90">
        <v>377</v>
      </c>
      <c r="J183" s="86">
        <v>2.2360000000000002</v>
      </c>
    </row>
    <row r="184" spans="1:10">
      <c r="A184" s="89">
        <v>320</v>
      </c>
      <c r="B184">
        <v>422</v>
      </c>
      <c r="C184" s="86">
        <f>ROUND(F184,3)</f>
        <v>9.7000000000000003E-2</v>
      </c>
      <c r="F184" s="87">
        <v>9.6578999999999998E-2</v>
      </c>
      <c r="H184" s="90">
        <v>320</v>
      </c>
      <c r="I184" s="90">
        <v>422</v>
      </c>
      <c r="J184" s="86">
        <v>9.7000000000000003E-2</v>
      </c>
    </row>
    <row r="185" spans="1:10">
      <c r="A185" s="89">
        <v>328</v>
      </c>
      <c r="B185">
        <v>377</v>
      </c>
      <c r="C185" s="86">
        <f>ROUND(F185,3)</f>
        <v>3.3540000000000001</v>
      </c>
      <c r="F185" s="87">
        <v>3.3538049999999999</v>
      </c>
      <c r="H185" s="90">
        <v>328</v>
      </c>
      <c r="I185" s="90">
        <v>377</v>
      </c>
      <c r="J185" s="86">
        <v>3.3540000000000001</v>
      </c>
    </row>
    <row r="186" spans="1:10">
      <c r="A186" s="89">
        <v>328</v>
      </c>
      <c r="B186">
        <v>422</v>
      </c>
      <c r="C186" s="86">
        <f>ROUND(F186,3)</f>
        <v>0.14499999999999999</v>
      </c>
      <c r="F186" s="87">
        <v>0.14486850000000001</v>
      </c>
      <c r="H186" s="90">
        <v>328</v>
      </c>
      <c r="I186" s="90">
        <v>422</v>
      </c>
      <c r="J186" s="86">
        <v>0.14499999999999999</v>
      </c>
    </row>
    <row r="187" spans="1:10">
      <c r="A187" s="89">
        <v>53</v>
      </c>
      <c r="B187">
        <v>377</v>
      </c>
      <c r="C187" s="86">
        <f>ROUND(F187,3)</f>
        <v>212.94</v>
      </c>
      <c r="F187" s="87">
        <v>212.94</v>
      </c>
      <c r="H187" s="90">
        <v>53</v>
      </c>
      <c r="I187" s="90">
        <v>377</v>
      </c>
      <c r="J187" s="86">
        <v>212.94</v>
      </c>
    </row>
    <row r="188" spans="1:10">
      <c r="A188" s="89">
        <v>68</v>
      </c>
      <c r="B188">
        <v>377</v>
      </c>
      <c r="C188" s="86">
        <f>ROUND(F188,3)</f>
        <v>319.41000000000003</v>
      </c>
      <c r="F188" s="87">
        <v>319.41000000000003</v>
      </c>
      <c r="H188" s="90">
        <v>68</v>
      </c>
      <c r="I188" s="90">
        <v>377</v>
      </c>
      <c r="J188" s="86">
        <v>319.41000000000003</v>
      </c>
    </row>
    <row r="189" spans="1:10">
      <c r="A189" s="89">
        <v>55</v>
      </c>
      <c r="B189">
        <v>377</v>
      </c>
      <c r="C189" s="86">
        <f>ROUND(F189,3)</f>
        <v>340.70400000000001</v>
      </c>
      <c r="F189" s="87">
        <v>340.70400000000001</v>
      </c>
      <c r="H189" s="90">
        <v>55</v>
      </c>
      <c r="I189" s="90">
        <v>377</v>
      </c>
      <c r="J189" s="86">
        <v>340.70400000000001</v>
      </c>
    </row>
    <row r="190" spans="1:10">
      <c r="A190" s="89">
        <v>70</v>
      </c>
      <c r="B190">
        <v>377</v>
      </c>
      <c r="C190" s="86">
        <f>ROUND(F190,3)</f>
        <v>511.05599999999998</v>
      </c>
      <c r="F190" s="87">
        <v>511.05599999999998</v>
      </c>
      <c r="H190" s="90">
        <v>70</v>
      </c>
      <c r="I190" s="90">
        <v>377</v>
      </c>
      <c r="J190" s="86">
        <v>511.05599999999998</v>
      </c>
    </row>
    <row r="191" spans="1:10">
      <c r="A191" s="89">
        <v>54</v>
      </c>
      <c r="B191">
        <v>377</v>
      </c>
      <c r="C191" s="86">
        <f>ROUND(F191,3)</f>
        <v>283.92</v>
      </c>
      <c r="F191" s="87">
        <v>283.92</v>
      </c>
      <c r="H191" s="90">
        <v>54</v>
      </c>
      <c r="I191" s="90">
        <v>377</v>
      </c>
      <c r="J191" s="86">
        <v>283.92</v>
      </c>
    </row>
    <row r="192" spans="1:10">
      <c r="A192" s="89">
        <v>69</v>
      </c>
      <c r="B192">
        <v>377</v>
      </c>
      <c r="C192" s="86">
        <f>ROUND(F192,3)</f>
        <v>425.88</v>
      </c>
      <c r="F192" s="87">
        <v>425.88</v>
      </c>
      <c r="H192" s="90">
        <v>69</v>
      </c>
      <c r="I192" s="90">
        <v>377</v>
      </c>
      <c r="J192" s="86">
        <v>425.88</v>
      </c>
    </row>
    <row r="193" spans="1:10">
      <c r="A193" s="89">
        <v>56</v>
      </c>
      <c r="B193">
        <v>377</v>
      </c>
      <c r="C193" s="86">
        <f>ROUND(F193,3)</f>
        <v>454.27199999999999</v>
      </c>
      <c r="F193" s="87">
        <v>454.27199999999999</v>
      </c>
      <c r="H193" s="90">
        <v>56</v>
      </c>
      <c r="I193" s="90">
        <v>377</v>
      </c>
      <c r="J193" s="86">
        <v>454.27199999999999</v>
      </c>
    </row>
    <row r="194" spans="1:10">
      <c r="A194" s="89">
        <v>71</v>
      </c>
      <c r="B194">
        <v>377</v>
      </c>
      <c r="C194" s="86">
        <f>ROUND(F194,3)</f>
        <v>681.40800000000002</v>
      </c>
      <c r="F194" s="87">
        <v>681.40800000000002</v>
      </c>
      <c r="H194" s="90">
        <v>71</v>
      </c>
      <c r="I194" s="90">
        <v>377</v>
      </c>
      <c r="J194" s="86">
        <v>681.40800000000002</v>
      </c>
    </row>
    <row r="195" spans="1:10">
      <c r="A195" s="89">
        <v>44</v>
      </c>
      <c r="B195">
        <v>377</v>
      </c>
      <c r="C195" s="86">
        <f>ROUND(F195,3)</f>
        <v>3.5489999999999999</v>
      </c>
      <c r="F195" s="87">
        <v>3.5489999999999999</v>
      </c>
      <c r="H195" s="90">
        <v>44</v>
      </c>
      <c r="I195" s="90">
        <v>377</v>
      </c>
      <c r="J195" s="86">
        <v>3.5489999999999999</v>
      </c>
    </row>
    <row r="196" spans="1:10">
      <c r="A196" s="89">
        <v>60</v>
      </c>
      <c r="B196">
        <v>377</v>
      </c>
      <c r="C196" s="86">
        <f>ROUND(F196,3)</f>
        <v>5.3239999999999998</v>
      </c>
      <c r="F196" s="87">
        <v>5.3235000000000001</v>
      </c>
      <c r="H196" s="90">
        <v>60</v>
      </c>
      <c r="I196" s="90">
        <v>377</v>
      </c>
      <c r="J196" s="86">
        <v>5.3239999999999998</v>
      </c>
    </row>
    <row r="197" spans="1:10">
      <c r="A197" s="89">
        <v>45</v>
      </c>
      <c r="B197">
        <v>377</v>
      </c>
      <c r="C197" s="86">
        <f>ROUND(F197,3)</f>
        <v>4.9690000000000003</v>
      </c>
      <c r="F197" s="87">
        <v>4.9686000000000003</v>
      </c>
      <c r="H197" s="90">
        <v>45</v>
      </c>
      <c r="I197" s="90">
        <v>377</v>
      </c>
      <c r="J197" s="86">
        <v>4.9690000000000003</v>
      </c>
    </row>
    <row r="198" spans="1:10">
      <c r="A198" s="89">
        <v>61</v>
      </c>
      <c r="B198">
        <v>377</v>
      </c>
      <c r="C198" s="86">
        <f>ROUND(F198,3)</f>
        <v>7.4530000000000003</v>
      </c>
      <c r="F198" s="87">
        <v>7.4528999999999996</v>
      </c>
      <c r="H198" s="90">
        <v>61</v>
      </c>
      <c r="I198" s="90">
        <v>377</v>
      </c>
      <c r="J198" s="86">
        <v>7.4530000000000003</v>
      </c>
    </row>
    <row r="199" spans="1:10">
      <c r="A199" s="89">
        <v>46</v>
      </c>
      <c r="B199">
        <v>377</v>
      </c>
      <c r="C199" s="86">
        <f>ROUND(F199,3)</f>
        <v>5.6779999999999999</v>
      </c>
      <c r="F199" s="87">
        <v>5.6783999999999999</v>
      </c>
      <c r="H199" s="90">
        <v>46</v>
      </c>
      <c r="I199" s="90">
        <v>377</v>
      </c>
      <c r="J199" s="86">
        <v>5.6779999999999999</v>
      </c>
    </row>
    <row r="200" spans="1:10">
      <c r="A200" s="89">
        <v>62</v>
      </c>
      <c r="B200">
        <v>377</v>
      </c>
      <c r="C200" s="86">
        <f>ROUND(F200,3)</f>
        <v>8.5180000000000007</v>
      </c>
      <c r="F200" s="87">
        <v>8.5175999999999998</v>
      </c>
      <c r="H200" s="90">
        <v>62</v>
      </c>
      <c r="I200" s="90">
        <v>377</v>
      </c>
      <c r="J200" s="86">
        <v>8.5180000000000007</v>
      </c>
    </row>
    <row r="201" spans="1:10">
      <c r="A201" s="89">
        <v>41</v>
      </c>
      <c r="B201">
        <v>377</v>
      </c>
      <c r="C201" s="86">
        <f>ROUND(F201,3)</f>
        <v>0.71</v>
      </c>
      <c r="F201" s="87">
        <v>0.70979999999999999</v>
      </c>
      <c r="H201" s="90">
        <v>41</v>
      </c>
      <c r="I201" s="90">
        <v>377</v>
      </c>
      <c r="J201" s="86">
        <v>0.71</v>
      </c>
    </row>
    <row r="202" spans="1:10">
      <c r="A202" s="89">
        <v>57</v>
      </c>
      <c r="B202">
        <v>377</v>
      </c>
      <c r="C202" s="86">
        <f>ROUND(F202,3)</f>
        <v>1.0649999999999999</v>
      </c>
      <c r="F202" s="87">
        <v>1.0647</v>
      </c>
      <c r="H202" s="90">
        <v>57</v>
      </c>
      <c r="I202" s="90">
        <v>377</v>
      </c>
      <c r="J202" s="86">
        <v>1.0649999999999999</v>
      </c>
    </row>
    <row r="203" spans="1:10">
      <c r="A203" s="89">
        <v>47</v>
      </c>
      <c r="B203">
        <v>377</v>
      </c>
      <c r="C203" s="86">
        <f>ROUND(F203,3)</f>
        <v>7.0979999999999999</v>
      </c>
      <c r="F203" s="87">
        <v>7.0979999999999999</v>
      </c>
      <c r="H203" s="90">
        <v>47</v>
      </c>
      <c r="I203" s="90">
        <v>377</v>
      </c>
      <c r="J203" s="86">
        <v>7.0979999999999999</v>
      </c>
    </row>
    <row r="204" spans="1:10">
      <c r="A204" s="89">
        <v>63</v>
      </c>
      <c r="B204">
        <v>377</v>
      </c>
      <c r="C204" s="86">
        <f>ROUND(F204,3)</f>
        <v>10.647</v>
      </c>
      <c r="F204" s="87">
        <v>10.647</v>
      </c>
      <c r="H204" s="90">
        <v>63</v>
      </c>
      <c r="I204" s="90">
        <v>377</v>
      </c>
      <c r="J204" s="86">
        <v>10.647</v>
      </c>
    </row>
    <row r="205" spans="1:10">
      <c r="A205" s="89">
        <v>48</v>
      </c>
      <c r="B205">
        <v>377</v>
      </c>
      <c r="C205" s="86">
        <f>ROUND(F205,3)</f>
        <v>8.8729999999999993</v>
      </c>
      <c r="F205" s="87">
        <v>8.8725000000000005</v>
      </c>
      <c r="H205" s="90">
        <v>48</v>
      </c>
      <c r="I205" s="90">
        <v>377</v>
      </c>
      <c r="J205" s="86">
        <v>8.8729999999999993</v>
      </c>
    </row>
    <row r="206" spans="1:10">
      <c r="A206" s="89">
        <v>49</v>
      </c>
      <c r="B206">
        <v>377</v>
      </c>
      <c r="C206" s="86">
        <f>ROUND(F206,3)</f>
        <v>10.647</v>
      </c>
      <c r="F206" s="87">
        <v>10.647</v>
      </c>
      <c r="H206" s="90">
        <v>49</v>
      </c>
      <c r="I206" s="90">
        <v>377</v>
      </c>
      <c r="J206" s="86">
        <v>10.647</v>
      </c>
    </row>
    <row r="207" spans="1:10">
      <c r="A207" s="89">
        <v>64</v>
      </c>
      <c r="B207">
        <v>377</v>
      </c>
      <c r="C207" s="86">
        <f>ROUND(F207,3)</f>
        <v>15.971</v>
      </c>
      <c r="F207" s="87">
        <v>15.970499999999999</v>
      </c>
      <c r="H207" s="90">
        <v>64</v>
      </c>
      <c r="I207" s="90">
        <v>377</v>
      </c>
      <c r="J207" s="86">
        <v>15.971</v>
      </c>
    </row>
    <row r="208" spans="1:10">
      <c r="A208" s="89">
        <v>50</v>
      </c>
      <c r="B208">
        <v>377</v>
      </c>
      <c r="C208" s="86">
        <f>ROUND(F208,3)</f>
        <v>14.196</v>
      </c>
      <c r="F208" s="87">
        <v>14.196</v>
      </c>
      <c r="H208" s="90">
        <v>50</v>
      </c>
      <c r="I208" s="90">
        <v>377</v>
      </c>
      <c r="J208" s="86">
        <v>14.196</v>
      </c>
    </row>
    <row r="209" spans="1:10">
      <c r="A209" s="89">
        <v>65</v>
      </c>
      <c r="B209">
        <v>377</v>
      </c>
      <c r="C209" s="86">
        <f>ROUND(F209,3)</f>
        <v>21.294</v>
      </c>
      <c r="F209" s="87">
        <v>21.294</v>
      </c>
      <c r="H209" s="90">
        <v>65</v>
      </c>
      <c r="I209" s="90">
        <v>377</v>
      </c>
      <c r="J209" s="86">
        <v>21.294</v>
      </c>
    </row>
    <row r="210" spans="1:10">
      <c r="A210" s="89">
        <v>42</v>
      </c>
      <c r="B210">
        <v>377</v>
      </c>
      <c r="C210" s="86">
        <f>ROUND(F210,3)</f>
        <v>1.7749999999999999</v>
      </c>
      <c r="F210" s="87">
        <v>1.7745</v>
      </c>
      <c r="H210" s="90">
        <v>42</v>
      </c>
      <c r="I210" s="90">
        <v>377</v>
      </c>
      <c r="J210" s="86">
        <v>1.7749999999999999</v>
      </c>
    </row>
    <row r="211" spans="1:10">
      <c r="A211" s="89">
        <v>58</v>
      </c>
      <c r="B211">
        <v>377</v>
      </c>
      <c r="C211" s="86">
        <f>ROUND(F211,3)</f>
        <v>2.6619999999999999</v>
      </c>
      <c r="F211" s="87">
        <v>2.6617500000000001</v>
      </c>
      <c r="H211" s="90">
        <v>58</v>
      </c>
      <c r="I211" s="90">
        <v>377</v>
      </c>
      <c r="J211" s="86">
        <v>2.6619999999999999</v>
      </c>
    </row>
    <row r="212" spans="1:10">
      <c r="A212" s="89">
        <v>51</v>
      </c>
      <c r="B212">
        <v>377</v>
      </c>
      <c r="C212" s="86">
        <f>ROUND(F212,3)</f>
        <v>17.745000000000001</v>
      </c>
      <c r="F212" s="87">
        <v>17.745000000000001</v>
      </c>
      <c r="H212" s="90">
        <v>51</v>
      </c>
      <c r="I212" s="90">
        <v>377</v>
      </c>
      <c r="J212" s="86">
        <v>17.745000000000001</v>
      </c>
    </row>
    <row r="213" spans="1:10">
      <c r="A213" s="89">
        <v>66</v>
      </c>
      <c r="B213">
        <v>377</v>
      </c>
      <c r="C213" s="86">
        <f>ROUND(F213,3)</f>
        <v>26.617999999999999</v>
      </c>
      <c r="F213" s="87">
        <v>26.6175</v>
      </c>
      <c r="H213" s="90">
        <v>66</v>
      </c>
      <c r="I213" s="90">
        <v>377</v>
      </c>
      <c r="J213" s="86">
        <v>26.617999999999999</v>
      </c>
    </row>
    <row r="214" spans="1:10">
      <c r="A214" s="89">
        <v>43</v>
      </c>
      <c r="B214">
        <v>377</v>
      </c>
      <c r="C214" s="86">
        <f>ROUND(F214,3)</f>
        <v>2.484</v>
      </c>
      <c r="F214" s="87">
        <v>2.4843000000000002</v>
      </c>
      <c r="H214" s="90">
        <v>43</v>
      </c>
      <c r="I214" s="90">
        <v>377</v>
      </c>
      <c r="J214" s="86">
        <v>2.484</v>
      </c>
    </row>
    <row r="215" spans="1:10">
      <c r="A215" s="89">
        <v>59</v>
      </c>
      <c r="B215">
        <v>377</v>
      </c>
      <c r="C215" s="86">
        <f>ROUND(F215,3)</f>
        <v>3.726</v>
      </c>
      <c r="F215" s="87">
        <v>3.7264499999999998</v>
      </c>
      <c r="H215" s="90">
        <v>59</v>
      </c>
      <c r="I215" s="90">
        <v>377</v>
      </c>
      <c r="J215" s="86">
        <v>3.726</v>
      </c>
    </row>
    <row r="216" spans="1:10">
      <c r="A216" s="89">
        <v>52</v>
      </c>
      <c r="B216">
        <v>377</v>
      </c>
      <c r="C216" s="86">
        <f>ROUND(F216,3)</f>
        <v>28.391999999999999</v>
      </c>
      <c r="F216" s="87">
        <v>28.391999999999999</v>
      </c>
      <c r="H216" s="90">
        <v>52</v>
      </c>
      <c r="I216" s="90">
        <v>377</v>
      </c>
      <c r="J216" s="86">
        <v>28.391999999999999</v>
      </c>
    </row>
    <row r="217" spans="1:10">
      <c r="A217" s="89">
        <v>67</v>
      </c>
      <c r="B217">
        <v>377</v>
      </c>
      <c r="C217" s="86">
        <f>ROUND(F217,3)</f>
        <v>42.588000000000001</v>
      </c>
      <c r="F217" s="87">
        <v>42.588000000000001</v>
      </c>
      <c r="H217" s="90">
        <v>67</v>
      </c>
      <c r="I217" s="90">
        <v>377</v>
      </c>
      <c r="J217" s="86">
        <v>42.588000000000001</v>
      </c>
    </row>
    <row r="218" spans="1:10">
      <c r="A218" s="89">
        <v>248</v>
      </c>
      <c r="B218">
        <v>380</v>
      </c>
      <c r="C218" s="86">
        <f>ROUND(F218,3)</f>
        <v>0.30399999999999999</v>
      </c>
      <c r="F218" s="87">
        <v>0.30393999999999999</v>
      </c>
      <c r="H218" s="90">
        <v>248</v>
      </c>
      <c r="I218" s="90">
        <v>380</v>
      </c>
      <c r="J218" s="86">
        <v>0.30399999999999999</v>
      </c>
    </row>
    <row r="219" spans="1:10">
      <c r="A219" s="89">
        <v>256</v>
      </c>
      <c r="B219">
        <v>380</v>
      </c>
      <c r="C219" s="86">
        <f>ROUND(F219,3)</f>
        <v>0.45600000000000002</v>
      </c>
      <c r="F219" s="87">
        <v>0.45590999999999998</v>
      </c>
      <c r="H219" s="90">
        <v>256</v>
      </c>
      <c r="I219" s="90">
        <v>380</v>
      </c>
      <c r="J219" s="86">
        <v>0.45600000000000002</v>
      </c>
    </row>
    <row r="220" spans="1:10">
      <c r="A220" s="89">
        <v>249</v>
      </c>
      <c r="B220">
        <v>380</v>
      </c>
      <c r="C220" s="86">
        <f>ROUND(F220,3)</f>
        <v>0.42599999999999999</v>
      </c>
      <c r="F220" s="87">
        <v>0.42551600000000001</v>
      </c>
      <c r="H220" s="90">
        <v>249</v>
      </c>
      <c r="I220" s="90">
        <v>380</v>
      </c>
      <c r="J220" s="86">
        <v>0.42599999999999999</v>
      </c>
    </row>
    <row r="221" spans="1:10">
      <c r="A221" s="89">
        <v>257</v>
      </c>
      <c r="B221">
        <v>380</v>
      </c>
      <c r="C221" s="86">
        <f>ROUND(F221,3)</f>
        <v>0.63800000000000001</v>
      </c>
      <c r="F221" s="87">
        <v>0.63827400000000001</v>
      </c>
      <c r="H221" s="90">
        <v>257</v>
      </c>
      <c r="I221" s="90">
        <v>380</v>
      </c>
      <c r="J221" s="86">
        <v>0.63800000000000001</v>
      </c>
    </row>
    <row r="222" spans="1:10">
      <c r="A222" s="89">
        <v>250</v>
      </c>
      <c r="B222">
        <v>380</v>
      </c>
      <c r="C222" s="86">
        <f>ROUND(F222,3)</f>
        <v>0.60799999999999998</v>
      </c>
      <c r="F222" s="87">
        <v>0.60787999999999998</v>
      </c>
      <c r="H222" s="90">
        <v>250</v>
      </c>
      <c r="I222" s="90">
        <v>380</v>
      </c>
      <c r="J222" s="86">
        <v>0.60799999999999998</v>
      </c>
    </row>
    <row r="223" spans="1:10">
      <c r="A223" s="89">
        <v>258</v>
      </c>
      <c r="B223">
        <v>380</v>
      </c>
      <c r="C223" s="86">
        <f>ROUND(F223,3)</f>
        <v>0.91200000000000003</v>
      </c>
      <c r="F223" s="87">
        <v>0.91181999999999996</v>
      </c>
      <c r="H223" s="90">
        <v>258</v>
      </c>
      <c r="I223" s="90">
        <v>380</v>
      </c>
      <c r="J223" s="86">
        <v>0.91200000000000003</v>
      </c>
    </row>
    <row r="224" spans="1:10">
      <c r="A224" s="89">
        <v>251</v>
      </c>
      <c r="B224">
        <v>380</v>
      </c>
      <c r="C224" s="86">
        <f>ROUND(F224,3)</f>
        <v>0.91200000000000003</v>
      </c>
      <c r="F224" s="87">
        <v>0.91181999999999996</v>
      </c>
      <c r="H224" s="90">
        <v>251</v>
      </c>
      <c r="I224" s="90">
        <v>380</v>
      </c>
      <c r="J224" s="86">
        <v>0.91200000000000003</v>
      </c>
    </row>
    <row r="225" spans="1:10">
      <c r="A225" s="89">
        <v>259</v>
      </c>
      <c r="B225">
        <v>380</v>
      </c>
      <c r="C225" s="86">
        <f>ROUND(F225,3)</f>
        <v>1.3680000000000001</v>
      </c>
      <c r="F225" s="87">
        <v>1.3677299999999999</v>
      </c>
      <c r="H225" s="90">
        <v>259</v>
      </c>
      <c r="I225" s="90">
        <v>380</v>
      </c>
      <c r="J225" s="86">
        <v>1.3680000000000001</v>
      </c>
    </row>
    <row r="226" spans="1:10">
      <c r="A226" s="89">
        <v>252</v>
      </c>
      <c r="B226">
        <v>380</v>
      </c>
      <c r="C226" s="86">
        <f>ROUND(F226,3)</f>
        <v>1.216</v>
      </c>
      <c r="F226" s="87">
        <v>1.21576</v>
      </c>
      <c r="H226" s="90">
        <v>252</v>
      </c>
      <c r="I226" s="90">
        <v>380</v>
      </c>
      <c r="J226" s="86">
        <v>1.216</v>
      </c>
    </row>
    <row r="227" spans="1:10">
      <c r="A227" s="89">
        <v>260</v>
      </c>
      <c r="B227">
        <v>380</v>
      </c>
      <c r="C227" s="86">
        <f>ROUND(F227,3)</f>
        <v>1.8240000000000001</v>
      </c>
      <c r="F227" s="87">
        <v>1.8236399999999999</v>
      </c>
      <c r="H227" s="90">
        <v>260</v>
      </c>
      <c r="I227" s="90">
        <v>380</v>
      </c>
      <c r="J227" s="86">
        <v>1.8240000000000001</v>
      </c>
    </row>
    <row r="228" spans="1:10">
      <c r="A228" s="89">
        <v>246</v>
      </c>
      <c r="B228">
        <v>380</v>
      </c>
      <c r="C228" s="86">
        <f>ROUND(F228,3)</f>
        <v>0.152</v>
      </c>
      <c r="F228" s="87">
        <v>0.15196999999999999</v>
      </c>
      <c r="H228" s="90">
        <v>246</v>
      </c>
      <c r="I228" s="90">
        <v>380</v>
      </c>
      <c r="J228" s="86">
        <v>0.152</v>
      </c>
    </row>
    <row r="229" spans="1:10">
      <c r="A229" s="89">
        <v>254</v>
      </c>
      <c r="B229">
        <v>380</v>
      </c>
      <c r="C229" s="86">
        <f>ROUND(F229,3)</f>
        <v>0.22800000000000001</v>
      </c>
      <c r="F229" s="87">
        <v>0.22795499999999999</v>
      </c>
      <c r="H229" s="90">
        <v>254</v>
      </c>
      <c r="I229" s="90">
        <v>380</v>
      </c>
      <c r="J229" s="86">
        <v>0.22800000000000001</v>
      </c>
    </row>
    <row r="230" spans="1:10">
      <c r="A230" s="89">
        <v>253</v>
      </c>
      <c r="B230">
        <v>380</v>
      </c>
      <c r="C230" s="86">
        <f>ROUND(F230,3)</f>
        <v>1.52</v>
      </c>
      <c r="F230" s="87">
        <v>1.5197000000000001</v>
      </c>
      <c r="H230" s="90">
        <v>253</v>
      </c>
      <c r="I230" s="90">
        <v>380</v>
      </c>
      <c r="J230" s="86">
        <v>1.52</v>
      </c>
    </row>
    <row r="231" spans="1:10">
      <c r="A231" s="89">
        <v>261</v>
      </c>
      <c r="B231">
        <v>380</v>
      </c>
      <c r="C231" s="86">
        <f>ROUND(F231,3)</f>
        <v>2.2799999999999998</v>
      </c>
      <c r="F231" s="87">
        <v>2.27955</v>
      </c>
      <c r="H231" s="90">
        <v>261</v>
      </c>
      <c r="I231" s="90">
        <v>380</v>
      </c>
      <c r="J231" s="86">
        <v>2.2799999999999998</v>
      </c>
    </row>
    <row r="232" spans="1:10">
      <c r="A232" s="89">
        <v>247</v>
      </c>
      <c r="B232">
        <v>380</v>
      </c>
      <c r="C232" s="86">
        <f>ROUND(F232,3)</f>
        <v>0.21299999999999999</v>
      </c>
      <c r="F232" s="87">
        <v>0.212758</v>
      </c>
      <c r="H232" s="90">
        <v>247</v>
      </c>
      <c r="I232" s="90">
        <v>380</v>
      </c>
      <c r="J232" s="86">
        <v>0.21299999999999999</v>
      </c>
    </row>
    <row r="233" spans="1:10">
      <c r="A233" s="89">
        <v>255</v>
      </c>
      <c r="B233">
        <v>380</v>
      </c>
      <c r="C233" s="86">
        <f>ROUND(F233,3)</f>
        <v>0.31900000000000001</v>
      </c>
      <c r="F233" s="87">
        <v>0.319137</v>
      </c>
      <c r="H233" s="90">
        <v>255</v>
      </c>
      <c r="I233" s="90">
        <v>380</v>
      </c>
      <c r="J233" s="86">
        <v>0.31900000000000001</v>
      </c>
    </row>
    <row r="234" spans="1:10">
      <c r="A234" s="89">
        <v>305</v>
      </c>
      <c r="B234">
        <v>377</v>
      </c>
      <c r="C234" s="86">
        <f>ROUND(F234,3)</f>
        <v>2.3069999999999999</v>
      </c>
      <c r="F234" s="87">
        <v>2.3068499999999998</v>
      </c>
      <c r="H234" s="90">
        <v>305</v>
      </c>
      <c r="I234" s="90">
        <v>377</v>
      </c>
      <c r="J234" s="86">
        <v>2.3069999999999999</v>
      </c>
    </row>
    <row r="235" spans="1:10">
      <c r="A235" s="89">
        <v>305</v>
      </c>
      <c r="B235">
        <v>421</v>
      </c>
      <c r="C235" s="86">
        <f>ROUND(F235,3)</f>
        <v>0.06</v>
      </c>
      <c r="F235" s="87">
        <v>6.0269999999999997E-2</v>
      </c>
      <c r="H235" s="90">
        <v>305</v>
      </c>
      <c r="I235" s="90">
        <v>421</v>
      </c>
      <c r="J235" s="86">
        <v>0.06</v>
      </c>
    </row>
    <row r="236" spans="1:10">
      <c r="A236" s="89">
        <v>313</v>
      </c>
      <c r="B236">
        <v>377</v>
      </c>
      <c r="C236" s="86">
        <f>ROUND(F236,3)</f>
        <v>3.46</v>
      </c>
      <c r="F236" s="87">
        <v>3.4602750000000002</v>
      </c>
      <c r="H236" s="90">
        <v>313</v>
      </c>
      <c r="I236" s="90">
        <v>377</v>
      </c>
      <c r="J236" s="86">
        <v>3.46</v>
      </c>
    </row>
    <row r="237" spans="1:10">
      <c r="A237" s="89">
        <v>313</v>
      </c>
      <c r="B237">
        <v>421</v>
      </c>
      <c r="C237" s="86">
        <f>ROUND(F237,3)</f>
        <v>0.09</v>
      </c>
      <c r="F237" s="87">
        <v>9.0404999999999999E-2</v>
      </c>
      <c r="H237" s="90">
        <v>313</v>
      </c>
      <c r="I237" s="90">
        <v>421</v>
      </c>
      <c r="J237" s="86">
        <v>0.09</v>
      </c>
    </row>
    <row r="238" spans="1:10">
      <c r="A238" s="89">
        <v>314</v>
      </c>
      <c r="B238">
        <v>377</v>
      </c>
      <c r="C238" s="86">
        <f>ROUND(F238,3)</f>
        <v>4.8440000000000003</v>
      </c>
      <c r="F238" s="87">
        <v>4.8443849999999999</v>
      </c>
      <c r="H238" s="90">
        <v>314</v>
      </c>
      <c r="I238" s="90">
        <v>377</v>
      </c>
      <c r="J238" s="86">
        <v>4.8440000000000003</v>
      </c>
    </row>
    <row r="239" spans="1:10">
      <c r="A239" s="89">
        <v>314</v>
      </c>
      <c r="B239">
        <v>421</v>
      </c>
      <c r="C239" s="86">
        <f>ROUND(F239,3)</f>
        <v>0.127</v>
      </c>
      <c r="F239" s="87">
        <v>0.12656700000000001</v>
      </c>
      <c r="H239" s="90">
        <v>314</v>
      </c>
      <c r="I239" s="90">
        <v>421</v>
      </c>
      <c r="J239" s="86">
        <v>0.127</v>
      </c>
    </row>
    <row r="240" spans="1:10">
      <c r="A240" s="89">
        <v>307</v>
      </c>
      <c r="B240">
        <v>377</v>
      </c>
      <c r="C240" s="86">
        <f>ROUND(F240,3)</f>
        <v>4.6139999999999999</v>
      </c>
      <c r="F240" s="87">
        <v>4.6136999999999997</v>
      </c>
      <c r="H240" s="90">
        <v>307</v>
      </c>
      <c r="I240" s="90">
        <v>377</v>
      </c>
      <c r="J240" s="86">
        <v>4.6139999999999999</v>
      </c>
    </row>
    <row r="241" spans="1:10">
      <c r="A241" s="89">
        <v>307</v>
      </c>
      <c r="B241">
        <v>421</v>
      </c>
      <c r="C241" s="86">
        <f>ROUND(F241,3)</f>
        <v>0.121</v>
      </c>
      <c r="F241" s="87">
        <v>0.12053999999999999</v>
      </c>
      <c r="H241" s="90">
        <v>307</v>
      </c>
      <c r="I241" s="90">
        <v>421</v>
      </c>
      <c r="J241" s="86">
        <v>0.121</v>
      </c>
    </row>
    <row r="242" spans="1:10">
      <c r="A242" s="89">
        <v>315</v>
      </c>
      <c r="B242">
        <v>377</v>
      </c>
      <c r="C242" s="86">
        <f>ROUND(F242,3)</f>
        <v>6.9210000000000003</v>
      </c>
      <c r="F242" s="87">
        <v>6.9205500000000004</v>
      </c>
      <c r="H242" s="90">
        <v>315</v>
      </c>
      <c r="I242" s="90">
        <v>377</v>
      </c>
      <c r="J242" s="86">
        <v>6.9210000000000003</v>
      </c>
    </row>
    <row r="243" spans="1:10">
      <c r="A243" s="89">
        <v>315</v>
      </c>
      <c r="B243">
        <v>421</v>
      </c>
      <c r="C243" s="86">
        <f>ROUND(F243,3)</f>
        <v>0.18099999999999999</v>
      </c>
      <c r="F243" s="87">
        <v>0.18081</v>
      </c>
      <c r="H243" s="90">
        <v>315</v>
      </c>
      <c r="I243" s="90">
        <v>421</v>
      </c>
      <c r="J243" s="86">
        <v>0.18099999999999999</v>
      </c>
    </row>
    <row r="244" spans="1:10">
      <c r="A244" s="89">
        <v>309</v>
      </c>
      <c r="B244">
        <v>377</v>
      </c>
      <c r="C244" s="86">
        <f>ROUND(F244,3)</f>
        <v>9.2270000000000003</v>
      </c>
      <c r="F244" s="87">
        <v>9.2273999999999994</v>
      </c>
      <c r="H244" s="90">
        <v>309</v>
      </c>
      <c r="I244" s="90">
        <v>377</v>
      </c>
      <c r="J244" s="86">
        <v>9.2270000000000003</v>
      </c>
    </row>
    <row r="245" spans="1:10">
      <c r="A245" s="89">
        <v>309</v>
      </c>
      <c r="B245">
        <v>421</v>
      </c>
      <c r="C245" s="86">
        <f>ROUND(F245,3)</f>
        <v>0.24099999999999999</v>
      </c>
      <c r="F245" s="87">
        <v>0.24107999999999999</v>
      </c>
      <c r="H245" s="90">
        <v>309</v>
      </c>
      <c r="I245" s="90">
        <v>421</v>
      </c>
      <c r="J245" s="86">
        <v>0.24099999999999999</v>
      </c>
    </row>
    <row r="246" spans="1:10">
      <c r="A246" s="89">
        <v>317</v>
      </c>
      <c r="B246">
        <v>377</v>
      </c>
      <c r="C246" s="86">
        <f>ROUND(F246,3)</f>
        <v>13.840999999999999</v>
      </c>
      <c r="F246" s="87">
        <v>13.841100000000001</v>
      </c>
      <c r="H246" s="90">
        <v>317</v>
      </c>
      <c r="I246" s="90">
        <v>377</v>
      </c>
      <c r="J246" s="86">
        <v>13.840999999999999</v>
      </c>
    </row>
    <row r="247" spans="1:10">
      <c r="A247" s="89">
        <v>317</v>
      </c>
      <c r="B247">
        <v>421</v>
      </c>
      <c r="C247" s="86">
        <f>ROUND(F247,3)</f>
        <v>0.36199999999999999</v>
      </c>
      <c r="F247" s="87">
        <v>0.36162</v>
      </c>
      <c r="H247" s="90">
        <v>317</v>
      </c>
      <c r="I247" s="90">
        <v>421</v>
      </c>
      <c r="J247" s="86">
        <v>0.36199999999999999</v>
      </c>
    </row>
    <row r="248" spans="1:10">
      <c r="A248" s="89">
        <v>318</v>
      </c>
      <c r="B248">
        <v>377</v>
      </c>
      <c r="C248" s="86">
        <f>ROUND(F248,3)</f>
        <v>17.300999999999998</v>
      </c>
      <c r="F248" s="87">
        <v>17.301375</v>
      </c>
      <c r="H248" s="90">
        <v>318</v>
      </c>
      <c r="I248" s="90">
        <v>377</v>
      </c>
      <c r="J248" s="86">
        <v>17.300999999999998</v>
      </c>
    </row>
    <row r="249" spans="1:10">
      <c r="A249" s="89">
        <v>318</v>
      </c>
      <c r="B249">
        <v>421</v>
      </c>
      <c r="C249" s="86">
        <f>ROUND(F249,3)</f>
        <v>0.45200000000000001</v>
      </c>
      <c r="F249" s="87">
        <v>0.45202500000000001</v>
      </c>
      <c r="H249" s="90">
        <v>318</v>
      </c>
      <c r="I249" s="90">
        <v>421</v>
      </c>
      <c r="J249" s="86">
        <v>0.45200000000000001</v>
      </c>
    </row>
    <row r="250" spans="1:10">
      <c r="A250" s="89">
        <v>304</v>
      </c>
      <c r="B250">
        <v>377</v>
      </c>
      <c r="C250" s="86">
        <f>ROUND(F250,3)</f>
        <v>1.615</v>
      </c>
      <c r="F250" s="87">
        <v>1.614795</v>
      </c>
      <c r="H250" s="90">
        <v>304</v>
      </c>
      <c r="I250" s="90">
        <v>377</v>
      </c>
      <c r="J250" s="86">
        <v>1.615</v>
      </c>
    </row>
    <row r="251" spans="1:10">
      <c r="A251" s="89">
        <v>304</v>
      </c>
      <c r="B251">
        <v>421</v>
      </c>
      <c r="C251" s="86">
        <f>ROUND(F251,3)</f>
        <v>4.2000000000000003E-2</v>
      </c>
      <c r="F251" s="87">
        <v>4.2188999999999997E-2</v>
      </c>
      <c r="H251" s="90">
        <v>304</v>
      </c>
      <c r="I251" s="90">
        <v>421</v>
      </c>
      <c r="J251" s="86">
        <v>4.2000000000000003E-2</v>
      </c>
    </row>
    <row r="252" spans="1:10">
      <c r="A252" s="89">
        <v>306</v>
      </c>
      <c r="B252">
        <v>377</v>
      </c>
      <c r="C252" s="86">
        <f>ROUND(F252,3)</f>
        <v>3.23</v>
      </c>
      <c r="F252" s="87">
        <v>3.22959</v>
      </c>
      <c r="H252" s="90">
        <v>306</v>
      </c>
      <c r="I252" s="90">
        <v>377</v>
      </c>
      <c r="J252" s="86">
        <v>3.23</v>
      </c>
    </row>
    <row r="253" spans="1:10">
      <c r="A253" s="89">
        <v>306</v>
      </c>
      <c r="B253">
        <v>421</v>
      </c>
      <c r="C253" s="86">
        <f>ROUND(F253,3)</f>
        <v>8.4000000000000005E-2</v>
      </c>
      <c r="F253" s="87">
        <v>8.4377999999999995E-2</v>
      </c>
      <c r="H253" s="90">
        <v>306</v>
      </c>
      <c r="I253" s="90">
        <v>421</v>
      </c>
      <c r="J253" s="86">
        <v>8.4000000000000005E-2</v>
      </c>
    </row>
    <row r="254" spans="1:10">
      <c r="A254" s="89">
        <v>308</v>
      </c>
      <c r="B254">
        <v>377</v>
      </c>
      <c r="C254" s="86">
        <f>ROUND(F254,3)</f>
        <v>6.9210000000000003</v>
      </c>
      <c r="F254" s="87">
        <v>6.9205500000000004</v>
      </c>
      <c r="H254" s="90">
        <v>308</v>
      </c>
      <c r="I254" s="90">
        <v>377</v>
      </c>
      <c r="J254" s="86">
        <v>6.9210000000000003</v>
      </c>
    </row>
    <row r="255" spans="1:10">
      <c r="A255" s="89">
        <v>308</v>
      </c>
      <c r="B255">
        <v>421</v>
      </c>
      <c r="C255" s="86">
        <f>ROUND(F255,3)</f>
        <v>0.18099999999999999</v>
      </c>
      <c r="F255" s="87">
        <v>0.18081</v>
      </c>
      <c r="H255" s="90">
        <v>308</v>
      </c>
      <c r="I255" s="90">
        <v>421</v>
      </c>
      <c r="J255" s="86">
        <v>0.18099999999999999</v>
      </c>
    </row>
    <row r="256" spans="1:10">
      <c r="A256" s="89">
        <v>316</v>
      </c>
      <c r="B256">
        <v>377</v>
      </c>
      <c r="C256" s="86">
        <f>ROUND(F256,3)</f>
        <v>10.381</v>
      </c>
      <c r="F256" s="87">
        <v>10.380825</v>
      </c>
      <c r="H256" s="90">
        <v>316</v>
      </c>
      <c r="I256" s="90">
        <v>377</v>
      </c>
      <c r="J256" s="86">
        <v>10.381</v>
      </c>
    </row>
    <row r="257" spans="1:10">
      <c r="A257" s="89">
        <v>316</v>
      </c>
      <c r="B257">
        <v>421</v>
      </c>
      <c r="C257" s="86">
        <f>ROUND(F257,3)</f>
        <v>0.27100000000000002</v>
      </c>
      <c r="F257" s="87">
        <v>0.27121499999999998</v>
      </c>
      <c r="H257" s="90">
        <v>316</v>
      </c>
      <c r="I257" s="90">
        <v>421</v>
      </c>
      <c r="J257" s="86">
        <v>0.27100000000000002</v>
      </c>
    </row>
    <row r="258" spans="1:10">
      <c r="A258" s="89">
        <v>303</v>
      </c>
      <c r="B258">
        <v>377</v>
      </c>
      <c r="C258" s="86">
        <f>ROUND(F258,3)</f>
        <v>1.153</v>
      </c>
      <c r="F258" s="87">
        <v>1.1534249999999999</v>
      </c>
      <c r="H258" s="90">
        <v>303</v>
      </c>
      <c r="I258" s="90">
        <v>377</v>
      </c>
      <c r="J258" s="86">
        <v>1.153</v>
      </c>
    </row>
    <row r="259" spans="1:10">
      <c r="A259" s="89">
        <v>303</v>
      </c>
      <c r="B259">
        <v>421</v>
      </c>
      <c r="C259" s="86">
        <f>ROUND(F259,3)</f>
        <v>0.03</v>
      </c>
      <c r="F259" s="87">
        <v>3.0134999999999999E-2</v>
      </c>
      <c r="H259" s="90">
        <v>303</v>
      </c>
      <c r="I259" s="90">
        <v>421</v>
      </c>
      <c r="J259" s="86">
        <v>0.03</v>
      </c>
    </row>
    <row r="260" spans="1:10">
      <c r="A260" s="89">
        <v>311</v>
      </c>
      <c r="B260">
        <v>377</v>
      </c>
      <c r="C260" s="86">
        <f>ROUND(F260,3)</f>
        <v>1.73</v>
      </c>
      <c r="F260" s="87">
        <v>1.7301375000000001</v>
      </c>
      <c r="H260" s="90">
        <v>311</v>
      </c>
      <c r="I260" s="90">
        <v>377</v>
      </c>
      <c r="J260" s="86">
        <v>1.73</v>
      </c>
    </row>
    <row r="261" spans="1:10">
      <c r="A261" s="89">
        <v>311</v>
      </c>
      <c r="B261">
        <v>421</v>
      </c>
      <c r="C261" s="86">
        <f>ROUND(F261,3)</f>
        <v>4.4999999999999998E-2</v>
      </c>
      <c r="F261" s="87">
        <v>4.52025E-2</v>
      </c>
      <c r="H261" s="90">
        <v>311</v>
      </c>
      <c r="I261" s="90">
        <v>421</v>
      </c>
      <c r="J261" s="86">
        <v>4.4999999999999998E-2</v>
      </c>
    </row>
    <row r="262" spans="1:10">
      <c r="A262" s="89">
        <v>310</v>
      </c>
      <c r="B262">
        <v>377</v>
      </c>
      <c r="C262" s="86">
        <f>ROUND(F262,3)</f>
        <v>11.534000000000001</v>
      </c>
      <c r="F262" s="87">
        <v>11.53425</v>
      </c>
      <c r="H262" s="90">
        <v>310</v>
      </c>
      <c r="I262" s="90">
        <v>377</v>
      </c>
      <c r="J262" s="86">
        <v>11.534000000000001</v>
      </c>
    </row>
    <row r="263" spans="1:10">
      <c r="A263" s="89">
        <v>310</v>
      </c>
      <c r="B263">
        <v>421</v>
      </c>
      <c r="C263" s="86">
        <f>ROUND(F263,3)</f>
        <v>0.30099999999999999</v>
      </c>
      <c r="F263" s="87">
        <v>0.30135000000000001</v>
      </c>
      <c r="H263" s="90">
        <v>310</v>
      </c>
      <c r="I263" s="90">
        <v>421</v>
      </c>
      <c r="J263" s="86">
        <v>0.30099999999999999</v>
      </c>
    </row>
    <row r="264" spans="1:10">
      <c r="A264" s="89">
        <v>312</v>
      </c>
      <c r="B264">
        <v>377</v>
      </c>
      <c r="C264" s="86">
        <f>ROUND(F264,3)</f>
        <v>2.4220000000000002</v>
      </c>
      <c r="F264" s="87">
        <v>2.4221925</v>
      </c>
      <c r="H264" s="90">
        <v>312</v>
      </c>
      <c r="I264" s="90">
        <v>377</v>
      </c>
      <c r="J264" s="86">
        <v>2.4220000000000002</v>
      </c>
    </row>
    <row r="265" spans="1:10">
      <c r="A265" s="89">
        <v>312</v>
      </c>
      <c r="B265">
        <v>421</v>
      </c>
      <c r="C265" s="86">
        <f>ROUND(F265,3)</f>
        <v>6.3E-2</v>
      </c>
      <c r="F265" s="87">
        <v>6.3283500000000006E-2</v>
      </c>
      <c r="H265" s="90">
        <v>312</v>
      </c>
      <c r="I265" s="90">
        <v>421</v>
      </c>
      <c r="J265" s="86">
        <v>6.3E-2</v>
      </c>
    </row>
    <row r="266" spans="1:10">
      <c r="A266" s="89">
        <v>289</v>
      </c>
      <c r="B266">
        <v>421</v>
      </c>
      <c r="C266" s="86">
        <f>ROUND(F266,3)</f>
        <v>0.14399999999999999</v>
      </c>
      <c r="F266" s="87">
        <v>0.14432</v>
      </c>
      <c r="H266" s="90">
        <v>289</v>
      </c>
      <c r="I266" s="90">
        <v>421</v>
      </c>
      <c r="J266" s="86">
        <v>0.14399999999999999</v>
      </c>
    </row>
    <row r="267" spans="1:10">
      <c r="A267" s="89">
        <v>297</v>
      </c>
      <c r="B267">
        <v>421</v>
      </c>
      <c r="C267" s="86">
        <f>ROUND(F267,3)</f>
        <v>0.21299999999999999</v>
      </c>
      <c r="F267" s="87">
        <v>0.2132</v>
      </c>
      <c r="H267" s="90">
        <v>297</v>
      </c>
      <c r="I267" s="90">
        <v>421</v>
      </c>
      <c r="J267" s="86">
        <v>0.21299999999999999</v>
      </c>
    </row>
    <row r="268" spans="1:10">
      <c r="A268" s="89">
        <v>290</v>
      </c>
      <c r="B268">
        <v>421</v>
      </c>
      <c r="C268" s="86">
        <f>ROUND(F268,3)</f>
        <v>0.20200000000000001</v>
      </c>
      <c r="F268" s="87">
        <v>0.20204800000000001</v>
      </c>
      <c r="H268" s="90">
        <v>290</v>
      </c>
      <c r="I268" s="90">
        <v>421</v>
      </c>
      <c r="J268" s="86">
        <v>0.20200000000000001</v>
      </c>
    </row>
    <row r="269" spans="1:10">
      <c r="A269" s="89">
        <v>298</v>
      </c>
      <c r="B269">
        <v>421</v>
      </c>
      <c r="C269" s="86">
        <f>ROUND(F269,3)</f>
        <v>0.29799999999999999</v>
      </c>
      <c r="F269" s="87">
        <v>0.29848000000000002</v>
      </c>
      <c r="H269" s="90">
        <v>298</v>
      </c>
      <c r="I269" s="90">
        <v>421</v>
      </c>
      <c r="J269" s="86">
        <v>0.29799999999999999</v>
      </c>
    </row>
    <row r="270" spans="1:10">
      <c r="A270" s="89">
        <v>291</v>
      </c>
      <c r="B270">
        <v>421</v>
      </c>
      <c r="C270" s="86">
        <f>ROUND(F270,3)</f>
        <v>0.28899999999999998</v>
      </c>
      <c r="F270" s="87">
        <v>0.28864000000000001</v>
      </c>
      <c r="H270" s="90">
        <v>291</v>
      </c>
      <c r="I270" s="90">
        <v>421</v>
      </c>
      <c r="J270" s="86">
        <v>0.28899999999999998</v>
      </c>
    </row>
    <row r="271" spans="1:10">
      <c r="A271" s="89">
        <v>299</v>
      </c>
      <c r="B271">
        <v>421</v>
      </c>
      <c r="C271" s="86">
        <f>ROUND(F271,3)</f>
        <v>0.42599999999999999</v>
      </c>
      <c r="F271" s="87">
        <v>0.4264</v>
      </c>
      <c r="H271" s="90">
        <v>299</v>
      </c>
      <c r="I271" s="90">
        <v>421</v>
      </c>
      <c r="J271" s="86">
        <v>0.42599999999999999</v>
      </c>
    </row>
    <row r="272" spans="1:10">
      <c r="A272" s="89">
        <v>292</v>
      </c>
      <c r="B272">
        <v>421</v>
      </c>
      <c r="C272" s="86">
        <f>ROUND(F272,3)</f>
        <v>0.433</v>
      </c>
      <c r="F272" s="87">
        <v>0.43296000000000001</v>
      </c>
      <c r="H272" s="90">
        <v>292</v>
      </c>
      <c r="I272" s="90">
        <v>421</v>
      </c>
      <c r="J272" s="86">
        <v>0.433</v>
      </c>
    </row>
    <row r="273" spans="1:10">
      <c r="A273" s="89">
        <v>300</v>
      </c>
      <c r="B273">
        <v>421</v>
      </c>
      <c r="C273" s="86">
        <f>ROUND(F273,3)</f>
        <v>0.64</v>
      </c>
      <c r="F273" s="87">
        <v>0.63959999999999995</v>
      </c>
      <c r="H273" s="90">
        <v>300</v>
      </c>
      <c r="I273" s="90">
        <v>421</v>
      </c>
      <c r="J273" s="86">
        <v>0.64</v>
      </c>
    </row>
    <row r="274" spans="1:10">
      <c r="A274" s="89">
        <v>293</v>
      </c>
      <c r="B274">
        <v>421</v>
      </c>
      <c r="C274" s="86">
        <f>ROUND(F274,3)</f>
        <v>0.57699999999999996</v>
      </c>
      <c r="F274" s="87">
        <v>0.57728000000000002</v>
      </c>
      <c r="H274" s="90">
        <v>293</v>
      </c>
      <c r="I274" s="90">
        <v>421</v>
      </c>
      <c r="J274" s="86">
        <v>0.57699999999999996</v>
      </c>
    </row>
    <row r="275" spans="1:10">
      <c r="A275" s="89">
        <v>301</v>
      </c>
      <c r="B275">
        <v>421</v>
      </c>
      <c r="C275" s="86">
        <f>ROUND(F275,3)</f>
        <v>0.85299999999999998</v>
      </c>
      <c r="F275" s="87">
        <v>0.8528</v>
      </c>
      <c r="H275" s="90">
        <v>301</v>
      </c>
      <c r="I275" s="90">
        <v>421</v>
      </c>
      <c r="J275" s="86">
        <v>0.85299999999999998</v>
      </c>
    </row>
    <row r="276" spans="1:10">
      <c r="A276" s="89">
        <v>287</v>
      </c>
      <c r="B276">
        <v>421</v>
      </c>
      <c r="C276" s="86">
        <f>ROUND(F276,3)</f>
        <v>7.1999999999999995E-2</v>
      </c>
      <c r="F276" s="87">
        <v>7.2160000000000002E-2</v>
      </c>
      <c r="H276" s="90">
        <v>287</v>
      </c>
      <c r="I276" s="90">
        <v>421</v>
      </c>
      <c r="J276" s="86">
        <v>7.1999999999999995E-2</v>
      </c>
    </row>
    <row r="277" spans="1:10">
      <c r="A277" s="89">
        <v>295</v>
      </c>
      <c r="B277">
        <v>421</v>
      </c>
      <c r="C277" s="86">
        <f>ROUND(F277,3)</f>
        <v>0.107</v>
      </c>
      <c r="F277" s="87">
        <v>0.1066</v>
      </c>
      <c r="H277" s="90">
        <v>295</v>
      </c>
      <c r="I277" s="90">
        <v>421</v>
      </c>
      <c r="J277" s="86">
        <v>0.107</v>
      </c>
    </row>
    <row r="278" spans="1:10">
      <c r="A278" s="89">
        <v>294</v>
      </c>
      <c r="B278">
        <v>421</v>
      </c>
      <c r="C278" s="86">
        <f>ROUND(F278,3)</f>
        <v>0.72199999999999998</v>
      </c>
      <c r="F278" s="87">
        <v>0.72160000000000002</v>
      </c>
      <c r="H278" s="90">
        <v>294</v>
      </c>
      <c r="I278" s="90">
        <v>421</v>
      </c>
      <c r="J278" s="86">
        <v>0.72199999999999998</v>
      </c>
    </row>
    <row r="279" spans="1:10">
      <c r="A279" s="89">
        <v>302</v>
      </c>
      <c r="B279">
        <v>421</v>
      </c>
      <c r="C279" s="86">
        <f>ROUND(F279,3)</f>
        <v>1.0660000000000001</v>
      </c>
      <c r="F279" s="87">
        <v>1.0660000000000001</v>
      </c>
      <c r="H279" s="90">
        <v>302</v>
      </c>
      <c r="I279" s="90">
        <v>421</v>
      </c>
      <c r="J279" s="86">
        <v>1.0660000000000001</v>
      </c>
    </row>
    <row r="280" spans="1:10">
      <c r="A280" s="89">
        <v>288</v>
      </c>
      <c r="B280">
        <v>421</v>
      </c>
      <c r="C280" s="86">
        <f>ROUND(F280,3)</f>
        <v>0.10100000000000001</v>
      </c>
      <c r="F280" s="87">
        <v>0.101024</v>
      </c>
      <c r="H280" s="90">
        <v>288</v>
      </c>
      <c r="I280" s="90">
        <v>421</v>
      </c>
      <c r="J280" s="86">
        <v>0.10100000000000001</v>
      </c>
    </row>
    <row r="281" spans="1:10">
      <c r="A281" s="89">
        <v>296</v>
      </c>
      <c r="B281">
        <v>421</v>
      </c>
      <c r="C281" s="86">
        <f>ROUND(F281,3)</f>
        <v>0.14899999999999999</v>
      </c>
      <c r="F281" s="87">
        <v>0.14924000000000001</v>
      </c>
      <c r="H281" s="90">
        <v>296</v>
      </c>
      <c r="I281" s="90">
        <v>421</v>
      </c>
      <c r="J281" s="86">
        <v>0.14899999999999999</v>
      </c>
    </row>
    <row r="282" spans="1:10">
      <c r="A282" s="89">
        <v>346</v>
      </c>
      <c r="B282">
        <v>377</v>
      </c>
      <c r="C282" s="86">
        <f>ROUND(F282,3)</f>
        <v>92.477000000000004</v>
      </c>
      <c r="F282" s="87">
        <v>92.476799999999997</v>
      </c>
      <c r="H282" s="90">
        <v>346</v>
      </c>
      <c r="I282" s="90">
        <v>377</v>
      </c>
      <c r="J282" s="86">
        <v>92.477000000000004</v>
      </c>
    </row>
    <row r="283" spans="1:10">
      <c r="A283" s="89">
        <v>346</v>
      </c>
      <c r="B283">
        <v>381</v>
      </c>
      <c r="C283" s="86">
        <f>ROUND(F283,3)</f>
        <v>20.192</v>
      </c>
      <c r="F283" s="87">
        <v>20.191680000000002</v>
      </c>
      <c r="H283" s="90">
        <v>346</v>
      </c>
      <c r="I283" s="90">
        <v>381</v>
      </c>
      <c r="J283" s="86">
        <v>20.192</v>
      </c>
    </row>
    <row r="284" spans="1:10">
      <c r="A284" s="89">
        <v>346</v>
      </c>
      <c r="B284">
        <v>379</v>
      </c>
      <c r="C284" s="86">
        <f>ROUND(F284,3)</f>
        <v>84.296000000000006</v>
      </c>
      <c r="F284" s="87">
        <v>84.29616</v>
      </c>
      <c r="H284" s="90">
        <v>346</v>
      </c>
      <c r="I284" s="90">
        <v>379</v>
      </c>
      <c r="J284" s="86">
        <v>84.296000000000006</v>
      </c>
    </row>
    <row r="285" spans="1:10">
      <c r="A285" s="89">
        <v>361</v>
      </c>
      <c r="B285">
        <v>377</v>
      </c>
      <c r="C285" s="86">
        <f>ROUND(F285,3)</f>
        <v>294.77</v>
      </c>
      <c r="F285" s="87">
        <v>294.76979999999998</v>
      </c>
      <c r="H285" s="90">
        <v>361</v>
      </c>
      <c r="I285" s="90">
        <v>377</v>
      </c>
      <c r="J285" s="86">
        <v>294.77</v>
      </c>
    </row>
    <row r="286" spans="1:10">
      <c r="A286" s="89">
        <v>361</v>
      </c>
      <c r="B286">
        <v>381</v>
      </c>
      <c r="C286" s="86">
        <f>ROUND(F286,3)</f>
        <v>56.789000000000001</v>
      </c>
      <c r="F286" s="87">
        <v>56.789099999999998</v>
      </c>
      <c r="H286" s="90">
        <v>361</v>
      </c>
      <c r="I286" s="90">
        <v>381</v>
      </c>
      <c r="J286" s="86">
        <v>56.789000000000001</v>
      </c>
    </row>
    <row r="287" spans="1:10">
      <c r="A287" s="89">
        <v>361</v>
      </c>
      <c r="B287">
        <v>379</v>
      </c>
      <c r="C287" s="86">
        <f>ROUND(F287,3)</f>
        <v>126.444</v>
      </c>
      <c r="F287" s="87">
        <v>126.44423999999999</v>
      </c>
      <c r="H287" s="90">
        <v>361</v>
      </c>
      <c r="I287" s="90">
        <v>379</v>
      </c>
      <c r="J287" s="86">
        <v>126.444</v>
      </c>
    </row>
    <row r="288" spans="1:10">
      <c r="A288" s="89">
        <v>348</v>
      </c>
      <c r="B288">
        <v>377</v>
      </c>
      <c r="C288" s="86">
        <f>ROUND(F288,3)</f>
        <v>147.96299999999999</v>
      </c>
      <c r="F288" s="87">
        <v>147.96288000000001</v>
      </c>
      <c r="H288" s="90">
        <v>348</v>
      </c>
      <c r="I288" s="90">
        <v>377</v>
      </c>
      <c r="J288" s="86">
        <v>147.96299999999999</v>
      </c>
    </row>
    <row r="289" spans="1:10">
      <c r="A289" s="89">
        <v>348</v>
      </c>
      <c r="B289">
        <v>381</v>
      </c>
      <c r="C289" s="86">
        <f>ROUND(F289,3)</f>
        <v>32.307000000000002</v>
      </c>
      <c r="F289" s="87">
        <v>32.306688000000001</v>
      </c>
      <c r="H289" s="90">
        <v>348</v>
      </c>
      <c r="I289" s="90">
        <v>381</v>
      </c>
      <c r="J289" s="86">
        <v>32.307000000000002</v>
      </c>
    </row>
    <row r="290" spans="1:10">
      <c r="A290" s="89">
        <v>348</v>
      </c>
      <c r="B290">
        <v>379</v>
      </c>
      <c r="C290" s="86">
        <f>ROUND(F290,3)</f>
        <v>134.874</v>
      </c>
      <c r="F290" s="87">
        <v>134.87385599999999</v>
      </c>
      <c r="H290" s="90">
        <v>348</v>
      </c>
      <c r="I290" s="90">
        <v>379</v>
      </c>
      <c r="J290" s="86">
        <v>134.874</v>
      </c>
    </row>
    <row r="291" spans="1:10">
      <c r="A291" s="89">
        <v>363</v>
      </c>
      <c r="B291">
        <v>377</v>
      </c>
      <c r="C291" s="86">
        <f>ROUND(F291,3)</f>
        <v>471.63200000000001</v>
      </c>
      <c r="F291" s="87">
        <v>471.63168000000002</v>
      </c>
      <c r="H291" s="90">
        <v>363</v>
      </c>
      <c r="I291" s="90">
        <v>377</v>
      </c>
      <c r="J291" s="86">
        <v>471.63200000000001</v>
      </c>
    </row>
    <row r="292" spans="1:10">
      <c r="A292" s="89">
        <v>363</v>
      </c>
      <c r="B292">
        <v>381</v>
      </c>
      <c r="C292" s="86">
        <f>ROUND(F292,3)</f>
        <v>90.863</v>
      </c>
      <c r="F292" s="87">
        <v>90.862560000000002</v>
      </c>
      <c r="H292" s="90">
        <v>363</v>
      </c>
      <c r="I292" s="90">
        <v>381</v>
      </c>
      <c r="J292" s="86">
        <v>90.863</v>
      </c>
    </row>
    <row r="293" spans="1:10">
      <c r="A293" s="89">
        <v>363</v>
      </c>
      <c r="B293">
        <v>379</v>
      </c>
      <c r="C293" s="86">
        <f>ROUND(F293,3)</f>
        <v>202.31100000000001</v>
      </c>
      <c r="F293" s="87">
        <v>202.31078400000001</v>
      </c>
      <c r="H293" s="90">
        <v>363</v>
      </c>
      <c r="I293" s="90">
        <v>379</v>
      </c>
      <c r="J293" s="86">
        <v>202.31100000000001</v>
      </c>
    </row>
    <row r="294" spans="1:10">
      <c r="A294" s="89">
        <v>347</v>
      </c>
      <c r="B294">
        <v>377</v>
      </c>
      <c r="C294" s="86">
        <f>ROUND(F294,3)</f>
        <v>123.30200000000001</v>
      </c>
      <c r="F294" s="87">
        <v>123.30240000000001</v>
      </c>
      <c r="H294" s="90">
        <v>347</v>
      </c>
      <c r="I294" s="90">
        <v>377</v>
      </c>
      <c r="J294" s="86">
        <v>123.30200000000001</v>
      </c>
    </row>
    <row r="295" spans="1:10">
      <c r="A295" s="89">
        <v>347</v>
      </c>
      <c r="B295">
        <v>381</v>
      </c>
      <c r="C295" s="86">
        <f>ROUND(F295,3)</f>
        <v>26.922000000000001</v>
      </c>
      <c r="F295" s="87">
        <v>26.922239999999999</v>
      </c>
      <c r="H295" s="90">
        <v>347</v>
      </c>
      <c r="I295" s="90">
        <v>381</v>
      </c>
      <c r="J295" s="86">
        <v>26.922000000000001</v>
      </c>
    </row>
    <row r="296" spans="1:10">
      <c r="A296" s="89">
        <v>347</v>
      </c>
      <c r="B296">
        <v>379</v>
      </c>
      <c r="C296" s="86">
        <f>ROUND(F296,3)</f>
        <v>112.395</v>
      </c>
      <c r="F296" s="87">
        <v>112.39488</v>
      </c>
      <c r="H296" s="90">
        <v>347</v>
      </c>
      <c r="I296" s="90">
        <v>379</v>
      </c>
      <c r="J296" s="86">
        <v>112.395</v>
      </c>
    </row>
    <row r="297" spans="1:10">
      <c r="A297" s="89">
        <v>362</v>
      </c>
      <c r="B297">
        <v>377</v>
      </c>
      <c r="C297" s="86">
        <f>ROUND(F297,3)</f>
        <v>393.02600000000001</v>
      </c>
      <c r="F297" s="87">
        <v>393.02640000000002</v>
      </c>
      <c r="H297" s="90">
        <v>362</v>
      </c>
      <c r="I297" s="90">
        <v>377</v>
      </c>
      <c r="J297" s="86">
        <v>393.02600000000001</v>
      </c>
    </row>
    <row r="298" spans="1:10">
      <c r="A298" s="89">
        <v>362</v>
      </c>
      <c r="B298">
        <v>381</v>
      </c>
      <c r="C298" s="86">
        <f>ROUND(F298,3)</f>
        <v>75.718999999999994</v>
      </c>
      <c r="F298" s="87">
        <v>75.718800000000002</v>
      </c>
      <c r="H298" s="90">
        <v>362</v>
      </c>
      <c r="I298" s="90">
        <v>381</v>
      </c>
      <c r="J298" s="86">
        <v>75.718999999999994</v>
      </c>
    </row>
    <row r="299" spans="1:10">
      <c r="A299" s="89">
        <v>362</v>
      </c>
      <c r="B299">
        <v>379</v>
      </c>
      <c r="C299" s="86">
        <f>ROUND(F299,3)</f>
        <v>168.59200000000001</v>
      </c>
      <c r="F299" s="87">
        <v>168.59232</v>
      </c>
      <c r="H299" s="90">
        <v>362</v>
      </c>
      <c r="I299" s="90">
        <v>379</v>
      </c>
      <c r="J299" s="86">
        <v>168.59200000000001</v>
      </c>
    </row>
    <row r="300" spans="1:10">
      <c r="A300" s="89">
        <v>364</v>
      </c>
      <c r="B300">
        <v>377</v>
      </c>
      <c r="C300" s="86">
        <f>ROUND(F300,3)</f>
        <v>628.84199999999998</v>
      </c>
      <c r="F300" s="87">
        <v>628.84223999999995</v>
      </c>
      <c r="H300" s="90">
        <v>364</v>
      </c>
      <c r="I300" s="90">
        <v>377</v>
      </c>
      <c r="J300" s="86">
        <v>628.84199999999998</v>
      </c>
    </row>
    <row r="301" spans="1:10">
      <c r="A301" s="89">
        <v>364</v>
      </c>
      <c r="B301">
        <v>381</v>
      </c>
      <c r="C301" s="86">
        <f>ROUND(F301,3)</f>
        <v>121.15</v>
      </c>
      <c r="F301" s="87">
        <v>121.15008</v>
      </c>
      <c r="H301" s="90">
        <v>364</v>
      </c>
      <c r="I301" s="90">
        <v>381</v>
      </c>
      <c r="J301" s="86">
        <v>121.15</v>
      </c>
    </row>
    <row r="302" spans="1:10">
      <c r="A302" s="89">
        <v>364</v>
      </c>
      <c r="B302">
        <v>379</v>
      </c>
      <c r="C302" s="86">
        <f>ROUND(F302,3)</f>
        <v>269.74799999999999</v>
      </c>
      <c r="F302" s="87">
        <v>269.74771199999998</v>
      </c>
      <c r="H302" s="90">
        <v>364</v>
      </c>
      <c r="I302" s="90">
        <v>379</v>
      </c>
      <c r="J302" s="86">
        <v>269.74799999999999</v>
      </c>
    </row>
    <row r="303" spans="1:10">
      <c r="A303" s="89">
        <v>338</v>
      </c>
      <c r="B303">
        <v>377</v>
      </c>
      <c r="C303" s="86">
        <f>ROUND(F303,3)</f>
        <v>1.5409999999999999</v>
      </c>
      <c r="F303" s="87">
        <v>1.54128</v>
      </c>
      <c r="H303" s="90">
        <v>338</v>
      </c>
      <c r="I303" s="90">
        <v>377</v>
      </c>
      <c r="J303" s="86">
        <v>1.5409999999999999</v>
      </c>
    </row>
    <row r="304" spans="1:10">
      <c r="A304" s="89">
        <v>338</v>
      </c>
      <c r="B304">
        <v>381</v>
      </c>
      <c r="C304" s="86">
        <f>ROUND(F304,3)</f>
        <v>0.33700000000000002</v>
      </c>
      <c r="F304" s="87">
        <v>0.33652799999999999</v>
      </c>
      <c r="H304" s="90">
        <v>338</v>
      </c>
      <c r="I304" s="90">
        <v>381</v>
      </c>
      <c r="J304" s="86">
        <v>0.33700000000000002</v>
      </c>
    </row>
    <row r="305" spans="1:10">
      <c r="A305" s="89">
        <v>338</v>
      </c>
      <c r="B305">
        <v>379</v>
      </c>
      <c r="C305" s="86">
        <f>ROUND(F305,3)</f>
        <v>1.405</v>
      </c>
      <c r="F305" s="87">
        <v>1.404936</v>
      </c>
      <c r="H305" s="90">
        <v>338</v>
      </c>
      <c r="I305" s="90">
        <v>379</v>
      </c>
      <c r="J305" s="86">
        <v>1.405</v>
      </c>
    </row>
    <row r="306" spans="1:10">
      <c r="A306" s="89">
        <v>353</v>
      </c>
      <c r="B306">
        <v>377</v>
      </c>
      <c r="C306" s="86">
        <f>ROUND(F306,3)</f>
        <v>4.9130000000000003</v>
      </c>
      <c r="F306" s="87">
        <v>4.9128299999999996</v>
      </c>
      <c r="H306" s="90">
        <v>353</v>
      </c>
      <c r="I306" s="90">
        <v>377</v>
      </c>
      <c r="J306" s="86">
        <v>4.9130000000000003</v>
      </c>
    </row>
    <row r="307" spans="1:10">
      <c r="A307" s="89">
        <v>353</v>
      </c>
      <c r="B307">
        <v>381</v>
      </c>
      <c r="C307" s="86">
        <f>ROUND(F307,3)</f>
        <v>0.94599999999999995</v>
      </c>
      <c r="F307" s="87">
        <v>0.94648500000000002</v>
      </c>
      <c r="H307" s="90">
        <v>353</v>
      </c>
      <c r="I307" s="90">
        <v>381</v>
      </c>
      <c r="J307" s="86">
        <v>0.94599999999999995</v>
      </c>
    </row>
    <row r="308" spans="1:10">
      <c r="A308" s="89">
        <v>353</v>
      </c>
      <c r="B308">
        <v>379</v>
      </c>
      <c r="C308" s="86">
        <f>ROUND(F308,3)</f>
        <v>2.1070000000000002</v>
      </c>
      <c r="F308" s="87">
        <v>2.1074039999999998</v>
      </c>
      <c r="H308" s="90">
        <v>353</v>
      </c>
      <c r="I308" s="90">
        <v>379</v>
      </c>
      <c r="J308" s="86">
        <v>2.1070000000000002</v>
      </c>
    </row>
    <row r="309" spans="1:10">
      <c r="A309" s="89">
        <v>339</v>
      </c>
      <c r="B309">
        <v>377</v>
      </c>
      <c r="C309" s="86">
        <f>ROUND(F309,3)</f>
        <v>2.1579999999999999</v>
      </c>
      <c r="F309" s="87">
        <v>2.1577920000000002</v>
      </c>
      <c r="H309" s="90">
        <v>339</v>
      </c>
      <c r="I309" s="90">
        <v>377</v>
      </c>
      <c r="J309" s="86">
        <v>2.1579999999999999</v>
      </c>
    </row>
    <row r="310" spans="1:10">
      <c r="A310" s="89">
        <v>339</v>
      </c>
      <c r="B310">
        <v>381</v>
      </c>
      <c r="C310" s="86">
        <f>ROUND(F310,3)</f>
        <v>0.47099999999999997</v>
      </c>
      <c r="F310" s="87">
        <v>0.47113919999999998</v>
      </c>
      <c r="H310" s="90">
        <v>339</v>
      </c>
      <c r="I310" s="90">
        <v>381</v>
      </c>
      <c r="J310" s="86">
        <v>0.47099999999999997</v>
      </c>
    </row>
    <row r="311" spans="1:10">
      <c r="A311" s="89">
        <v>339</v>
      </c>
      <c r="B311">
        <v>379</v>
      </c>
      <c r="C311" s="86">
        <f>ROUND(F311,3)</f>
        <v>1.9670000000000001</v>
      </c>
      <c r="F311" s="87">
        <v>1.9669103999999999</v>
      </c>
      <c r="H311" s="90">
        <v>339</v>
      </c>
      <c r="I311" s="90">
        <v>379</v>
      </c>
      <c r="J311" s="86">
        <v>1.9670000000000001</v>
      </c>
    </row>
    <row r="312" spans="1:10">
      <c r="A312" s="89">
        <v>354</v>
      </c>
      <c r="B312">
        <v>377</v>
      </c>
      <c r="C312" s="86">
        <f>ROUND(F312,3)</f>
        <v>6.8780000000000001</v>
      </c>
      <c r="F312" s="87">
        <v>6.8779620000000001</v>
      </c>
      <c r="H312" s="90">
        <v>354</v>
      </c>
      <c r="I312" s="90">
        <v>377</v>
      </c>
      <c r="J312" s="86">
        <v>6.8780000000000001</v>
      </c>
    </row>
    <row r="313" spans="1:10">
      <c r="A313" s="89">
        <v>354</v>
      </c>
      <c r="B313">
        <v>381</v>
      </c>
      <c r="C313" s="86">
        <f>ROUND(F313,3)</f>
        <v>1.325</v>
      </c>
      <c r="F313" s="87">
        <v>1.3250789999999999</v>
      </c>
      <c r="H313" s="90">
        <v>354</v>
      </c>
      <c r="I313" s="90">
        <v>381</v>
      </c>
      <c r="J313" s="86">
        <v>1.325</v>
      </c>
    </row>
    <row r="314" spans="1:10">
      <c r="A314" s="89">
        <v>354</v>
      </c>
      <c r="B314">
        <v>379</v>
      </c>
      <c r="C314" s="86">
        <f>ROUND(F314,3)</f>
        <v>2.95</v>
      </c>
      <c r="F314" s="87">
        <v>2.9503656</v>
      </c>
      <c r="H314" s="90">
        <v>354</v>
      </c>
      <c r="I314" s="90">
        <v>379</v>
      </c>
      <c r="J314" s="86">
        <v>2.95</v>
      </c>
    </row>
    <row r="315" spans="1:10">
      <c r="A315" s="89">
        <v>340</v>
      </c>
      <c r="B315">
        <v>377</v>
      </c>
      <c r="C315" s="86">
        <f>ROUND(F315,3)</f>
        <v>2.4660000000000002</v>
      </c>
      <c r="F315" s="87">
        <v>2.4660479999999998</v>
      </c>
      <c r="H315" s="90">
        <v>340</v>
      </c>
      <c r="I315" s="90">
        <v>377</v>
      </c>
      <c r="J315" s="86">
        <v>2.4660000000000002</v>
      </c>
    </row>
    <row r="316" spans="1:10">
      <c r="A316" s="89">
        <v>340</v>
      </c>
      <c r="B316">
        <v>381</v>
      </c>
      <c r="C316" s="86">
        <f>ROUND(F316,3)</f>
        <v>0.53800000000000003</v>
      </c>
      <c r="F316" s="87">
        <v>0.53844479999999995</v>
      </c>
      <c r="H316" s="90">
        <v>340</v>
      </c>
      <c r="I316" s="90">
        <v>381</v>
      </c>
      <c r="J316" s="86">
        <v>0.53800000000000003</v>
      </c>
    </row>
    <row r="317" spans="1:10">
      <c r="A317" s="89">
        <v>340</v>
      </c>
      <c r="B317">
        <v>379</v>
      </c>
      <c r="C317" s="86">
        <f>ROUND(F317,3)</f>
        <v>2.2480000000000002</v>
      </c>
      <c r="F317" s="87">
        <v>2.2478975999999999</v>
      </c>
      <c r="H317" s="90">
        <v>340</v>
      </c>
      <c r="I317" s="90">
        <v>379</v>
      </c>
      <c r="J317" s="86">
        <v>2.2480000000000002</v>
      </c>
    </row>
    <row r="318" spans="1:10">
      <c r="A318" s="89">
        <v>355</v>
      </c>
      <c r="B318">
        <v>377</v>
      </c>
      <c r="C318" s="86">
        <f>ROUND(F318,3)</f>
        <v>7.8609999999999998</v>
      </c>
      <c r="F318" s="87">
        <v>7.8605280000000004</v>
      </c>
      <c r="H318" s="90">
        <v>355</v>
      </c>
      <c r="I318" s="90">
        <v>377</v>
      </c>
      <c r="J318" s="86">
        <v>7.8609999999999998</v>
      </c>
    </row>
    <row r="319" spans="1:10">
      <c r="A319" s="89">
        <v>355</v>
      </c>
      <c r="B319">
        <v>381</v>
      </c>
      <c r="C319" s="86">
        <f>ROUND(F319,3)</f>
        <v>1.514</v>
      </c>
      <c r="F319" s="87">
        <v>1.5143759999999999</v>
      </c>
      <c r="H319" s="90">
        <v>355</v>
      </c>
      <c r="I319" s="90">
        <v>381</v>
      </c>
      <c r="J319" s="86">
        <v>1.514</v>
      </c>
    </row>
    <row r="320" spans="1:10">
      <c r="A320" s="89">
        <v>355</v>
      </c>
      <c r="B320">
        <v>379</v>
      </c>
      <c r="C320" s="86">
        <f>ROUND(F320,3)</f>
        <v>3.3719999999999999</v>
      </c>
      <c r="F320" s="87">
        <v>3.3718463999999999</v>
      </c>
      <c r="H320" s="90">
        <v>355</v>
      </c>
      <c r="I320" s="90">
        <v>379</v>
      </c>
      <c r="J320" s="86">
        <v>3.3719999999999999</v>
      </c>
    </row>
    <row r="321" spans="1:10">
      <c r="A321" s="89">
        <v>335</v>
      </c>
      <c r="B321">
        <v>377</v>
      </c>
      <c r="C321" s="86">
        <f>ROUND(F321,3)</f>
        <v>0.308</v>
      </c>
      <c r="F321" s="87">
        <v>0.30825599999999997</v>
      </c>
      <c r="H321" s="90">
        <v>335</v>
      </c>
      <c r="I321" s="90">
        <v>377</v>
      </c>
      <c r="J321" s="86">
        <v>0.308</v>
      </c>
    </row>
    <row r="322" spans="1:10">
      <c r="A322" s="89">
        <v>335</v>
      </c>
      <c r="B322">
        <v>381</v>
      </c>
      <c r="C322" s="86">
        <f>ROUND(F322,3)</f>
        <v>6.7000000000000004E-2</v>
      </c>
      <c r="F322" s="87">
        <v>6.7305599999999993E-2</v>
      </c>
      <c r="H322" s="90">
        <v>335</v>
      </c>
      <c r="I322" s="90">
        <v>381</v>
      </c>
      <c r="J322" s="86">
        <v>6.7000000000000004E-2</v>
      </c>
    </row>
    <row r="323" spans="1:10">
      <c r="A323" s="89">
        <v>335</v>
      </c>
      <c r="B323">
        <v>379</v>
      </c>
      <c r="C323" s="86">
        <f>ROUND(F323,3)</f>
        <v>0.28100000000000003</v>
      </c>
      <c r="F323" s="87">
        <v>0.28098719999999999</v>
      </c>
      <c r="H323" s="90">
        <v>335</v>
      </c>
      <c r="I323" s="90">
        <v>379</v>
      </c>
      <c r="J323" s="86">
        <v>0.28100000000000003</v>
      </c>
    </row>
    <row r="324" spans="1:10">
      <c r="A324" s="89">
        <v>350</v>
      </c>
      <c r="B324">
        <v>377</v>
      </c>
      <c r="C324" s="86">
        <f>ROUND(F324,3)</f>
        <v>0.98299999999999998</v>
      </c>
      <c r="F324" s="87">
        <v>0.98256600000000005</v>
      </c>
      <c r="H324" s="90">
        <v>350</v>
      </c>
      <c r="I324" s="90">
        <v>377</v>
      </c>
      <c r="J324" s="86">
        <v>0.98299999999999998</v>
      </c>
    </row>
    <row r="325" spans="1:10">
      <c r="A325" s="89">
        <v>350</v>
      </c>
      <c r="B325">
        <v>381</v>
      </c>
      <c r="C325" s="86">
        <f>ROUND(F325,3)</f>
        <v>0.189</v>
      </c>
      <c r="F325" s="87">
        <v>0.18929699999999999</v>
      </c>
      <c r="H325" s="90">
        <v>350</v>
      </c>
      <c r="I325" s="90">
        <v>381</v>
      </c>
      <c r="J325" s="86">
        <v>0.189</v>
      </c>
    </row>
    <row r="326" spans="1:10">
      <c r="A326" s="89">
        <v>350</v>
      </c>
      <c r="B326">
        <v>379</v>
      </c>
      <c r="C326" s="86">
        <f>ROUND(F326,3)</f>
        <v>0.42099999999999999</v>
      </c>
      <c r="F326" s="87">
        <v>0.42148079999999999</v>
      </c>
      <c r="H326" s="90">
        <v>350</v>
      </c>
      <c r="I326" s="90">
        <v>379</v>
      </c>
      <c r="J326" s="86">
        <v>0.42099999999999999</v>
      </c>
    </row>
    <row r="327" spans="1:10">
      <c r="A327" s="89">
        <v>341</v>
      </c>
      <c r="B327">
        <v>377</v>
      </c>
      <c r="C327" s="86">
        <f>ROUND(F327,3)</f>
        <v>3.0830000000000002</v>
      </c>
      <c r="F327" s="87">
        <v>3.08256</v>
      </c>
      <c r="H327" s="90">
        <v>341</v>
      </c>
      <c r="I327" s="90">
        <v>377</v>
      </c>
      <c r="J327" s="86">
        <v>3.0830000000000002</v>
      </c>
    </row>
    <row r="328" spans="1:10">
      <c r="A328" s="89">
        <v>341</v>
      </c>
      <c r="B328">
        <v>381</v>
      </c>
      <c r="C328" s="86">
        <f>ROUND(F328,3)</f>
        <v>0.67300000000000004</v>
      </c>
      <c r="F328" s="87">
        <v>0.67305599999999999</v>
      </c>
      <c r="H328" s="90">
        <v>341</v>
      </c>
      <c r="I328" s="90">
        <v>381</v>
      </c>
      <c r="J328" s="86">
        <v>0.67300000000000004</v>
      </c>
    </row>
    <row r="329" spans="1:10">
      <c r="A329" s="89">
        <v>341</v>
      </c>
      <c r="B329">
        <v>379</v>
      </c>
      <c r="C329" s="86">
        <f>ROUND(F329,3)</f>
        <v>2.81</v>
      </c>
      <c r="F329" s="87">
        <v>2.8098719999999999</v>
      </c>
      <c r="H329" s="90">
        <v>341</v>
      </c>
      <c r="I329" s="90">
        <v>379</v>
      </c>
      <c r="J329" s="86">
        <v>2.81</v>
      </c>
    </row>
    <row r="330" spans="1:10">
      <c r="A330" s="89">
        <v>356</v>
      </c>
      <c r="B330">
        <v>377</v>
      </c>
      <c r="C330" s="86">
        <f>ROUND(F330,3)</f>
        <v>9.8260000000000005</v>
      </c>
      <c r="F330" s="87">
        <v>9.8256599999999992</v>
      </c>
      <c r="H330" s="90">
        <v>356</v>
      </c>
      <c r="I330" s="90">
        <v>377</v>
      </c>
      <c r="J330" s="86">
        <v>9.8260000000000005</v>
      </c>
    </row>
    <row r="331" spans="1:10">
      <c r="A331" s="89">
        <v>356</v>
      </c>
      <c r="B331">
        <v>381</v>
      </c>
      <c r="C331" s="86">
        <f>ROUND(F331,3)</f>
        <v>1.893</v>
      </c>
      <c r="F331" s="87">
        <v>1.89297</v>
      </c>
      <c r="H331" s="90">
        <v>356</v>
      </c>
      <c r="I331" s="90">
        <v>381</v>
      </c>
      <c r="J331" s="86">
        <v>1.893</v>
      </c>
    </row>
    <row r="332" spans="1:10">
      <c r="A332" s="89">
        <v>356</v>
      </c>
      <c r="B332">
        <v>379</v>
      </c>
      <c r="C332" s="86">
        <f>ROUND(F332,3)</f>
        <v>4.2149999999999999</v>
      </c>
      <c r="F332" s="87">
        <v>4.2148079999999997</v>
      </c>
      <c r="H332" s="90">
        <v>356</v>
      </c>
      <c r="I332" s="90">
        <v>379</v>
      </c>
      <c r="J332" s="86">
        <v>4.2149999999999999</v>
      </c>
    </row>
    <row r="333" spans="1:10">
      <c r="A333" s="89">
        <v>342</v>
      </c>
      <c r="B333">
        <v>377</v>
      </c>
      <c r="C333" s="86">
        <f>ROUND(F333,3)</f>
        <v>4.6239999999999997</v>
      </c>
      <c r="F333" s="87">
        <v>4.6238400000000004</v>
      </c>
      <c r="H333" s="90">
        <v>342</v>
      </c>
      <c r="I333" s="90">
        <v>377</v>
      </c>
      <c r="J333" s="86">
        <v>4.6239999999999997</v>
      </c>
    </row>
    <row r="334" spans="1:10">
      <c r="A334" s="89">
        <v>342</v>
      </c>
      <c r="B334">
        <v>381</v>
      </c>
      <c r="C334" s="86">
        <f>ROUND(F334,3)</f>
        <v>1.01</v>
      </c>
      <c r="F334" s="87">
        <v>1.009584</v>
      </c>
      <c r="H334" s="90">
        <v>342</v>
      </c>
      <c r="I334" s="90">
        <v>381</v>
      </c>
      <c r="J334" s="86">
        <v>1.01</v>
      </c>
    </row>
    <row r="335" spans="1:10">
      <c r="A335" s="89">
        <v>342</v>
      </c>
      <c r="B335">
        <v>379</v>
      </c>
      <c r="C335" s="86">
        <f>ROUND(F335,3)</f>
        <v>4.2149999999999999</v>
      </c>
      <c r="F335" s="87">
        <v>4.2148079999999997</v>
      </c>
      <c r="H335" s="90">
        <v>342</v>
      </c>
      <c r="I335" s="90">
        <v>379</v>
      </c>
      <c r="J335" s="86">
        <v>4.2149999999999999</v>
      </c>
    </row>
    <row r="336" spans="1:10">
      <c r="A336" s="89">
        <v>357</v>
      </c>
      <c r="B336">
        <v>377</v>
      </c>
      <c r="C336" s="86">
        <f>ROUND(F336,3)</f>
        <v>14.738</v>
      </c>
      <c r="F336" s="87">
        <v>14.738490000000001</v>
      </c>
      <c r="H336" s="90">
        <v>357</v>
      </c>
      <c r="I336" s="90">
        <v>377</v>
      </c>
      <c r="J336" s="86">
        <v>14.738</v>
      </c>
    </row>
    <row r="337" spans="1:10">
      <c r="A337" s="89">
        <v>357</v>
      </c>
      <c r="B337">
        <v>381</v>
      </c>
      <c r="C337" s="86">
        <f>ROUND(F337,3)</f>
        <v>2.839</v>
      </c>
      <c r="F337" s="87">
        <v>2.8394550000000001</v>
      </c>
      <c r="H337" s="90">
        <v>357</v>
      </c>
      <c r="I337" s="90">
        <v>381</v>
      </c>
      <c r="J337" s="86">
        <v>2.839</v>
      </c>
    </row>
    <row r="338" spans="1:10">
      <c r="A338" s="89">
        <v>357</v>
      </c>
      <c r="B338">
        <v>379</v>
      </c>
      <c r="C338" s="86">
        <f>ROUND(F338,3)</f>
        <v>6.3220000000000001</v>
      </c>
      <c r="F338" s="87">
        <v>6.3222120000000004</v>
      </c>
      <c r="H338" s="90">
        <v>357</v>
      </c>
      <c r="I338" s="90">
        <v>379</v>
      </c>
      <c r="J338" s="86">
        <v>6.3220000000000001</v>
      </c>
    </row>
    <row r="339" spans="1:10">
      <c r="A339" s="89">
        <v>343</v>
      </c>
      <c r="B339">
        <v>377</v>
      </c>
      <c r="C339" s="86">
        <f>ROUND(F339,3)</f>
        <v>6.165</v>
      </c>
      <c r="F339" s="87">
        <v>6.1651199999999999</v>
      </c>
      <c r="H339" s="90">
        <v>343</v>
      </c>
      <c r="I339" s="90">
        <v>377</v>
      </c>
      <c r="J339" s="86">
        <v>6.165</v>
      </c>
    </row>
    <row r="340" spans="1:10">
      <c r="A340" s="89">
        <v>343</v>
      </c>
      <c r="B340">
        <v>381</v>
      </c>
      <c r="C340" s="86">
        <f>ROUND(F340,3)</f>
        <v>1.3460000000000001</v>
      </c>
      <c r="F340" s="87">
        <v>1.346112</v>
      </c>
      <c r="H340" s="90">
        <v>343</v>
      </c>
      <c r="I340" s="90">
        <v>381</v>
      </c>
      <c r="J340" s="86">
        <v>1.3460000000000001</v>
      </c>
    </row>
    <row r="341" spans="1:10">
      <c r="A341" s="89">
        <v>343</v>
      </c>
      <c r="B341">
        <v>379</v>
      </c>
      <c r="C341" s="86">
        <f>ROUND(F341,3)</f>
        <v>5.62</v>
      </c>
      <c r="F341" s="87">
        <v>5.6197439999999999</v>
      </c>
      <c r="H341" s="90">
        <v>343</v>
      </c>
      <c r="I341" s="90">
        <v>379</v>
      </c>
      <c r="J341" s="86">
        <v>5.62</v>
      </c>
    </row>
    <row r="342" spans="1:10">
      <c r="A342" s="89">
        <v>358</v>
      </c>
      <c r="B342">
        <v>377</v>
      </c>
      <c r="C342" s="86">
        <f>ROUND(F342,3)</f>
        <v>19.651</v>
      </c>
      <c r="F342" s="87">
        <v>19.651319999999998</v>
      </c>
      <c r="H342" s="90">
        <v>358</v>
      </c>
      <c r="I342" s="90">
        <v>377</v>
      </c>
      <c r="J342" s="86">
        <v>19.651</v>
      </c>
    </row>
    <row r="343" spans="1:10">
      <c r="A343" s="89">
        <v>358</v>
      </c>
      <c r="B343">
        <v>381</v>
      </c>
      <c r="C343" s="86">
        <f>ROUND(F343,3)</f>
        <v>3.786</v>
      </c>
      <c r="F343" s="87">
        <v>3.7859400000000001</v>
      </c>
      <c r="H343" s="90">
        <v>358</v>
      </c>
      <c r="I343" s="90">
        <v>381</v>
      </c>
      <c r="J343" s="86">
        <v>3.786</v>
      </c>
    </row>
    <row r="344" spans="1:10">
      <c r="A344" s="89">
        <v>358</v>
      </c>
      <c r="B344">
        <v>379</v>
      </c>
      <c r="C344" s="86">
        <f>ROUND(F344,3)</f>
        <v>8.43</v>
      </c>
      <c r="F344" s="87">
        <v>8.4296159999999993</v>
      </c>
      <c r="H344" s="90">
        <v>358</v>
      </c>
      <c r="I344" s="90">
        <v>379</v>
      </c>
      <c r="J344" s="86">
        <v>8.43</v>
      </c>
    </row>
    <row r="345" spans="1:10">
      <c r="A345" s="89">
        <v>336</v>
      </c>
      <c r="B345">
        <v>377</v>
      </c>
      <c r="C345" s="86">
        <f>ROUND(F345,3)</f>
        <v>0.77100000000000002</v>
      </c>
      <c r="F345" s="87">
        <v>0.77063999999999999</v>
      </c>
      <c r="H345" s="90">
        <v>336</v>
      </c>
      <c r="I345" s="90">
        <v>377</v>
      </c>
      <c r="J345" s="86">
        <v>0.77100000000000002</v>
      </c>
    </row>
    <row r="346" spans="1:10">
      <c r="A346" s="89">
        <v>336</v>
      </c>
      <c r="B346">
        <v>381</v>
      </c>
      <c r="C346" s="86">
        <f>ROUND(F346,3)</f>
        <v>0.16800000000000001</v>
      </c>
      <c r="F346" s="87">
        <v>0.168264</v>
      </c>
      <c r="H346" s="90">
        <v>336</v>
      </c>
      <c r="I346" s="90">
        <v>381</v>
      </c>
      <c r="J346" s="86">
        <v>0.16800000000000001</v>
      </c>
    </row>
    <row r="347" spans="1:10">
      <c r="A347" s="89">
        <v>336</v>
      </c>
      <c r="B347">
        <v>379</v>
      </c>
      <c r="C347" s="86">
        <f>ROUND(F347,3)</f>
        <v>0.70199999999999996</v>
      </c>
      <c r="F347" s="87">
        <v>0.70246799999999998</v>
      </c>
      <c r="H347" s="90">
        <v>336</v>
      </c>
      <c r="I347" s="90">
        <v>379</v>
      </c>
      <c r="J347" s="86">
        <v>0.70199999999999996</v>
      </c>
    </row>
    <row r="348" spans="1:10">
      <c r="A348" s="89">
        <v>351</v>
      </c>
      <c r="B348">
        <v>377</v>
      </c>
      <c r="C348" s="86">
        <f>ROUND(F348,3)</f>
        <v>2.456</v>
      </c>
      <c r="F348" s="87">
        <v>2.4564149999999998</v>
      </c>
      <c r="H348" s="90">
        <v>351</v>
      </c>
      <c r="I348" s="90">
        <v>377</v>
      </c>
      <c r="J348" s="86">
        <v>2.456</v>
      </c>
    </row>
    <row r="349" spans="1:10">
      <c r="A349" s="89">
        <v>351</v>
      </c>
      <c r="B349">
        <v>381</v>
      </c>
      <c r="C349" s="86">
        <f>ROUND(F349,3)</f>
        <v>0.47299999999999998</v>
      </c>
      <c r="F349" s="87">
        <v>0.47324250000000001</v>
      </c>
      <c r="H349" s="90">
        <v>351</v>
      </c>
      <c r="I349" s="90">
        <v>381</v>
      </c>
      <c r="J349" s="86">
        <v>0.47299999999999998</v>
      </c>
    </row>
    <row r="350" spans="1:10">
      <c r="A350" s="89">
        <v>351</v>
      </c>
      <c r="B350">
        <v>379</v>
      </c>
      <c r="C350" s="86">
        <f>ROUND(F350,3)</f>
        <v>1.054</v>
      </c>
      <c r="F350" s="87">
        <v>1.0537019999999999</v>
      </c>
      <c r="H350" s="90">
        <v>351</v>
      </c>
      <c r="I350" s="90">
        <v>379</v>
      </c>
      <c r="J350" s="86">
        <v>1.054</v>
      </c>
    </row>
    <row r="351" spans="1:10">
      <c r="A351" s="89">
        <v>344</v>
      </c>
      <c r="B351">
        <v>377</v>
      </c>
      <c r="C351" s="86">
        <f>ROUND(F351,3)</f>
        <v>7.7060000000000004</v>
      </c>
      <c r="F351" s="87">
        <v>7.7064000000000004</v>
      </c>
      <c r="H351" s="90">
        <v>344</v>
      </c>
      <c r="I351" s="90">
        <v>377</v>
      </c>
      <c r="J351" s="86">
        <v>7.7060000000000004</v>
      </c>
    </row>
    <row r="352" spans="1:10">
      <c r="A352" s="89">
        <v>344</v>
      </c>
      <c r="B352">
        <v>381</v>
      </c>
      <c r="C352" s="86">
        <f>ROUND(F352,3)</f>
        <v>1.6830000000000001</v>
      </c>
      <c r="F352" s="87">
        <v>1.6826399999999999</v>
      </c>
      <c r="H352" s="90">
        <v>344</v>
      </c>
      <c r="I352" s="90">
        <v>381</v>
      </c>
      <c r="J352" s="86">
        <v>1.6830000000000001</v>
      </c>
    </row>
    <row r="353" spans="1:10">
      <c r="A353" s="89">
        <v>344</v>
      </c>
      <c r="B353">
        <v>379</v>
      </c>
      <c r="C353" s="86">
        <f>ROUND(F353,3)</f>
        <v>7.0250000000000004</v>
      </c>
      <c r="F353" s="87">
        <v>7.02468</v>
      </c>
      <c r="H353" s="90">
        <v>344</v>
      </c>
      <c r="I353" s="90">
        <v>379</v>
      </c>
      <c r="J353" s="86">
        <v>7.0250000000000004</v>
      </c>
    </row>
    <row r="354" spans="1:10">
      <c r="A354" s="89">
        <v>359</v>
      </c>
      <c r="B354">
        <v>377</v>
      </c>
      <c r="C354" s="86">
        <f>ROUND(F354,3)</f>
        <v>24.564</v>
      </c>
      <c r="F354" s="87">
        <v>24.564150000000001</v>
      </c>
      <c r="H354" s="90">
        <v>359</v>
      </c>
      <c r="I354" s="90">
        <v>377</v>
      </c>
      <c r="J354" s="86">
        <v>24.564</v>
      </c>
    </row>
    <row r="355" spans="1:10">
      <c r="A355" s="89">
        <v>359</v>
      </c>
      <c r="B355">
        <v>381</v>
      </c>
      <c r="C355" s="86">
        <f>ROUND(F355,3)</f>
        <v>4.7320000000000002</v>
      </c>
      <c r="F355" s="87">
        <v>4.7324250000000001</v>
      </c>
      <c r="H355" s="90">
        <v>359</v>
      </c>
      <c r="I355" s="90">
        <v>381</v>
      </c>
      <c r="J355" s="86">
        <v>4.7320000000000002</v>
      </c>
    </row>
    <row r="356" spans="1:10">
      <c r="A356" s="89">
        <v>359</v>
      </c>
      <c r="B356">
        <v>379</v>
      </c>
      <c r="C356" s="86">
        <f>ROUND(F356,3)</f>
        <v>10.537000000000001</v>
      </c>
      <c r="F356" s="87">
        <v>10.53702</v>
      </c>
      <c r="H356" s="90">
        <v>359</v>
      </c>
      <c r="I356" s="90">
        <v>379</v>
      </c>
      <c r="J356" s="86">
        <v>10.537000000000001</v>
      </c>
    </row>
    <row r="357" spans="1:10">
      <c r="A357" s="89">
        <v>337</v>
      </c>
      <c r="B357">
        <v>377</v>
      </c>
      <c r="C357" s="86">
        <f>ROUND(F357,3)</f>
        <v>1.079</v>
      </c>
      <c r="F357" s="87">
        <v>1.0788960000000001</v>
      </c>
      <c r="H357" s="90">
        <v>337</v>
      </c>
      <c r="I357" s="90">
        <v>377</v>
      </c>
      <c r="J357" s="86">
        <v>1.079</v>
      </c>
    </row>
    <row r="358" spans="1:10">
      <c r="A358" s="89">
        <v>337</v>
      </c>
      <c r="B358">
        <v>381</v>
      </c>
      <c r="C358" s="86">
        <f>ROUND(F358,3)</f>
        <v>0.23599999999999999</v>
      </c>
      <c r="F358" s="87">
        <v>0.23556959999999999</v>
      </c>
      <c r="H358" s="90">
        <v>337</v>
      </c>
      <c r="I358" s="90">
        <v>381</v>
      </c>
      <c r="J358" s="86">
        <v>0.23599999999999999</v>
      </c>
    </row>
    <row r="359" spans="1:10">
      <c r="A359" s="89">
        <v>337</v>
      </c>
      <c r="B359">
        <v>379</v>
      </c>
      <c r="C359" s="86">
        <f>ROUND(F359,3)</f>
        <v>0.98299999999999998</v>
      </c>
      <c r="F359" s="87">
        <v>0.98345519999999997</v>
      </c>
      <c r="H359" s="90">
        <v>337</v>
      </c>
      <c r="I359" s="90">
        <v>379</v>
      </c>
      <c r="J359" s="86">
        <v>0.98299999999999998</v>
      </c>
    </row>
    <row r="360" spans="1:10">
      <c r="A360" s="89">
        <v>352</v>
      </c>
      <c r="B360">
        <v>377</v>
      </c>
      <c r="C360" s="86">
        <f>ROUND(F360,3)</f>
        <v>3.4390000000000001</v>
      </c>
      <c r="F360" s="87">
        <v>3.4389810000000001</v>
      </c>
      <c r="H360" s="90">
        <v>352</v>
      </c>
      <c r="I360" s="90">
        <v>377</v>
      </c>
      <c r="J360" s="86">
        <v>3.4390000000000001</v>
      </c>
    </row>
    <row r="361" spans="1:10">
      <c r="A361" s="89">
        <v>352</v>
      </c>
      <c r="B361">
        <v>381</v>
      </c>
      <c r="C361" s="86">
        <f>ROUND(F361,3)</f>
        <v>0.66300000000000003</v>
      </c>
      <c r="F361" s="87">
        <v>0.66253949999999995</v>
      </c>
      <c r="H361" s="90">
        <v>352</v>
      </c>
      <c r="I361" s="90">
        <v>381</v>
      </c>
      <c r="J361" s="86">
        <v>0.66300000000000003</v>
      </c>
    </row>
    <row r="362" spans="1:10">
      <c r="A362" s="89">
        <v>352</v>
      </c>
      <c r="B362">
        <v>379</v>
      </c>
      <c r="C362" s="86">
        <f>ROUND(F362,3)</f>
        <v>1.4750000000000001</v>
      </c>
      <c r="F362" s="87">
        <v>1.4751828</v>
      </c>
      <c r="H362" s="90">
        <v>352</v>
      </c>
      <c r="I362" s="90">
        <v>379</v>
      </c>
      <c r="J362" s="86">
        <v>1.4750000000000001</v>
      </c>
    </row>
    <row r="363" spans="1:10">
      <c r="A363" s="89">
        <v>345</v>
      </c>
      <c r="B363">
        <v>377</v>
      </c>
      <c r="C363" s="86">
        <f>ROUND(F363,3)</f>
        <v>12.33</v>
      </c>
      <c r="F363" s="87">
        <v>12.33024</v>
      </c>
      <c r="H363" s="90">
        <v>345</v>
      </c>
      <c r="I363" s="90">
        <v>377</v>
      </c>
      <c r="J363" s="86">
        <v>12.33</v>
      </c>
    </row>
    <row r="364" spans="1:10">
      <c r="A364" s="89">
        <v>345</v>
      </c>
      <c r="B364">
        <v>381</v>
      </c>
      <c r="C364" s="86">
        <f>ROUND(F364,3)</f>
        <v>2.6920000000000002</v>
      </c>
      <c r="F364" s="87">
        <v>2.692224</v>
      </c>
      <c r="H364" s="90">
        <v>345</v>
      </c>
      <c r="I364" s="90">
        <v>381</v>
      </c>
      <c r="J364" s="86">
        <v>2.6920000000000002</v>
      </c>
    </row>
    <row r="365" spans="1:10">
      <c r="A365" s="89">
        <v>345</v>
      </c>
      <c r="B365">
        <v>379</v>
      </c>
      <c r="C365" s="86">
        <f>ROUND(F365,3)</f>
        <v>11.239000000000001</v>
      </c>
      <c r="F365" s="87">
        <v>11.239488</v>
      </c>
      <c r="H365" s="90">
        <v>345</v>
      </c>
      <c r="I365" s="90">
        <v>379</v>
      </c>
      <c r="J365" s="86">
        <v>11.239000000000001</v>
      </c>
    </row>
    <row r="366" spans="1:10">
      <c r="A366" s="89">
        <v>360</v>
      </c>
      <c r="B366">
        <v>377</v>
      </c>
      <c r="C366" s="86">
        <f>ROUND(F366,3)</f>
        <v>39.302999999999997</v>
      </c>
      <c r="F366" s="87">
        <v>39.302639999999997</v>
      </c>
      <c r="H366" s="90">
        <v>360</v>
      </c>
      <c r="I366" s="90">
        <v>377</v>
      </c>
      <c r="J366" s="86">
        <v>39.302999999999997</v>
      </c>
    </row>
    <row r="367" spans="1:10">
      <c r="A367" s="89">
        <v>360</v>
      </c>
      <c r="B367">
        <v>381</v>
      </c>
      <c r="C367" s="86">
        <f>ROUND(F367,3)</f>
        <v>7.5720000000000001</v>
      </c>
      <c r="F367" s="87">
        <v>7.5718800000000002</v>
      </c>
      <c r="H367" s="90">
        <v>360</v>
      </c>
      <c r="I367" s="90">
        <v>381</v>
      </c>
      <c r="J367" s="86">
        <v>7.5720000000000001</v>
      </c>
    </row>
    <row r="368" spans="1:10">
      <c r="A368" s="89">
        <v>360</v>
      </c>
      <c r="B368">
        <v>379</v>
      </c>
      <c r="C368" s="86">
        <f>ROUND(F368,3)</f>
        <v>16.859000000000002</v>
      </c>
      <c r="F368" s="87">
        <v>16.859231999999999</v>
      </c>
      <c r="H368" s="90">
        <v>360</v>
      </c>
      <c r="I368" s="90">
        <v>379</v>
      </c>
      <c r="J368" s="86">
        <v>16.859000000000002</v>
      </c>
    </row>
    <row r="369" spans="1:10">
      <c r="A369" s="89">
        <v>349</v>
      </c>
      <c r="B369">
        <v>377</v>
      </c>
      <c r="C369" s="86">
        <f>ROUND(F369,3)</f>
        <v>197.28399999999999</v>
      </c>
      <c r="F369" s="87">
        <v>197.28384</v>
      </c>
      <c r="H369" s="90">
        <v>349</v>
      </c>
      <c r="I369" s="90">
        <v>377</v>
      </c>
      <c r="J369" s="86">
        <v>197.28399999999999</v>
      </c>
    </row>
    <row r="370" spans="1:10">
      <c r="A370" s="89">
        <v>349</v>
      </c>
      <c r="B370">
        <v>381</v>
      </c>
      <c r="C370" s="86">
        <f>ROUND(F370,3)</f>
        <v>43.076000000000001</v>
      </c>
      <c r="F370" s="87">
        <v>43.075583999999999</v>
      </c>
      <c r="H370" s="90">
        <v>349</v>
      </c>
      <c r="I370" s="90">
        <v>381</v>
      </c>
      <c r="J370" s="86">
        <v>43.076000000000001</v>
      </c>
    </row>
    <row r="371" spans="1:10">
      <c r="A371" s="89">
        <v>349</v>
      </c>
      <c r="B371">
        <v>379</v>
      </c>
      <c r="C371" s="86">
        <f>ROUND(F371,3)</f>
        <v>179.83199999999999</v>
      </c>
      <c r="F371" s="87">
        <v>179.831808</v>
      </c>
      <c r="H371" s="90">
        <v>349</v>
      </c>
      <c r="I371" s="90">
        <v>379</v>
      </c>
      <c r="J371" s="86">
        <v>179.83199999999999</v>
      </c>
    </row>
    <row r="372" spans="1:10">
      <c r="A372" s="89">
        <v>266</v>
      </c>
      <c r="B372">
        <v>407</v>
      </c>
      <c r="C372" s="86">
        <f>ROUND(F372,3)</f>
        <v>5.4279999999999999</v>
      </c>
      <c r="F372" s="87">
        <v>5.4282240000000002</v>
      </c>
      <c r="H372" s="90">
        <v>266</v>
      </c>
      <c r="I372" s="90">
        <v>407</v>
      </c>
      <c r="J372" s="86">
        <v>5.4279999999999999</v>
      </c>
    </row>
    <row r="373" spans="1:10">
      <c r="A373" s="89">
        <v>266</v>
      </c>
      <c r="B373">
        <v>379</v>
      </c>
      <c r="C373" s="86">
        <f>ROUND(F373,3)</f>
        <v>131.05199999999999</v>
      </c>
      <c r="F373" s="87">
        <v>131.05152000000001</v>
      </c>
      <c r="H373" s="90">
        <v>266</v>
      </c>
      <c r="I373" s="90">
        <v>379</v>
      </c>
      <c r="J373" s="86">
        <v>131.05199999999999</v>
      </c>
    </row>
    <row r="374" spans="1:10">
      <c r="A374" s="89">
        <v>270</v>
      </c>
      <c r="B374">
        <v>407</v>
      </c>
      <c r="C374" s="86">
        <f>ROUND(F374,3)</f>
        <v>8.1419999999999995</v>
      </c>
      <c r="F374" s="87">
        <v>8.1423360000000002</v>
      </c>
      <c r="H374" s="90">
        <v>270</v>
      </c>
      <c r="I374" s="90">
        <v>407</v>
      </c>
      <c r="J374" s="86">
        <v>8.1419999999999995</v>
      </c>
    </row>
    <row r="375" spans="1:10">
      <c r="A375" s="89">
        <v>270</v>
      </c>
      <c r="B375">
        <v>379</v>
      </c>
      <c r="C375" s="86">
        <f>ROUND(F375,3)</f>
        <v>196.577</v>
      </c>
      <c r="F375" s="87">
        <v>196.57728</v>
      </c>
      <c r="H375" s="90">
        <v>270</v>
      </c>
      <c r="I375" s="90">
        <v>379</v>
      </c>
      <c r="J375" s="86">
        <v>196.577</v>
      </c>
    </row>
    <row r="376" spans="1:10">
      <c r="A376" s="89">
        <v>267</v>
      </c>
      <c r="B376">
        <v>407</v>
      </c>
      <c r="C376" s="86">
        <f>ROUND(F376,3)</f>
        <v>7.2380000000000004</v>
      </c>
      <c r="F376" s="87">
        <v>7.2376319999999996</v>
      </c>
      <c r="H376" s="90">
        <v>267</v>
      </c>
      <c r="I376" s="90">
        <v>407</v>
      </c>
      <c r="J376" s="86">
        <v>7.2380000000000004</v>
      </c>
    </row>
    <row r="377" spans="1:10">
      <c r="A377" s="89">
        <v>267</v>
      </c>
      <c r="B377">
        <v>379</v>
      </c>
      <c r="C377" s="86">
        <f>ROUND(F377,3)</f>
        <v>174.73500000000001</v>
      </c>
      <c r="F377" s="87">
        <v>174.73535999999999</v>
      </c>
      <c r="H377" s="90">
        <v>267</v>
      </c>
      <c r="I377" s="90">
        <v>379</v>
      </c>
      <c r="J377" s="86">
        <v>174.73500000000001</v>
      </c>
    </row>
    <row r="378" spans="1:10">
      <c r="A378" s="89">
        <v>271</v>
      </c>
      <c r="B378">
        <v>407</v>
      </c>
      <c r="C378" s="86">
        <f>ROUND(F378,3)</f>
        <v>10.856</v>
      </c>
      <c r="F378" s="87">
        <v>10.856448</v>
      </c>
      <c r="H378" s="90">
        <v>271</v>
      </c>
      <c r="I378" s="90">
        <v>407</v>
      </c>
      <c r="J378" s="86">
        <v>10.856</v>
      </c>
    </row>
    <row r="379" spans="1:10">
      <c r="A379" s="89">
        <v>271</v>
      </c>
      <c r="B379">
        <v>379</v>
      </c>
      <c r="C379" s="86">
        <f>ROUND(F379,3)</f>
        <v>262.10300000000001</v>
      </c>
      <c r="F379" s="87">
        <v>262.10304000000002</v>
      </c>
      <c r="H379" s="90">
        <v>271</v>
      </c>
      <c r="I379" s="90">
        <v>379</v>
      </c>
      <c r="J379" s="86">
        <v>262.10300000000001</v>
      </c>
    </row>
    <row r="380" spans="1:10">
      <c r="A380" s="89">
        <v>262</v>
      </c>
      <c r="B380">
        <v>407</v>
      </c>
      <c r="C380" s="86">
        <f>ROUND(F380,3)</f>
        <v>0.27100000000000002</v>
      </c>
      <c r="F380" s="87">
        <v>0.27141120000000002</v>
      </c>
      <c r="H380" s="90">
        <v>262</v>
      </c>
      <c r="I380" s="90">
        <v>407</v>
      </c>
      <c r="J380" s="86">
        <v>0.27100000000000002</v>
      </c>
    </row>
    <row r="381" spans="1:10">
      <c r="A381" s="89">
        <v>262</v>
      </c>
      <c r="B381">
        <v>379</v>
      </c>
      <c r="C381" s="86">
        <f>ROUND(F381,3)</f>
        <v>6.5529999999999999</v>
      </c>
      <c r="F381" s="87">
        <v>6.5525760000000002</v>
      </c>
      <c r="H381" s="90">
        <v>262</v>
      </c>
      <c r="I381" s="90">
        <v>379</v>
      </c>
      <c r="J381" s="86">
        <v>6.5529999999999999</v>
      </c>
    </row>
    <row r="382" spans="1:10">
      <c r="A382" s="89">
        <v>264</v>
      </c>
      <c r="B382">
        <v>407</v>
      </c>
      <c r="C382" s="86">
        <f>ROUND(F382,3)</f>
        <v>0.36199999999999999</v>
      </c>
      <c r="F382" s="87">
        <v>0.36188160000000003</v>
      </c>
      <c r="H382" s="90">
        <v>264</v>
      </c>
      <c r="I382" s="90">
        <v>407</v>
      </c>
      <c r="J382" s="86">
        <v>0.36199999999999999</v>
      </c>
    </row>
    <row r="383" spans="1:10">
      <c r="A383" s="89">
        <v>264</v>
      </c>
      <c r="B383">
        <v>379</v>
      </c>
      <c r="C383" s="86">
        <f>ROUND(F383,3)</f>
        <v>8.7370000000000001</v>
      </c>
      <c r="F383" s="87">
        <v>8.7367679999999996</v>
      </c>
      <c r="H383" s="90">
        <v>264</v>
      </c>
      <c r="I383" s="90">
        <v>379</v>
      </c>
      <c r="J383" s="86">
        <v>8.7370000000000001</v>
      </c>
    </row>
    <row r="384" spans="1:10">
      <c r="A384" s="89">
        <v>268</v>
      </c>
      <c r="B384">
        <v>407</v>
      </c>
      <c r="C384" s="86">
        <f>ROUND(F384,3)</f>
        <v>0.54300000000000004</v>
      </c>
      <c r="F384" s="87">
        <v>0.54282240000000004</v>
      </c>
      <c r="H384" s="90">
        <v>268</v>
      </c>
      <c r="I384" s="90">
        <v>407</v>
      </c>
      <c r="J384" s="86">
        <v>0.54300000000000004</v>
      </c>
    </row>
    <row r="385" spans="1:10">
      <c r="A385" s="89">
        <v>268</v>
      </c>
      <c r="B385">
        <v>379</v>
      </c>
      <c r="C385" s="86">
        <f>ROUND(F385,3)</f>
        <v>13.105</v>
      </c>
      <c r="F385" s="87">
        <v>13.105152</v>
      </c>
      <c r="H385" s="90">
        <v>268</v>
      </c>
      <c r="I385" s="90">
        <v>379</v>
      </c>
      <c r="J385" s="86">
        <v>13.105</v>
      </c>
    </row>
    <row r="386" spans="1:10">
      <c r="A386" s="89">
        <v>263</v>
      </c>
      <c r="B386">
        <v>407</v>
      </c>
      <c r="C386" s="86">
        <f>ROUND(F386,3)</f>
        <v>0.33900000000000002</v>
      </c>
      <c r="F386" s="87">
        <v>0.33926400000000001</v>
      </c>
      <c r="H386" s="90">
        <v>263</v>
      </c>
      <c r="I386" s="90">
        <v>407</v>
      </c>
      <c r="J386" s="86">
        <v>0.33900000000000002</v>
      </c>
    </row>
    <row r="387" spans="1:10">
      <c r="A387" s="89">
        <v>263</v>
      </c>
      <c r="B387">
        <v>379</v>
      </c>
      <c r="C387" s="86">
        <f>ROUND(F387,3)</f>
        <v>8.1910000000000007</v>
      </c>
      <c r="F387" s="87">
        <v>8.1907200000000007</v>
      </c>
      <c r="H387" s="90">
        <v>263</v>
      </c>
      <c r="I387" s="90">
        <v>379</v>
      </c>
      <c r="J387" s="86">
        <v>8.1910000000000007</v>
      </c>
    </row>
    <row r="388" spans="1:10">
      <c r="A388" s="89">
        <v>265</v>
      </c>
      <c r="B388">
        <v>407</v>
      </c>
      <c r="C388" s="86">
        <f>ROUND(F388,3)</f>
        <v>0.45200000000000001</v>
      </c>
      <c r="F388" s="87">
        <v>0.45235199999999998</v>
      </c>
      <c r="H388" s="90">
        <v>265</v>
      </c>
      <c r="I388" s="90">
        <v>407</v>
      </c>
      <c r="J388" s="86">
        <v>0.45200000000000001</v>
      </c>
    </row>
    <row r="389" spans="1:10">
      <c r="A389" s="89">
        <v>265</v>
      </c>
      <c r="B389">
        <v>379</v>
      </c>
      <c r="C389" s="86">
        <f>ROUND(F389,3)</f>
        <v>10.920999999999999</v>
      </c>
      <c r="F389" s="87">
        <v>10.920959999999999</v>
      </c>
      <c r="H389" s="90">
        <v>265</v>
      </c>
      <c r="I389" s="90">
        <v>379</v>
      </c>
      <c r="J389" s="86">
        <v>10.920999999999999</v>
      </c>
    </row>
    <row r="390" spans="1:10">
      <c r="A390" s="89">
        <v>269</v>
      </c>
      <c r="B390">
        <v>407</v>
      </c>
      <c r="C390" s="86">
        <f>ROUND(F390,3)</f>
        <v>0.67900000000000005</v>
      </c>
      <c r="F390" s="87">
        <v>0.67852800000000002</v>
      </c>
      <c r="H390" s="90">
        <v>269</v>
      </c>
      <c r="I390" s="90">
        <v>407</v>
      </c>
      <c r="J390" s="86">
        <v>0.67900000000000005</v>
      </c>
    </row>
    <row r="391" spans="1:10">
      <c r="A391" s="89">
        <v>269</v>
      </c>
      <c r="B391">
        <v>379</v>
      </c>
      <c r="C391" s="86">
        <f>ROUND(F391,3)</f>
        <v>16.381</v>
      </c>
      <c r="F391" s="87">
        <v>16.381440000000001</v>
      </c>
      <c r="H391" s="90">
        <v>269</v>
      </c>
      <c r="I391" s="90">
        <v>379</v>
      </c>
      <c r="J391" s="86">
        <v>16.381</v>
      </c>
    </row>
    <row r="392" spans="1:10">
      <c r="A392" s="89">
        <v>274</v>
      </c>
      <c r="B392">
        <v>421</v>
      </c>
      <c r="C392" s="86">
        <f>ROUND(F392,3)</f>
        <v>8.0000000000000002E-3</v>
      </c>
      <c r="F392" s="87">
        <v>7.79E-3</v>
      </c>
      <c r="H392" s="90">
        <v>274</v>
      </c>
      <c r="I392" s="90">
        <v>421</v>
      </c>
      <c r="J392" s="86">
        <v>8.0000000000000002E-3</v>
      </c>
    </row>
    <row r="393" spans="1:10">
      <c r="A393" s="89">
        <v>274</v>
      </c>
      <c r="B393">
        <v>379</v>
      </c>
      <c r="C393" s="86">
        <f>ROUND(F393,3)</f>
        <v>2.1389999999999998</v>
      </c>
      <c r="F393" s="87">
        <v>2.138925</v>
      </c>
      <c r="H393" s="90">
        <v>274</v>
      </c>
      <c r="I393" s="90">
        <v>379</v>
      </c>
      <c r="J393" s="86">
        <v>2.1389999999999998</v>
      </c>
    </row>
    <row r="394" spans="1:10">
      <c r="A394" s="89">
        <v>282</v>
      </c>
      <c r="B394">
        <v>421</v>
      </c>
      <c r="C394" s="86">
        <f>ROUND(F394,3)</f>
        <v>1.2E-2</v>
      </c>
      <c r="F394" s="87">
        <v>1.1684999999999999E-2</v>
      </c>
      <c r="H394" s="90">
        <v>282</v>
      </c>
      <c r="I394" s="90">
        <v>421</v>
      </c>
      <c r="J394" s="86">
        <v>1.2E-2</v>
      </c>
    </row>
    <row r="395" spans="1:10">
      <c r="A395" s="89">
        <v>282</v>
      </c>
      <c r="B395">
        <v>379</v>
      </c>
      <c r="C395" s="86">
        <f>ROUND(F395,3)</f>
        <v>3.2080000000000002</v>
      </c>
      <c r="F395" s="87">
        <v>3.2083875000000002</v>
      </c>
      <c r="H395" s="90">
        <v>282</v>
      </c>
      <c r="I395" s="90">
        <v>379</v>
      </c>
      <c r="J395" s="86">
        <v>3.2080000000000002</v>
      </c>
    </row>
    <row r="396" spans="1:10">
      <c r="A396" s="89">
        <v>275</v>
      </c>
      <c r="B396">
        <v>421</v>
      </c>
      <c r="C396" s="86">
        <f>ROUND(F396,3)</f>
        <v>1.0999999999999999E-2</v>
      </c>
      <c r="F396" s="87">
        <v>1.0906000000000001E-2</v>
      </c>
      <c r="H396" s="90">
        <v>275</v>
      </c>
      <c r="I396" s="90">
        <v>421</v>
      </c>
      <c r="J396" s="86">
        <v>1.0999999999999999E-2</v>
      </c>
    </row>
    <row r="397" spans="1:10">
      <c r="A397" s="89">
        <v>275</v>
      </c>
      <c r="B397">
        <v>379</v>
      </c>
      <c r="C397" s="86">
        <f>ROUND(F397,3)</f>
        <v>2.9940000000000002</v>
      </c>
      <c r="F397" s="87">
        <v>2.9944950000000001</v>
      </c>
      <c r="H397" s="90">
        <v>275</v>
      </c>
      <c r="I397" s="90">
        <v>379</v>
      </c>
      <c r="J397" s="86">
        <v>2.9940000000000002</v>
      </c>
    </row>
    <row r="398" spans="1:10">
      <c r="A398" s="89">
        <v>283</v>
      </c>
      <c r="B398">
        <v>421</v>
      </c>
      <c r="C398" s="86">
        <f>ROUND(F398,3)</f>
        <v>1.6E-2</v>
      </c>
      <c r="F398" s="87">
        <v>1.6358999999999999E-2</v>
      </c>
      <c r="H398" s="90">
        <v>283</v>
      </c>
      <c r="I398" s="90">
        <v>421</v>
      </c>
      <c r="J398" s="86">
        <v>1.6E-2</v>
      </c>
    </row>
    <row r="399" spans="1:10">
      <c r="A399" s="89">
        <v>283</v>
      </c>
      <c r="B399">
        <v>379</v>
      </c>
      <c r="C399" s="86">
        <f>ROUND(F399,3)</f>
        <v>4.492</v>
      </c>
      <c r="F399" s="87">
        <v>4.4917425</v>
      </c>
      <c r="H399" s="90">
        <v>283</v>
      </c>
      <c r="I399" s="90">
        <v>379</v>
      </c>
      <c r="J399" s="86">
        <v>4.492</v>
      </c>
    </row>
    <row r="400" spans="1:10">
      <c r="A400" s="89">
        <v>276</v>
      </c>
      <c r="B400">
        <v>421</v>
      </c>
      <c r="C400" s="86">
        <f>ROUND(F400,3)</f>
        <v>1.6E-2</v>
      </c>
      <c r="F400" s="87">
        <v>1.558E-2</v>
      </c>
      <c r="H400" s="90">
        <v>276</v>
      </c>
      <c r="I400" s="90">
        <v>421</v>
      </c>
      <c r="J400" s="86">
        <v>1.6E-2</v>
      </c>
    </row>
    <row r="401" spans="1:10">
      <c r="A401" s="89">
        <v>276</v>
      </c>
      <c r="B401">
        <v>379</v>
      </c>
      <c r="C401" s="86">
        <f>ROUND(F401,3)</f>
        <v>4.2779999999999996</v>
      </c>
      <c r="F401" s="87">
        <v>4.2778499999999999</v>
      </c>
      <c r="H401" s="90">
        <v>276</v>
      </c>
      <c r="I401" s="90">
        <v>379</v>
      </c>
      <c r="J401" s="86">
        <v>4.2779999999999996</v>
      </c>
    </row>
    <row r="402" spans="1:10">
      <c r="A402" s="89">
        <v>284</v>
      </c>
      <c r="B402">
        <v>421</v>
      </c>
      <c r="C402" s="86">
        <f>ROUND(F402,3)</f>
        <v>2.3E-2</v>
      </c>
      <c r="F402" s="87">
        <v>2.3369999999999998E-2</v>
      </c>
      <c r="H402" s="90">
        <v>284</v>
      </c>
      <c r="I402" s="90">
        <v>421</v>
      </c>
      <c r="J402" s="86">
        <v>2.3E-2</v>
      </c>
    </row>
    <row r="403" spans="1:10">
      <c r="A403" s="89">
        <v>284</v>
      </c>
      <c r="B403">
        <v>379</v>
      </c>
      <c r="C403" s="86">
        <f>ROUND(F403,3)</f>
        <v>6.4169999999999998</v>
      </c>
      <c r="F403" s="87">
        <v>6.4167750000000003</v>
      </c>
      <c r="H403" s="90">
        <v>284</v>
      </c>
      <c r="I403" s="90">
        <v>379</v>
      </c>
      <c r="J403" s="86">
        <v>6.4169999999999998</v>
      </c>
    </row>
    <row r="404" spans="1:10">
      <c r="A404" s="89">
        <v>277</v>
      </c>
      <c r="B404">
        <v>421</v>
      </c>
      <c r="C404" s="86">
        <f>ROUND(F404,3)</f>
        <v>2.3E-2</v>
      </c>
      <c r="F404" s="87">
        <v>2.3369999999999998E-2</v>
      </c>
      <c r="H404" s="90">
        <v>277</v>
      </c>
      <c r="I404" s="90">
        <v>421</v>
      </c>
      <c r="J404" s="86">
        <v>2.3E-2</v>
      </c>
    </row>
    <row r="405" spans="1:10">
      <c r="A405" s="89">
        <v>277</v>
      </c>
      <c r="B405">
        <v>379</v>
      </c>
      <c r="C405" s="86">
        <f>ROUND(F405,3)</f>
        <v>6.4169999999999998</v>
      </c>
      <c r="F405" s="87">
        <v>6.4167750000000003</v>
      </c>
      <c r="H405" s="90">
        <v>277</v>
      </c>
      <c r="I405" s="90">
        <v>379</v>
      </c>
      <c r="J405" s="86">
        <v>6.4169999999999998</v>
      </c>
    </row>
    <row r="406" spans="1:10">
      <c r="A406" s="89">
        <v>285</v>
      </c>
      <c r="B406">
        <v>421</v>
      </c>
      <c r="C406" s="86">
        <f>ROUND(F406,3)</f>
        <v>3.5000000000000003E-2</v>
      </c>
      <c r="F406" s="87">
        <v>3.5055000000000003E-2</v>
      </c>
      <c r="H406" s="90">
        <v>285</v>
      </c>
      <c r="I406" s="90">
        <v>421</v>
      </c>
      <c r="J406" s="86">
        <v>3.5000000000000003E-2</v>
      </c>
    </row>
    <row r="407" spans="1:10">
      <c r="A407" s="89">
        <v>285</v>
      </c>
      <c r="B407">
        <v>379</v>
      </c>
      <c r="C407" s="86">
        <f>ROUND(F407,3)</f>
        <v>9.625</v>
      </c>
      <c r="F407" s="87">
        <v>9.6251625000000001</v>
      </c>
      <c r="H407" s="90">
        <v>285</v>
      </c>
      <c r="I407" s="90">
        <v>379</v>
      </c>
      <c r="J407" s="86">
        <v>9.625</v>
      </c>
    </row>
    <row r="408" spans="1:10">
      <c r="A408" s="89">
        <v>278</v>
      </c>
      <c r="B408">
        <v>421</v>
      </c>
      <c r="C408" s="86">
        <f>ROUND(F408,3)</f>
        <v>3.1E-2</v>
      </c>
      <c r="F408" s="87">
        <v>3.116E-2</v>
      </c>
      <c r="H408" s="90">
        <v>278</v>
      </c>
      <c r="I408" s="90">
        <v>421</v>
      </c>
      <c r="J408" s="86">
        <v>3.1E-2</v>
      </c>
    </row>
    <row r="409" spans="1:10">
      <c r="A409" s="89">
        <v>278</v>
      </c>
      <c r="B409">
        <v>379</v>
      </c>
      <c r="C409" s="86">
        <f>ROUND(F409,3)</f>
        <v>8.5559999999999992</v>
      </c>
      <c r="F409" s="87">
        <v>8.5556999999999999</v>
      </c>
      <c r="H409" s="90">
        <v>278</v>
      </c>
      <c r="I409" s="90">
        <v>379</v>
      </c>
      <c r="J409" s="86">
        <v>8.5559999999999992</v>
      </c>
    </row>
    <row r="410" spans="1:10">
      <c r="A410" s="89">
        <v>286</v>
      </c>
      <c r="B410">
        <v>421</v>
      </c>
      <c r="C410" s="86">
        <f>ROUND(F410,3)</f>
        <v>5.8000000000000003E-2</v>
      </c>
      <c r="F410" s="87">
        <v>5.8424999999999998E-2</v>
      </c>
      <c r="H410" s="90">
        <v>286</v>
      </c>
      <c r="I410" s="90">
        <v>421</v>
      </c>
      <c r="J410" s="86">
        <v>5.8000000000000003E-2</v>
      </c>
    </row>
    <row r="411" spans="1:10">
      <c r="A411" s="89">
        <v>286</v>
      </c>
      <c r="B411">
        <v>379</v>
      </c>
      <c r="C411" s="86">
        <f>ROUND(F411,3)</f>
        <v>16.042000000000002</v>
      </c>
      <c r="F411" s="87">
        <v>16.0419375</v>
      </c>
      <c r="H411" s="90">
        <v>286</v>
      </c>
      <c r="I411" s="90">
        <v>379</v>
      </c>
      <c r="J411" s="86">
        <v>16.042000000000002</v>
      </c>
    </row>
    <row r="412" spans="1:10">
      <c r="A412" s="89">
        <v>272</v>
      </c>
      <c r="B412">
        <v>421</v>
      </c>
      <c r="C412" s="86">
        <f>ROUND(F412,3)</f>
        <v>4.0000000000000001E-3</v>
      </c>
      <c r="F412" s="87">
        <v>3.895E-3</v>
      </c>
      <c r="H412" s="90">
        <v>272</v>
      </c>
      <c r="I412" s="90">
        <v>421</v>
      </c>
      <c r="J412" s="86">
        <v>4.0000000000000001E-3</v>
      </c>
    </row>
    <row r="413" spans="1:10">
      <c r="A413" s="89">
        <v>272</v>
      </c>
      <c r="B413">
        <v>379</v>
      </c>
      <c r="C413" s="86">
        <f>ROUND(F413,3)</f>
        <v>1.069</v>
      </c>
      <c r="F413" s="87">
        <v>1.0694625</v>
      </c>
      <c r="H413" s="90">
        <v>272</v>
      </c>
      <c r="I413" s="90">
        <v>379</v>
      </c>
      <c r="J413" s="86">
        <v>1.069</v>
      </c>
    </row>
    <row r="414" spans="1:10">
      <c r="A414" s="89">
        <v>280</v>
      </c>
      <c r="B414">
        <v>421</v>
      </c>
      <c r="C414" s="86">
        <f>ROUND(F414,3)</f>
        <v>6.0000000000000001E-3</v>
      </c>
      <c r="F414" s="87">
        <v>5.8424999999999996E-3</v>
      </c>
      <c r="H414" s="90">
        <v>280</v>
      </c>
      <c r="I414" s="90">
        <v>421</v>
      </c>
      <c r="J414" s="86">
        <v>6.0000000000000001E-3</v>
      </c>
    </row>
    <row r="415" spans="1:10">
      <c r="A415" s="89">
        <v>280</v>
      </c>
      <c r="B415">
        <v>379</v>
      </c>
      <c r="C415" s="86">
        <f>ROUND(F415,3)</f>
        <v>1.6040000000000001</v>
      </c>
      <c r="F415" s="87">
        <v>1.6041937500000001</v>
      </c>
      <c r="H415" s="90">
        <v>280</v>
      </c>
      <c r="I415" s="90">
        <v>379</v>
      </c>
      <c r="J415" s="86">
        <v>1.6040000000000001</v>
      </c>
    </row>
    <row r="416" spans="1:10">
      <c r="A416" s="89">
        <v>279</v>
      </c>
      <c r="B416">
        <v>421</v>
      </c>
      <c r="C416" s="86">
        <f>ROUND(F416,3)</f>
        <v>3.9E-2</v>
      </c>
      <c r="F416" s="87">
        <v>3.8949999999999999E-2</v>
      </c>
      <c r="H416" s="90">
        <v>279</v>
      </c>
      <c r="I416" s="90">
        <v>421</v>
      </c>
      <c r="J416" s="86">
        <v>3.9E-2</v>
      </c>
    </row>
    <row r="417" spans="1:10">
      <c r="A417" s="89">
        <v>279</v>
      </c>
      <c r="B417">
        <v>379</v>
      </c>
      <c r="C417" s="86">
        <f>ROUND(F417,3)</f>
        <v>10.695</v>
      </c>
      <c r="F417" s="87">
        <v>10.694625</v>
      </c>
      <c r="H417" s="90">
        <v>279</v>
      </c>
      <c r="I417" s="90">
        <v>379</v>
      </c>
      <c r="J417" s="86">
        <v>10.695</v>
      </c>
    </row>
    <row r="418" spans="1:10">
      <c r="A418" s="89">
        <v>273</v>
      </c>
      <c r="B418">
        <v>421</v>
      </c>
      <c r="C418" s="86">
        <f>ROUND(F418,3)</f>
        <v>5.0000000000000001E-3</v>
      </c>
      <c r="F418" s="87">
        <v>5.4530000000000004E-3</v>
      </c>
      <c r="H418" s="90">
        <v>273</v>
      </c>
      <c r="I418" s="90">
        <v>421</v>
      </c>
      <c r="J418" s="86">
        <v>5.0000000000000001E-3</v>
      </c>
    </row>
    <row r="419" spans="1:10">
      <c r="A419" s="89">
        <v>273</v>
      </c>
      <c r="B419">
        <v>379</v>
      </c>
      <c r="C419" s="86">
        <f>ROUND(F419,3)</f>
        <v>1.4970000000000001</v>
      </c>
      <c r="F419" s="87">
        <v>1.4972475000000001</v>
      </c>
      <c r="H419" s="90">
        <v>273</v>
      </c>
      <c r="I419" s="90">
        <v>379</v>
      </c>
      <c r="J419" s="86">
        <v>1.4970000000000001</v>
      </c>
    </row>
    <row r="420" spans="1:10">
      <c r="A420" s="89">
        <v>281</v>
      </c>
      <c r="B420">
        <v>421</v>
      </c>
      <c r="C420" s="86">
        <f>ROUND(F420,3)</f>
        <v>8.0000000000000002E-3</v>
      </c>
      <c r="F420" s="87">
        <v>8.1794999999999993E-3</v>
      </c>
      <c r="H420" s="90">
        <v>281</v>
      </c>
      <c r="I420" s="90">
        <v>421</v>
      </c>
      <c r="J420" s="86">
        <v>8.0000000000000002E-3</v>
      </c>
    </row>
    <row r="421" spans="1:10">
      <c r="A421" s="89">
        <v>281</v>
      </c>
      <c r="B421">
        <v>379</v>
      </c>
      <c r="C421" s="86">
        <f>ROUND(F421,3)</f>
        <v>2.246</v>
      </c>
      <c r="F421" s="87">
        <v>2.24587125</v>
      </c>
      <c r="H421" s="90">
        <v>281</v>
      </c>
      <c r="I421" s="90">
        <v>379</v>
      </c>
      <c r="J421" s="86">
        <v>2.246</v>
      </c>
    </row>
    <row r="422" spans="1:10">
      <c r="A422" s="89">
        <v>83</v>
      </c>
      <c r="B422">
        <v>377</v>
      </c>
      <c r="C422" s="86">
        <f>ROUND(F422,3)</f>
        <v>196.51300000000001</v>
      </c>
      <c r="F422" s="87">
        <v>196.51320000000001</v>
      </c>
      <c r="H422" s="90">
        <v>83</v>
      </c>
      <c r="I422" s="90">
        <v>377</v>
      </c>
      <c r="J422" s="86">
        <v>196.51300000000001</v>
      </c>
    </row>
    <row r="423" spans="1:10">
      <c r="A423" s="89">
        <v>83</v>
      </c>
      <c r="B423">
        <v>381</v>
      </c>
      <c r="C423" s="86">
        <f>ROUND(F423,3)</f>
        <v>37.859000000000002</v>
      </c>
      <c r="F423" s="87">
        <v>37.859400000000001</v>
      </c>
      <c r="H423" s="90">
        <v>83</v>
      </c>
      <c r="I423" s="90">
        <v>381</v>
      </c>
      <c r="J423" s="86">
        <v>37.859000000000002</v>
      </c>
    </row>
    <row r="424" spans="1:10">
      <c r="A424" s="89">
        <v>98</v>
      </c>
      <c r="B424">
        <v>377</v>
      </c>
      <c r="C424" s="86">
        <f>ROUND(F424,3)</f>
        <v>294.77</v>
      </c>
      <c r="F424" s="87">
        <v>294.76979999999998</v>
      </c>
      <c r="H424" s="90">
        <v>98</v>
      </c>
      <c r="I424" s="90">
        <v>377</v>
      </c>
      <c r="J424" s="86">
        <v>294.77</v>
      </c>
    </row>
    <row r="425" spans="1:10">
      <c r="A425" s="89">
        <v>98</v>
      </c>
      <c r="B425">
        <v>381</v>
      </c>
      <c r="C425" s="86">
        <f>ROUND(F425,3)</f>
        <v>56.789000000000001</v>
      </c>
      <c r="F425" s="87">
        <v>56.789099999999998</v>
      </c>
      <c r="H425" s="90">
        <v>98</v>
      </c>
      <c r="I425" s="90">
        <v>381</v>
      </c>
      <c r="J425" s="86">
        <v>56.789000000000001</v>
      </c>
    </row>
    <row r="426" spans="1:10">
      <c r="A426" s="89">
        <v>85</v>
      </c>
      <c r="B426">
        <v>377</v>
      </c>
      <c r="C426" s="86">
        <f>ROUND(F426,3)</f>
        <v>314.42099999999999</v>
      </c>
      <c r="F426" s="87">
        <v>314.42111999999997</v>
      </c>
      <c r="H426" s="90">
        <v>85</v>
      </c>
      <c r="I426" s="90">
        <v>377</v>
      </c>
      <c r="J426" s="86">
        <v>314.42099999999999</v>
      </c>
    </row>
    <row r="427" spans="1:10">
      <c r="A427" s="89">
        <v>85</v>
      </c>
      <c r="B427">
        <v>381</v>
      </c>
      <c r="C427" s="86">
        <f>ROUND(F427,3)</f>
        <v>60.575000000000003</v>
      </c>
      <c r="F427" s="87">
        <v>60.575040000000001</v>
      </c>
      <c r="H427" s="90">
        <v>85</v>
      </c>
      <c r="I427" s="90">
        <v>381</v>
      </c>
      <c r="J427" s="86">
        <v>60.575000000000003</v>
      </c>
    </row>
    <row r="428" spans="1:10">
      <c r="A428" s="89">
        <v>100</v>
      </c>
      <c r="B428">
        <v>377</v>
      </c>
      <c r="C428" s="86">
        <f>ROUND(F428,3)</f>
        <v>471.63200000000001</v>
      </c>
      <c r="F428" s="87">
        <v>471.63168000000002</v>
      </c>
      <c r="H428" s="90">
        <v>100</v>
      </c>
      <c r="I428" s="90">
        <v>377</v>
      </c>
      <c r="J428" s="86">
        <v>471.63200000000001</v>
      </c>
    </row>
    <row r="429" spans="1:10">
      <c r="A429" s="89">
        <v>100</v>
      </c>
      <c r="B429">
        <v>381</v>
      </c>
      <c r="C429" s="86">
        <f>ROUND(F429,3)</f>
        <v>90.863</v>
      </c>
      <c r="F429" s="87">
        <v>90.862560000000002</v>
      </c>
      <c r="H429" s="90">
        <v>100</v>
      </c>
      <c r="I429" s="90">
        <v>381</v>
      </c>
      <c r="J429" s="86">
        <v>90.863</v>
      </c>
    </row>
    <row r="430" spans="1:10">
      <c r="A430" s="89">
        <v>84</v>
      </c>
      <c r="B430">
        <v>377</v>
      </c>
      <c r="C430" s="86">
        <f>ROUND(F430,3)</f>
        <v>262.01799999999997</v>
      </c>
      <c r="F430" s="87">
        <v>262.01760000000002</v>
      </c>
      <c r="H430" s="90">
        <v>84</v>
      </c>
      <c r="I430" s="90">
        <v>377</v>
      </c>
      <c r="J430" s="86">
        <v>262.01799999999997</v>
      </c>
    </row>
    <row r="431" spans="1:10">
      <c r="A431" s="89">
        <v>84</v>
      </c>
      <c r="B431">
        <v>381</v>
      </c>
      <c r="C431" s="86">
        <f>ROUND(F431,3)</f>
        <v>50.478999999999999</v>
      </c>
      <c r="F431" s="87">
        <v>50.479199999999999</v>
      </c>
      <c r="H431" s="90">
        <v>84</v>
      </c>
      <c r="I431" s="90">
        <v>381</v>
      </c>
      <c r="J431" s="86">
        <v>50.478999999999999</v>
      </c>
    </row>
    <row r="432" spans="1:10">
      <c r="A432" s="89">
        <v>99</v>
      </c>
      <c r="B432">
        <v>377</v>
      </c>
      <c r="C432" s="86">
        <f>ROUND(F432,3)</f>
        <v>393.02600000000001</v>
      </c>
      <c r="F432" s="87">
        <v>393.02640000000002</v>
      </c>
      <c r="H432" s="90">
        <v>99</v>
      </c>
      <c r="I432" s="90">
        <v>377</v>
      </c>
      <c r="J432" s="86">
        <v>393.02600000000001</v>
      </c>
    </row>
    <row r="433" spans="1:10">
      <c r="A433" s="89">
        <v>99</v>
      </c>
      <c r="B433">
        <v>381</v>
      </c>
      <c r="C433" s="86">
        <f>ROUND(F433,3)</f>
        <v>75.718999999999994</v>
      </c>
      <c r="F433" s="87">
        <v>75.718800000000002</v>
      </c>
      <c r="H433" s="90">
        <v>99</v>
      </c>
      <c r="I433" s="90">
        <v>381</v>
      </c>
      <c r="J433" s="86">
        <v>75.718999999999994</v>
      </c>
    </row>
    <row r="434" spans="1:10">
      <c r="A434" s="89">
        <v>86</v>
      </c>
      <c r="B434">
        <v>377</v>
      </c>
      <c r="C434" s="86">
        <f>ROUND(F434,3)</f>
        <v>419.22800000000001</v>
      </c>
      <c r="F434" s="87">
        <v>419.22816</v>
      </c>
      <c r="H434" s="90">
        <v>86</v>
      </c>
      <c r="I434" s="90">
        <v>377</v>
      </c>
      <c r="J434" s="86">
        <v>419.22800000000001</v>
      </c>
    </row>
    <row r="435" spans="1:10">
      <c r="A435" s="89">
        <v>86</v>
      </c>
      <c r="B435">
        <v>381</v>
      </c>
      <c r="C435" s="86">
        <f>ROUND(F435,3)</f>
        <v>80.766999999999996</v>
      </c>
      <c r="F435" s="87">
        <v>80.766720000000007</v>
      </c>
      <c r="H435" s="90">
        <v>86</v>
      </c>
      <c r="I435" s="90">
        <v>381</v>
      </c>
      <c r="J435" s="86">
        <v>80.766999999999996</v>
      </c>
    </row>
    <row r="436" spans="1:10">
      <c r="A436" s="89">
        <v>101</v>
      </c>
      <c r="B436">
        <v>377</v>
      </c>
      <c r="C436" s="86">
        <f>ROUND(F436,3)</f>
        <v>628.84199999999998</v>
      </c>
      <c r="F436" s="87">
        <v>628.84223999999995</v>
      </c>
      <c r="H436" s="90">
        <v>101</v>
      </c>
      <c r="I436" s="90">
        <v>377</v>
      </c>
      <c r="J436" s="86">
        <v>628.84199999999998</v>
      </c>
    </row>
    <row r="437" spans="1:10">
      <c r="A437" s="89">
        <v>101</v>
      </c>
      <c r="B437">
        <v>381</v>
      </c>
      <c r="C437" s="86">
        <f>ROUND(F437,3)</f>
        <v>121.15</v>
      </c>
      <c r="F437" s="87">
        <v>121.15008</v>
      </c>
      <c r="H437" s="90">
        <v>101</v>
      </c>
      <c r="I437" s="90">
        <v>381</v>
      </c>
      <c r="J437" s="86">
        <v>121.15</v>
      </c>
    </row>
    <row r="438" spans="1:10">
      <c r="A438" s="89">
        <v>75</v>
      </c>
      <c r="B438">
        <v>377</v>
      </c>
      <c r="C438" s="86">
        <f>ROUND(F438,3)</f>
        <v>3.2749999999999999</v>
      </c>
      <c r="F438" s="87">
        <v>3.27522</v>
      </c>
      <c r="H438" s="90">
        <v>75</v>
      </c>
      <c r="I438" s="90">
        <v>377</v>
      </c>
      <c r="J438" s="86">
        <v>3.2749999999999999</v>
      </c>
    </row>
    <row r="439" spans="1:10">
      <c r="A439" s="89">
        <v>75</v>
      </c>
      <c r="B439">
        <v>381</v>
      </c>
      <c r="C439" s="86">
        <f>ROUND(F439,3)</f>
        <v>0.63100000000000001</v>
      </c>
      <c r="F439" s="87">
        <v>0.63099000000000005</v>
      </c>
      <c r="H439" s="90">
        <v>75</v>
      </c>
      <c r="I439" s="90">
        <v>381</v>
      </c>
      <c r="J439" s="86">
        <v>0.63100000000000001</v>
      </c>
    </row>
    <row r="440" spans="1:10">
      <c r="A440" s="89">
        <v>90</v>
      </c>
      <c r="B440">
        <v>377</v>
      </c>
      <c r="C440" s="86">
        <f>ROUND(F440,3)</f>
        <v>4.9130000000000003</v>
      </c>
      <c r="F440" s="87">
        <v>4.9128299999999996</v>
      </c>
      <c r="H440" s="90">
        <v>90</v>
      </c>
      <c r="I440" s="90">
        <v>377</v>
      </c>
      <c r="J440" s="86">
        <v>4.9130000000000003</v>
      </c>
    </row>
    <row r="441" spans="1:10">
      <c r="A441" s="89">
        <v>90</v>
      </c>
      <c r="B441">
        <v>381</v>
      </c>
      <c r="C441" s="86">
        <f>ROUND(F441,3)</f>
        <v>0.94599999999999995</v>
      </c>
      <c r="F441" s="87">
        <v>0.94648500000000002</v>
      </c>
      <c r="H441" s="90">
        <v>90</v>
      </c>
      <c r="I441" s="90">
        <v>381</v>
      </c>
      <c r="J441" s="86">
        <v>0.94599999999999995</v>
      </c>
    </row>
    <row r="442" spans="1:10">
      <c r="A442" s="89">
        <v>76</v>
      </c>
      <c r="B442">
        <v>377</v>
      </c>
      <c r="C442" s="86">
        <f>ROUND(F442,3)</f>
        <v>4.585</v>
      </c>
      <c r="F442" s="87">
        <v>4.5853080000000004</v>
      </c>
      <c r="H442" s="90">
        <v>76</v>
      </c>
      <c r="I442" s="90">
        <v>377</v>
      </c>
      <c r="J442" s="86">
        <v>4.585</v>
      </c>
    </row>
    <row r="443" spans="1:10">
      <c r="A443" s="89">
        <v>76</v>
      </c>
      <c r="B443">
        <v>381</v>
      </c>
      <c r="C443" s="86">
        <f>ROUND(F443,3)</f>
        <v>0.88300000000000001</v>
      </c>
      <c r="F443" s="87">
        <v>0.883386</v>
      </c>
      <c r="H443" s="90">
        <v>76</v>
      </c>
      <c r="I443" s="90">
        <v>381</v>
      </c>
      <c r="J443" s="86">
        <v>0.88300000000000001</v>
      </c>
    </row>
    <row r="444" spans="1:10">
      <c r="A444" s="89">
        <v>91</v>
      </c>
      <c r="B444">
        <v>377</v>
      </c>
      <c r="C444" s="86">
        <f>ROUND(F444,3)</f>
        <v>6.8780000000000001</v>
      </c>
      <c r="F444" s="87">
        <v>6.8779620000000001</v>
      </c>
      <c r="H444" s="90">
        <v>91</v>
      </c>
      <c r="I444" s="90">
        <v>377</v>
      </c>
      <c r="J444" s="86">
        <v>6.8780000000000001</v>
      </c>
    </row>
    <row r="445" spans="1:10">
      <c r="A445" s="89">
        <v>91</v>
      </c>
      <c r="B445">
        <v>381</v>
      </c>
      <c r="C445" s="86">
        <f>ROUND(F445,3)</f>
        <v>1.325</v>
      </c>
      <c r="F445" s="87">
        <v>1.3250789999999999</v>
      </c>
      <c r="H445" s="90">
        <v>91</v>
      </c>
      <c r="I445" s="90">
        <v>381</v>
      </c>
      <c r="J445" s="86">
        <v>1.325</v>
      </c>
    </row>
    <row r="446" spans="1:10">
      <c r="A446" s="89">
        <v>77</v>
      </c>
      <c r="B446">
        <v>377</v>
      </c>
      <c r="C446" s="86">
        <f>ROUND(F446,3)</f>
        <v>5.24</v>
      </c>
      <c r="F446" s="87">
        <v>5.2403519999999997</v>
      </c>
      <c r="H446" s="90">
        <v>77</v>
      </c>
      <c r="I446" s="90">
        <v>377</v>
      </c>
      <c r="J446" s="86">
        <v>5.24</v>
      </c>
    </row>
    <row r="447" spans="1:10">
      <c r="A447" s="89">
        <v>77</v>
      </c>
      <c r="B447">
        <v>381</v>
      </c>
      <c r="C447" s="86">
        <f>ROUND(F447,3)</f>
        <v>1.01</v>
      </c>
      <c r="F447" s="87">
        <v>1.009584</v>
      </c>
      <c r="H447" s="90">
        <v>77</v>
      </c>
      <c r="I447" s="90">
        <v>381</v>
      </c>
      <c r="J447" s="86">
        <v>1.01</v>
      </c>
    </row>
    <row r="448" spans="1:10">
      <c r="A448" s="89">
        <v>92</v>
      </c>
      <c r="B448">
        <v>377</v>
      </c>
      <c r="C448" s="86">
        <f>ROUND(F448,3)</f>
        <v>7.8609999999999998</v>
      </c>
      <c r="F448" s="87">
        <v>7.8605280000000004</v>
      </c>
      <c r="H448" s="90">
        <v>92</v>
      </c>
      <c r="I448" s="90">
        <v>377</v>
      </c>
      <c r="J448" s="86">
        <v>7.8609999999999998</v>
      </c>
    </row>
    <row r="449" spans="1:10">
      <c r="A449" s="89">
        <v>92</v>
      </c>
      <c r="B449">
        <v>381</v>
      </c>
      <c r="C449" s="86">
        <f>ROUND(F449,3)</f>
        <v>1.514</v>
      </c>
      <c r="F449" s="87">
        <v>1.5143759999999999</v>
      </c>
      <c r="H449" s="90">
        <v>92</v>
      </c>
      <c r="I449" s="90">
        <v>381</v>
      </c>
      <c r="J449" s="86">
        <v>1.514</v>
      </c>
    </row>
    <row r="450" spans="1:10">
      <c r="A450" s="89">
        <v>72</v>
      </c>
      <c r="B450">
        <v>377</v>
      </c>
      <c r="C450" s="86">
        <f>ROUND(F450,3)</f>
        <v>0.65500000000000003</v>
      </c>
      <c r="F450" s="87">
        <v>0.65504399999999996</v>
      </c>
      <c r="H450" s="90">
        <v>72</v>
      </c>
      <c r="I450" s="90">
        <v>377</v>
      </c>
      <c r="J450" s="86">
        <v>0.65500000000000003</v>
      </c>
    </row>
    <row r="451" spans="1:10">
      <c r="A451" s="89">
        <v>72</v>
      </c>
      <c r="B451">
        <v>381</v>
      </c>
      <c r="C451" s="86">
        <f>ROUND(F451,3)</f>
        <v>0.126</v>
      </c>
      <c r="F451" s="87">
        <v>0.126198</v>
      </c>
      <c r="H451" s="90">
        <v>72</v>
      </c>
      <c r="I451" s="90">
        <v>381</v>
      </c>
      <c r="J451" s="86">
        <v>0.126</v>
      </c>
    </row>
    <row r="452" spans="1:10">
      <c r="A452" s="89">
        <v>87</v>
      </c>
      <c r="B452">
        <v>377</v>
      </c>
      <c r="C452" s="86">
        <f>ROUND(F452,3)</f>
        <v>0.98299999999999998</v>
      </c>
      <c r="F452" s="87">
        <v>0.98256600000000005</v>
      </c>
      <c r="H452" s="90">
        <v>87</v>
      </c>
      <c r="I452" s="90">
        <v>377</v>
      </c>
      <c r="J452" s="86">
        <v>0.98299999999999998</v>
      </c>
    </row>
    <row r="453" spans="1:10">
      <c r="A453" s="89">
        <v>87</v>
      </c>
      <c r="B453">
        <v>381</v>
      </c>
      <c r="C453" s="86">
        <f>ROUND(F453,3)</f>
        <v>0.189</v>
      </c>
      <c r="F453" s="87">
        <v>0.18929699999999999</v>
      </c>
      <c r="H453" s="90">
        <v>87</v>
      </c>
      <c r="I453" s="90">
        <v>381</v>
      </c>
      <c r="J453" s="86">
        <v>0.189</v>
      </c>
    </row>
    <row r="454" spans="1:10">
      <c r="A454" s="89">
        <v>78</v>
      </c>
      <c r="B454">
        <v>377</v>
      </c>
      <c r="C454" s="86">
        <f>ROUND(F454,3)</f>
        <v>6.55</v>
      </c>
      <c r="F454" s="87">
        <v>6.55044</v>
      </c>
      <c r="H454" s="90">
        <v>78</v>
      </c>
      <c r="I454" s="90">
        <v>377</v>
      </c>
      <c r="J454" s="86">
        <v>6.55</v>
      </c>
    </row>
    <row r="455" spans="1:10">
      <c r="A455" s="89">
        <v>78</v>
      </c>
      <c r="B455">
        <v>381</v>
      </c>
      <c r="C455" s="86">
        <f>ROUND(F455,3)</f>
        <v>1.262</v>
      </c>
      <c r="F455" s="87">
        <v>1.2619800000000001</v>
      </c>
      <c r="H455" s="90">
        <v>78</v>
      </c>
      <c r="I455" s="90">
        <v>381</v>
      </c>
      <c r="J455" s="86">
        <v>1.262</v>
      </c>
    </row>
    <row r="456" spans="1:10">
      <c r="A456" s="89">
        <v>93</v>
      </c>
      <c r="B456">
        <v>377</v>
      </c>
      <c r="C456" s="86">
        <f>ROUND(F456,3)</f>
        <v>9.8260000000000005</v>
      </c>
      <c r="F456" s="87">
        <v>9.8256599999999992</v>
      </c>
      <c r="H456" s="90">
        <v>93</v>
      </c>
      <c r="I456" s="90">
        <v>377</v>
      </c>
      <c r="J456" s="86">
        <v>9.8260000000000005</v>
      </c>
    </row>
    <row r="457" spans="1:10">
      <c r="A457" s="89">
        <v>93</v>
      </c>
      <c r="B457">
        <v>381</v>
      </c>
      <c r="C457" s="86">
        <f>ROUND(F457,3)</f>
        <v>1.893</v>
      </c>
      <c r="F457" s="87">
        <v>1.89297</v>
      </c>
      <c r="H457" s="90">
        <v>93</v>
      </c>
      <c r="I457" s="90">
        <v>381</v>
      </c>
      <c r="J457" s="86">
        <v>1.893</v>
      </c>
    </row>
    <row r="458" spans="1:10">
      <c r="A458" s="89">
        <v>79</v>
      </c>
      <c r="B458">
        <v>377</v>
      </c>
      <c r="C458" s="86">
        <f>ROUND(F458,3)</f>
        <v>9.8260000000000005</v>
      </c>
      <c r="F458" s="87">
        <v>9.8256599999999992</v>
      </c>
      <c r="H458" s="90">
        <v>79</v>
      </c>
      <c r="I458" s="90">
        <v>377</v>
      </c>
      <c r="J458" s="86">
        <v>9.8260000000000005</v>
      </c>
    </row>
    <row r="459" spans="1:10">
      <c r="A459" s="89">
        <v>79</v>
      </c>
      <c r="B459">
        <v>381</v>
      </c>
      <c r="C459" s="86">
        <f>ROUND(F459,3)</f>
        <v>1.893</v>
      </c>
      <c r="F459" s="87">
        <v>1.89297</v>
      </c>
      <c r="H459" s="90">
        <v>79</v>
      </c>
      <c r="I459" s="90">
        <v>381</v>
      </c>
      <c r="J459" s="86">
        <v>1.893</v>
      </c>
    </row>
    <row r="460" spans="1:10">
      <c r="A460" s="89">
        <v>94</v>
      </c>
      <c r="B460">
        <v>377</v>
      </c>
      <c r="C460" s="86">
        <f>ROUND(F460,3)</f>
        <v>14.738</v>
      </c>
      <c r="F460" s="87">
        <v>14.738490000000001</v>
      </c>
      <c r="H460" s="90">
        <v>94</v>
      </c>
      <c r="I460" s="90">
        <v>377</v>
      </c>
      <c r="J460" s="86">
        <v>14.738</v>
      </c>
    </row>
    <row r="461" spans="1:10">
      <c r="A461" s="89">
        <v>94</v>
      </c>
      <c r="B461">
        <v>381</v>
      </c>
      <c r="C461" s="86">
        <f>ROUND(F461,3)</f>
        <v>2.839</v>
      </c>
      <c r="F461" s="87">
        <v>2.8394550000000001</v>
      </c>
      <c r="H461" s="90">
        <v>94</v>
      </c>
      <c r="I461" s="90">
        <v>381</v>
      </c>
      <c r="J461" s="86">
        <v>2.839</v>
      </c>
    </row>
    <row r="462" spans="1:10">
      <c r="A462" s="89">
        <v>80</v>
      </c>
      <c r="B462">
        <v>377</v>
      </c>
      <c r="C462" s="86">
        <f>ROUND(F462,3)</f>
        <v>13.101000000000001</v>
      </c>
      <c r="F462" s="87">
        <v>13.10088</v>
      </c>
      <c r="H462" s="90">
        <v>80</v>
      </c>
      <c r="I462" s="90">
        <v>377</v>
      </c>
      <c r="J462" s="86">
        <v>13.101000000000001</v>
      </c>
    </row>
    <row r="463" spans="1:10">
      <c r="A463" s="89">
        <v>80</v>
      </c>
      <c r="B463">
        <v>381</v>
      </c>
      <c r="C463" s="86">
        <f>ROUND(F463,3)</f>
        <v>2.524</v>
      </c>
      <c r="F463" s="87">
        <v>2.5239600000000002</v>
      </c>
      <c r="H463" s="90">
        <v>80</v>
      </c>
      <c r="I463" s="90">
        <v>381</v>
      </c>
      <c r="J463" s="86">
        <v>2.524</v>
      </c>
    </row>
    <row r="464" spans="1:10">
      <c r="A464" s="89">
        <v>95</v>
      </c>
      <c r="B464">
        <v>377</v>
      </c>
      <c r="C464" s="86">
        <f>ROUND(F464,3)</f>
        <v>19.651</v>
      </c>
      <c r="F464" s="87">
        <v>19.651319999999998</v>
      </c>
      <c r="H464" s="90">
        <v>95</v>
      </c>
      <c r="I464" s="90">
        <v>377</v>
      </c>
      <c r="J464" s="86">
        <v>19.651</v>
      </c>
    </row>
    <row r="465" spans="1:10">
      <c r="A465" s="89">
        <v>95</v>
      </c>
      <c r="B465">
        <v>381</v>
      </c>
      <c r="C465" s="86">
        <f>ROUND(F465,3)</f>
        <v>3.786</v>
      </c>
      <c r="F465" s="87">
        <v>3.7859400000000001</v>
      </c>
      <c r="H465" s="90">
        <v>95</v>
      </c>
      <c r="I465" s="90">
        <v>381</v>
      </c>
      <c r="J465" s="86">
        <v>3.786</v>
      </c>
    </row>
    <row r="466" spans="1:10">
      <c r="A466" s="89">
        <v>73</v>
      </c>
      <c r="B466">
        <v>377</v>
      </c>
      <c r="C466" s="86">
        <f>ROUND(F466,3)</f>
        <v>1.6379999999999999</v>
      </c>
      <c r="F466" s="87">
        <v>1.63761</v>
      </c>
      <c r="H466" s="90">
        <v>73</v>
      </c>
      <c r="I466" s="90">
        <v>377</v>
      </c>
      <c r="J466" s="86">
        <v>1.6379999999999999</v>
      </c>
    </row>
    <row r="467" spans="1:10">
      <c r="A467" s="89">
        <v>73</v>
      </c>
      <c r="B467">
        <v>381</v>
      </c>
      <c r="C467" s="86">
        <f>ROUND(F467,3)</f>
        <v>0.315</v>
      </c>
      <c r="F467" s="87">
        <v>0.31549500000000003</v>
      </c>
      <c r="H467" s="90">
        <v>73</v>
      </c>
      <c r="I467" s="90">
        <v>381</v>
      </c>
      <c r="J467" s="86">
        <v>0.315</v>
      </c>
    </row>
    <row r="468" spans="1:10">
      <c r="A468" s="89">
        <v>88</v>
      </c>
      <c r="B468">
        <v>377</v>
      </c>
      <c r="C468" s="86">
        <f>ROUND(F468,3)</f>
        <v>2.456</v>
      </c>
      <c r="F468" s="87">
        <v>2.4564149999999998</v>
      </c>
      <c r="H468" s="90">
        <v>88</v>
      </c>
      <c r="I468" s="90">
        <v>377</v>
      </c>
      <c r="J468" s="86">
        <v>2.456</v>
      </c>
    </row>
    <row r="469" spans="1:10">
      <c r="A469" s="89">
        <v>88</v>
      </c>
      <c r="B469">
        <v>381</v>
      </c>
      <c r="C469" s="86">
        <f>ROUND(F469,3)</f>
        <v>0.47299999999999998</v>
      </c>
      <c r="F469" s="87">
        <v>0.47324250000000001</v>
      </c>
      <c r="H469" s="90">
        <v>88</v>
      </c>
      <c r="I469" s="90">
        <v>381</v>
      </c>
      <c r="J469" s="86">
        <v>0.47299999999999998</v>
      </c>
    </row>
    <row r="470" spans="1:10">
      <c r="A470" s="89">
        <v>81</v>
      </c>
      <c r="B470">
        <v>377</v>
      </c>
      <c r="C470" s="86">
        <f>ROUND(F470,3)</f>
        <v>16.376000000000001</v>
      </c>
      <c r="F470" s="87">
        <v>16.376100000000001</v>
      </c>
      <c r="H470" s="90">
        <v>81</v>
      </c>
      <c r="I470" s="90">
        <v>377</v>
      </c>
      <c r="J470" s="86">
        <v>16.376000000000001</v>
      </c>
    </row>
    <row r="471" spans="1:10">
      <c r="A471" s="89">
        <v>81</v>
      </c>
      <c r="B471">
        <v>381</v>
      </c>
      <c r="C471" s="86">
        <f>ROUND(F471,3)</f>
        <v>3.1549999999999998</v>
      </c>
      <c r="F471" s="87">
        <v>3.1549499999999999</v>
      </c>
      <c r="H471" s="90">
        <v>81</v>
      </c>
      <c r="I471" s="90">
        <v>381</v>
      </c>
      <c r="J471" s="86">
        <v>3.1549999999999998</v>
      </c>
    </row>
    <row r="472" spans="1:10">
      <c r="A472" s="89">
        <v>96</v>
      </c>
      <c r="B472">
        <v>377</v>
      </c>
      <c r="C472" s="86">
        <f>ROUND(F472,3)</f>
        <v>24.564</v>
      </c>
      <c r="F472" s="87">
        <v>24.564150000000001</v>
      </c>
      <c r="H472" s="90">
        <v>96</v>
      </c>
      <c r="I472" s="90">
        <v>377</v>
      </c>
      <c r="J472" s="86">
        <v>24.564</v>
      </c>
    </row>
    <row r="473" spans="1:10">
      <c r="A473" s="89">
        <v>96</v>
      </c>
      <c r="B473">
        <v>381</v>
      </c>
      <c r="C473" s="86">
        <f>ROUND(F473,3)</f>
        <v>4.7320000000000002</v>
      </c>
      <c r="F473" s="87">
        <v>4.7324250000000001</v>
      </c>
      <c r="H473" s="90">
        <v>96</v>
      </c>
      <c r="I473" s="90">
        <v>381</v>
      </c>
      <c r="J473" s="86">
        <v>4.7320000000000002</v>
      </c>
    </row>
    <row r="474" spans="1:10">
      <c r="A474" s="89">
        <v>74</v>
      </c>
      <c r="B474">
        <v>377</v>
      </c>
      <c r="C474" s="86">
        <f>ROUND(F474,3)</f>
        <v>2.2930000000000001</v>
      </c>
      <c r="F474" s="87">
        <v>2.2926540000000002</v>
      </c>
      <c r="H474" s="90">
        <v>74</v>
      </c>
      <c r="I474" s="90">
        <v>377</v>
      </c>
      <c r="J474" s="86">
        <v>2.2930000000000001</v>
      </c>
    </row>
    <row r="475" spans="1:10">
      <c r="A475" s="89">
        <v>74</v>
      </c>
      <c r="B475">
        <v>381</v>
      </c>
      <c r="C475" s="86">
        <f>ROUND(F475,3)</f>
        <v>0.442</v>
      </c>
      <c r="F475" s="87">
        <v>0.441693</v>
      </c>
      <c r="H475" s="90">
        <v>74</v>
      </c>
      <c r="I475" s="90">
        <v>381</v>
      </c>
      <c r="J475" s="86">
        <v>0.442</v>
      </c>
    </row>
    <row r="476" spans="1:10">
      <c r="A476" s="89">
        <v>89</v>
      </c>
      <c r="B476">
        <v>377</v>
      </c>
      <c r="C476" s="86">
        <f>ROUND(F476,3)</f>
        <v>3.4390000000000001</v>
      </c>
      <c r="F476" s="87">
        <v>3.4389810000000001</v>
      </c>
      <c r="H476" s="90">
        <v>89</v>
      </c>
      <c r="I476" s="90">
        <v>377</v>
      </c>
      <c r="J476" s="86">
        <v>3.4390000000000001</v>
      </c>
    </row>
    <row r="477" spans="1:10">
      <c r="A477" s="89">
        <v>89</v>
      </c>
      <c r="B477">
        <v>381</v>
      </c>
      <c r="C477" s="86">
        <f>ROUND(F477,3)</f>
        <v>0.66300000000000003</v>
      </c>
      <c r="F477" s="87">
        <v>0.66253949999999995</v>
      </c>
      <c r="H477" s="90">
        <v>89</v>
      </c>
      <c r="I477" s="90">
        <v>381</v>
      </c>
      <c r="J477" s="86">
        <v>0.66300000000000003</v>
      </c>
    </row>
    <row r="478" spans="1:10">
      <c r="A478" s="89">
        <v>82</v>
      </c>
      <c r="B478">
        <v>377</v>
      </c>
      <c r="C478" s="86">
        <f>ROUND(F478,3)</f>
        <v>26.202000000000002</v>
      </c>
      <c r="F478" s="87">
        <v>26.20176</v>
      </c>
      <c r="H478" s="90">
        <v>82</v>
      </c>
      <c r="I478" s="90">
        <v>377</v>
      </c>
      <c r="J478" s="86">
        <v>26.202000000000002</v>
      </c>
    </row>
    <row r="479" spans="1:10">
      <c r="A479" s="89">
        <v>82</v>
      </c>
      <c r="B479">
        <v>381</v>
      </c>
      <c r="C479" s="86">
        <f>ROUND(F479,3)</f>
        <v>5.048</v>
      </c>
      <c r="F479" s="87">
        <v>5.0479200000000004</v>
      </c>
      <c r="H479" s="90">
        <v>82</v>
      </c>
      <c r="I479" s="90">
        <v>381</v>
      </c>
      <c r="J479" s="86">
        <v>5.048</v>
      </c>
    </row>
    <row r="480" spans="1:10">
      <c r="A480" s="89">
        <v>97</v>
      </c>
      <c r="B480">
        <v>377</v>
      </c>
      <c r="C480" s="86">
        <f>ROUND(F480,3)</f>
        <v>39.302999999999997</v>
      </c>
      <c r="F480" s="87">
        <v>39.302639999999997</v>
      </c>
      <c r="H480" s="90">
        <v>97</v>
      </c>
      <c r="I480" s="90">
        <v>377</v>
      </c>
      <c r="J480" s="86">
        <v>39.302999999999997</v>
      </c>
    </row>
    <row r="481" spans="1:10">
      <c r="A481" s="89">
        <v>97</v>
      </c>
      <c r="B481">
        <v>381</v>
      </c>
      <c r="C481" s="86">
        <f>ROUND(F481,3)</f>
        <v>7.5720000000000001</v>
      </c>
      <c r="F481" s="87">
        <v>7.5718800000000002</v>
      </c>
      <c r="H481" s="90">
        <v>97</v>
      </c>
      <c r="I481" s="90">
        <v>381</v>
      </c>
      <c r="J481" s="86">
        <v>7.5720000000000001</v>
      </c>
    </row>
    <row r="482" spans="1:10">
      <c r="A482" s="89">
        <v>143</v>
      </c>
      <c r="B482">
        <v>377</v>
      </c>
      <c r="C482" s="86">
        <f>ROUND(F482,3)</f>
        <v>210.66900000000001</v>
      </c>
      <c r="F482" s="87">
        <v>210.66864000000001</v>
      </c>
      <c r="H482" s="90">
        <v>143</v>
      </c>
      <c r="I482" s="90">
        <v>377</v>
      </c>
      <c r="J482" s="86">
        <v>210.66900000000001</v>
      </c>
    </row>
    <row r="483" spans="1:10">
      <c r="A483" s="89">
        <v>143</v>
      </c>
      <c r="B483">
        <v>381</v>
      </c>
      <c r="C483" s="86">
        <f>ROUND(F483,3)</f>
        <v>4.694</v>
      </c>
      <c r="F483" s="87">
        <v>4.6936799999999996</v>
      </c>
      <c r="H483" s="90">
        <v>143</v>
      </c>
      <c r="I483" s="90">
        <v>381</v>
      </c>
      <c r="J483" s="86">
        <v>4.694</v>
      </c>
    </row>
    <row r="484" spans="1:10">
      <c r="A484" s="89">
        <v>158</v>
      </c>
      <c r="B484">
        <v>377</v>
      </c>
      <c r="C484" s="86">
        <f>ROUND(F484,3)</f>
        <v>317.99</v>
      </c>
      <c r="F484" s="87">
        <v>317.99040000000002</v>
      </c>
      <c r="H484" s="90">
        <v>158</v>
      </c>
      <c r="I484" s="90">
        <v>377</v>
      </c>
      <c r="J484" s="86">
        <v>317.99</v>
      </c>
    </row>
    <row r="485" spans="1:10">
      <c r="A485" s="89">
        <v>158</v>
      </c>
      <c r="B485">
        <v>381</v>
      </c>
      <c r="C485" s="86">
        <f>ROUND(F485,3)</f>
        <v>7.085</v>
      </c>
      <c r="F485" s="87">
        <v>7.0848000000000004</v>
      </c>
      <c r="H485" s="90">
        <v>158</v>
      </c>
      <c r="I485" s="90">
        <v>381</v>
      </c>
      <c r="J485" s="86">
        <v>7.085</v>
      </c>
    </row>
    <row r="486" spans="1:10">
      <c r="A486" s="89">
        <v>145</v>
      </c>
      <c r="B486">
        <v>377</v>
      </c>
      <c r="C486" s="86">
        <f>ROUND(F486,3)</f>
        <v>337.07</v>
      </c>
      <c r="F486" s="87">
        <v>337.06982399999998</v>
      </c>
      <c r="H486" s="90">
        <v>145</v>
      </c>
      <c r="I486" s="90">
        <v>377</v>
      </c>
      <c r="J486" s="86">
        <v>337.07</v>
      </c>
    </row>
    <row r="487" spans="1:10">
      <c r="A487" s="89">
        <v>145</v>
      </c>
      <c r="B487">
        <v>381</v>
      </c>
      <c r="C487" s="86">
        <f>ROUND(F487,3)</f>
        <v>7.51</v>
      </c>
      <c r="F487" s="87">
        <v>7.5098880000000001</v>
      </c>
      <c r="H487" s="90">
        <v>145</v>
      </c>
      <c r="I487" s="90">
        <v>381</v>
      </c>
      <c r="J487" s="86">
        <v>7.51</v>
      </c>
    </row>
    <row r="488" spans="1:10">
      <c r="A488" s="89">
        <v>160</v>
      </c>
      <c r="B488">
        <v>377</v>
      </c>
      <c r="C488" s="86">
        <f>ROUND(F488,3)</f>
        <v>508.78500000000003</v>
      </c>
      <c r="F488" s="87">
        <v>508.78464000000002</v>
      </c>
      <c r="H488" s="90">
        <v>160</v>
      </c>
      <c r="I488" s="90">
        <v>377</v>
      </c>
      <c r="J488" s="86">
        <v>508.78500000000003</v>
      </c>
    </row>
    <row r="489" spans="1:10">
      <c r="A489" s="89">
        <v>160</v>
      </c>
      <c r="B489">
        <v>381</v>
      </c>
      <c r="C489" s="86">
        <f>ROUND(F489,3)</f>
        <v>11.336</v>
      </c>
      <c r="F489" s="87">
        <v>11.33568</v>
      </c>
      <c r="H489" s="90">
        <v>160</v>
      </c>
      <c r="I489" s="90">
        <v>381</v>
      </c>
      <c r="J489" s="86">
        <v>11.336</v>
      </c>
    </row>
    <row r="490" spans="1:10">
      <c r="A490" s="89">
        <v>144</v>
      </c>
      <c r="B490">
        <v>377</v>
      </c>
      <c r="C490" s="86">
        <f>ROUND(F490,3)</f>
        <v>280.892</v>
      </c>
      <c r="F490" s="87">
        <v>280.89152000000001</v>
      </c>
      <c r="H490" s="90">
        <v>144</v>
      </c>
      <c r="I490" s="90">
        <v>377</v>
      </c>
      <c r="J490" s="86">
        <v>280.892</v>
      </c>
    </row>
    <row r="491" spans="1:10">
      <c r="A491" s="89">
        <v>144</v>
      </c>
      <c r="B491">
        <v>381</v>
      </c>
      <c r="C491" s="86">
        <f>ROUND(F491,3)</f>
        <v>6.258</v>
      </c>
      <c r="F491" s="87">
        <v>6.2582399999999998</v>
      </c>
      <c r="H491" s="90">
        <v>144</v>
      </c>
      <c r="I491" s="90">
        <v>381</v>
      </c>
      <c r="J491" s="86">
        <v>6.258</v>
      </c>
    </row>
    <row r="492" spans="1:10">
      <c r="A492" s="89">
        <v>159</v>
      </c>
      <c r="B492">
        <v>377</v>
      </c>
      <c r="C492" s="86">
        <f>ROUND(F492,3)</f>
        <v>423.98700000000002</v>
      </c>
      <c r="F492" s="87">
        <v>423.98719999999997</v>
      </c>
      <c r="H492" s="90">
        <v>159</v>
      </c>
      <c r="I492" s="90">
        <v>377</v>
      </c>
      <c r="J492" s="86">
        <v>423.98700000000002</v>
      </c>
    </row>
    <row r="493" spans="1:10">
      <c r="A493" s="89">
        <v>159</v>
      </c>
      <c r="B493">
        <v>381</v>
      </c>
      <c r="C493" s="86">
        <f>ROUND(F493,3)</f>
        <v>9.4459999999999997</v>
      </c>
      <c r="F493" s="87">
        <v>9.4464000000000006</v>
      </c>
      <c r="H493" s="90">
        <v>159</v>
      </c>
      <c r="I493" s="90">
        <v>381</v>
      </c>
      <c r="J493" s="86">
        <v>9.4459999999999997</v>
      </c>
    </row>
    <row r="494" spans="1:10">
      <c r="A494" s="89">
        <v>146</v>
      </c>
      <c r="B494">
        <v>377</v>
      </c>
      <c r="C494" s="86">
        <f>ROUND(F494,3)</f>
        <v>449.42599999999999</v>
      </c>
      <c r="F494" s="87">
        <v>449.42643199999998</v>
      </c>
      <c r="H494" s="90">
        <v>146</v>
      </c>
      <c r="I494" s="90">
        <v>377</v>
      </c>
      <c r="J494" s="86">
        <v>449.42599999999999</v>
      </c>
    </row>
    <row r="495" spans="1:10">
      <c r="A495" s="89">
        <v>146</v>
      </c>
      <c r="B495">
        <v>381</v>
      </c>
      <c r="C495" s="86">
        <f>ROUND(F495,3)</f>
        <v>10.013</v>
      </c>
      <c r="F495" s="87">
        <v>10.013184000000001</v>
      </c>
      <c r="H495" s="90">
        <v>146</v>
      </c>
      <c r="I495" s="90">
        <v>381</v>
      </c>
      <c r="J495" s="86">
        <v>10.013</v>
      </c>
    </row>
    <row r="496" spans="1:10">
      <c r="A496" s="89">
        <v>161</v>
      </c>
      <c r="B496">
        <v>377</v>
      </c>
      <c r="C496" s="86">
        <f>ROUND(F496,3)</f>
        <v>678.38</v>
      </c>
      <c r="F496" s="87">
        <v>678.37951999999996</v>
      </c>
      <c r="H496" s="90">
        <v>161</v>
      </c>
      <c r="I496" s="90">
        <v>377</v>
      </c>
      <c r="J496" s="86">
        <v>678.38</v>
      </c>
    </row>
    <row r="497" spans="1:10">
      <c r="A497" s="89">
        <v>161</v>
      </c>
      <c r="B497">
        <v>381</v>
      </c>
      <c r="C497" s="86">
        <f>ROUND(F497,3)</f>
        <v>15.114000000000001</v>
      </c>
      <c r="F497" s="87">
        <v>15.114240000000001</v>
      </c>
      <c r="H497" s="90">
        <v>161</v>
      </c>
      <c r="I497" s="90">
        <v>381</v>
      </c>
      <c r="J497" s="86">
        <v>15.114000000000001</v>
      </c>
    </row>
    <row r="498" spans="1:10">
      <c r="A498" s="89">
        <v>135</v>
      </c>
      <c r="B498">
        <v>377</v>
      </c>
      <c r="C498" s="86">
        <f>ROUND(F498,3)</f>
        <v>3.5110000000000001</v>
      </c>
      <c r="F498" s="87">
        <v>3.5111439999999998</v>
      </c>
      <c r="H498" s="90">
        <v>135</v>
      </c>
      <c r="I498" s="90">
        <v>377</v>
      </c>
      <c r="J498" s="86">
        <v>3.5110000000000001</v>
      </c>
    </row>
    <row r="499" spans="1:10">
      <c r="A499" s="89">
        <v>135</v>
      </c>
      <c r="B499">
        <v>381</v>
      </c>
      <c r="C499" s="86">
        <f>ROUND(F499,3)</f>
        <v>7.8E-2</v>
      </c>
      <c r="F499" s="87">
        <v>7.8228000000000006E-2</v>
      </c>
      <c r="H499" s="90">
        <v>135</v>
      </c>
      <c r="I499" s="90">
        <v>381</v>
      </c>
      <c r="J499" s="86">
        <v>7.8E-2</v>
      </c>
    </row>
    <row r="500" spans="1:10">
      <c r="A500" s="89">
        <v>150</v>
      </c>
      <c r="B500">
        <v>377</v>
      </c>
      <c r="C500" s="86">
        <f>ROUND(F500,3)</f>
        <v>5.3</v>
      </c>
      <c r="F500" s="87">
        <v>5.2998399999999997</v>
      </c>
      <c r="H500" s="90">
        <v>150</v>
      </c>
      <c r="I500" s="90">
        <v>377</v>
      </c>
      <c r="J500" s="86">
        <v>5.3</v>
      </c>
    </row>
    <row r="501" spans="1:10">
      <c r="A501" s="89">
        <v>150</v>
      </c>
      <c r="B501">
        <v>381</v>
      </c>
      <c r="C501" s="86">
        <f>ROUND(F501,3)</f>
        <v>0.11799999999999999</v>
      </c>
      <c r="F501" s="87">
        <v>0.11808</v>
      </c>
      <c r="H501" s="90">
        <v>150</v>
      </c>
      <c r="I501" s="90">
        <v>381</v>
      </c>
      <c r="J501" s="86">
        <v>0.11799999999999999</v>
      </c>
    </row>
    <row r="502" spans="1:10">
      <c r="A502" s="89">
        <v>136</v>
      </c>
      <c r="B502">
        <v>377</v>
      </c>
      <c r="C502" s="86">
        <f>ROUND(F502,3)</f>
        <v>4.9160000000000004</v>
      </c>
      <c r="F502" s="87">
        <v>4.9156015999999996</v>
      </c>
      <c r="H502" s="90">
        <v>136</v>
      </c>
      <c r="I502" s="90">
        <v>377</v>
      </c>
      <c r="J502" s="86">
        <v>4.9160000000000004</v>
      </c>
    </row>
    <row r="503" spans="1:10">
      <c r="A503" s="89">
        <v>136</v>
      </c>
      <c r="B503">
        <v>381</v>
      </c>
      <c r="C503" s="86">
        <f>ROUND(F503,3)</f>
        <v>0.11</v>
      </c>
      <c r="F503" s="87">
        <v>0.1095192</v>
      </c>
      <c r="H503" s="90">
        <v>136</v>
      </c>
      <c r="I503" s="90">
        <v>381</v>
      </c>
      <c r="J503" s="86">
        <v>0.11</v>
      </c>
    </row>
    <row r="504" spans="1:10">
      <c r="A504" s="89">
        <v>151</v>
      </c>
      <c r="B504">
        <v>377</v>
      </c>
      <c r="C504" s="86">
        <f>ROUND(F504,3)</f>
        <v>7.42</v>
      </c>
      <c r="F504" s="87">
        <v>7.4197759999999997</v>
      </c>
      <c r="H504" s="90">
        <v>151</v>
      </c>
      <c r="I504" s="90">
        <v>377</v>
      </c>
      <c r="J504" s="86">
        <v>7.42</v>
      </c>
    </row>
    <row r="505" spans="1:10">
      <c r="A505" s="89">
        <v>151</v>
      </c>
      <c r="B505">
        <v>381</v>
      </c>
      <c r="C505" s="86">
        <f>ROUND(F505,3)</f>
        <v>0.16500000000000001</v>
      </c>
      <c r="F505" s="87">
        <v>0.16531199999999999</v>
      </c>
      <c r="H505" s="90">
        <v>151</v>
      </c>
      <c r="I505" s="90">
        <v>381</v>
      </c>
      <c r="J505" s="86">
        <v>0.16500000000000001</v>
      </c>
    </row>
    <row r="506" spans="1:10">
      <c r="A506" s="89">
        <v>137</v>
      </c>
      <c r="B506">
        <v>377</v>
      </c>
      <c r="C506" s="86">
        <f>ROUND(F506,3)</f>
        <v>5.6180000000000003</v>
      </c>
      <c r="F506" s="87">
        <v>5.6178303999999999</v>
      </c>
      <c r="H506" s="90">
        <v>137</v>
      </c>
      <c r="I506" s="90">
        <v>377</v>
      </c>
      <c r="J506" s="86">
        <v>5.6180000000000003</v>
      </c>
    </row>
    <row r="507" spans="1:10">
      <c r="A507" s="89">
        <v>137</v>
      </c>
      <c r="B507">
        <v>381</v>
      </c>
      <c r="C507" s="86">
        <f>ROUND(F507,3)</f>
        <v>0.125</v>
      </c>
      <c r="F507" s="87">
        <v>0.12516479999999999</v>
      </c>
      <c r="H507" s="90">
        <v>137</v>
      </c>
      <c r="I507" s="90">
        <v>381</v>
      </c>
      <c r="J507" s="86">
        <v>0.125</v>
      </c>
    </row>
    <row r="508" spans="1:10">
      <c r="A508" s="89">
        <v>152</v>
      </c>
      <c r="B508">
        <v>377</v>
      </c>
      <c r="C508" s="86">
        <f>ROUND(F508,3)</f>
        <v>8.48</v>
      </c>
      <c r="F508" s="87">
        <v>8.4797440000000002</v>
      </c>
      <c r="H508" s="90">
        <v>152</v>
      </c>
      <c r="I508" s="90">
        <v>377</v>
      </c>
      <c r="J508" s="86">
        <v>8.48</v>
      </c>
    </row>
    <row r="509" spans="1:10">
      <c r="A509" s="89">
        <v>152</v>
      </c>
      <c r="B509">
        <v>381</v>
      </c>
      <c r="C509" s="86">
        <f>ROUND(F509,3)</f>
        <v>0.189</v>
      </c>
      <c r="F509" s="87">
        <v>0.18892800000000001</v>
      </c>
      <c r="H509" s="90">
        <v>152</v>
      </c>
      <c r="I509" s="90">
        <v>381</v>
      </c>
      <c r="J509" s="86">
        <v>0.189</v>
      </c>
    </row>
    <row r="510" spans="1:10">
      <c r="A510" s="89">
        <v>132</v>
      </c>
      <c r="B510">
        <v>377</v>
      </c>
      <c r="C510" s="86">
        <f>ROUND(F510,3)</f>
        <v>0.70199999999999996</v>
      </c>
      <c r="F510" s="87">
        <v>0.70222879999999999</v>
      </c>
      <c r="H510" s="90">
        <v>132</v>
      </c>
      <c r="I510" s="90">
        <v>377</v>
      </c>
      <c r="J510" s="86">
        <v>0.70199999999999996</v>
      </c>
    </row>
    <row r="511" spans="1:10">
      <c r="A511" s="89">
        <v>132</v>
      </c>
      <c r="B511">
        <v>381</v>
      </c>
      <c r="C511" s="86">
        <f>ROUND(F511,3)</f>
        <v>1.6E-2</v>
      </c>
      <c r="F511" s="87">
        <v>1.5645599999999999E-2</v>
      </c>
      <c r="H511" s="90">
        <v>132</v>
      </c>
      <c r="I511" s="90">
        <v>381</v>
      </c>
      <c r="J511" s="86">
        <v>1.6E-2</v>
      </c>
    </row>
    <row r="512" spans="1:10">
      <c r="A512" s="89">
        <v>147</v>
      </c>
      <c r="B512">
        <v>377</v>
      </c>
      <c r="C512" s="86">
        <f>ROUND(F512,3)</f>
        <v>1.06</v>
      </c>
      <c r="F512" s="87">
        <v>1.059968</v>
      </c>
      <c r="H512" s="90">
        <v>147</v>
      </c>
      <c r="I512" s="90">
        <v>377</v>
      </c>
      <c r="J512" s="86">
        <v>1.06</v>
      </c>
    </row>
    <row r="513" spans="1:10">
      <c r="A513" s="89">
        <v>147</v>
      </c>
      <c r="B513">
        <v>381</v>
      </c>
      <c r="C513" s="86">
        <f>ROUND(F513,3)</f>
        <v>2.4E-2</v>
      </c>
      <c r="F513" s="87">
        <v>2.3616000000000002E-2</v>
      </c>
      <c r="H513" s="90">
        <v>147</v>
      </c>
      <c r="I513" s="90">
        <v>381</v>
      </c>
      <c r="J513" s="86">
        <v>2.4E-2</v>
      </c>
    </row>
    <row r="514" spans="1:10">
      <c r="A514" s="89">
        <v>138</v>
      </c>
      <c r="B514">
        <v>377</v>
      </c>
      <c r="C514" s="86">
        <f>ROUND(F514,3)</f>
        <v>7.0220000000000002</v>
      </c>
      <c r="F514" s="87">
        <v>7.0222879999999996</v>
      </c>
      <c r="H514" s="90">
        <v>138</v>
      </c>
      <c r="I514" s="90">
        <v>377</v>
      </c>
      <c r="J514" s="86">
        <v>7.0220000000000002</v>
      </c>
    </row>
    <row r="515" spans="1:10">
      <c r="A515" s="89">
        <v>138</v>
      </c>
      <c r="B515">
        <v>381</v>
      </c>
      <c r="C515" s="86">
        <f>ROUND(F515,3)</f>
        <v>0.156</v>
      </c>
      <c r="F515" s="87">
        <v>0.15645600000000001</v>
      </c>
      <c r="H515" s="90">
        <v>138</v>
      </c>
      <c r="I515" s="90">
        <v>381</v>
      </c>
      <c r="J515" s="86">
        <v>0.156</v>
      </c>
    </row>
    <row r="516" spans="1:10">
      <c r="A516" s="89">
        <v>153</v>
      </c>
      <c r="B516">
        <v>377</v>
      </c>
      <c r="C516" s="86">
        <f>ROUND(F516,3)</f>
        <v>10.6</v>
      </c>
      <c r="F516" s="87">
        <v>10.599679999999999</v>
      </c>
      <c r="H516" s="90">
        <v>153</v>
      </c>
      <c r="I516" s="90">
        <v>377</v>
      </c>
      <c r="J516" s="86">
        <v>10.6</v>
      </c>
    </row>
    <row r="517" spans="1:10">
      <c r="A517" s="89">
        <v>153</v>
      </c>
      <c r="B517">
        <v>381</v>
      </c>
      <c r="C517" s="86">
        <f>ROUND(F517,3)</f>
        <v>0.23599999999999999</v>
      </c>
      <c r="F517" s="87">
        <v>0.23616000000000001</v>
      </c>
      <c r="H517" s="90">
        <v>153</v>
      </c>
      <c r="I517" s="90">
        <v>381</v>
      </c>
      <c r="J517" s="86">
        <v>0.23599999999999999</v>
      </c>
    </row>
    <row r="518" spans="1:10">
      <c r="A518" s="89">
        <v>139</v>
      </c>
      <c r="B518">
        <v>377</v>
      </c>
      <c r="C518" s="86">
        <f>ROUND(F518,3)</f>
        <v>10.532999999999999</v>
      </c>
      <c r="F518" s="87">
        <v>10.533431999999999</v>
      </c>
      <c r="H518" s="90">
        <v>139</v>
      </c>
      <c r="I518" s="90">
        <v>377</v>
      </c>
      <c r="J518" s="86">
        <v>10.532999999999999</v>
      </c>
    </row>
    <row r="519" spans="1:10">
      <c r="A519" s="89">
        <v>139</v>
      </c>
      <c r="B519">
        <v>381</v>
      </c>
      <c r="C519" s="86">
        <f>ROUND(F519,3)</f>
        <v>0.23499999999999999</v>
      </c>
      <c r="F519" s="87">
        <v>0.234684</v>
      </c>
      <c r="H519" s="90">
        <v>139</v>
      </c>
      <c r="I519" s="90">
        <v>381</v>
      </c>
      <c r="J519" s="86">
        <v>0.23499999999999999</v>
      </c>
    </row>
    <row r="520" spans="1:10">
      <c r="A520" s="89">
        <v>154</v>
      </c>
      <c r="B520">
        <v>377</v>
      </c>
      <c r="C520" s="86">
        <f>ROUND(F520,3)</f>
        <v>15.9</v>
      </c>
      <c r="F520" s="87">
        <v>15.899520000000001</v>
      </c>
      <c r="H520" s="90">
        <v>154</v>
      </c>
      <c r="I520" s="90">
        <v>377</v>
      </c>
      <c r="J520" s="86">
        <v>15.9</v>
      </c>
    </row>
    <row r="521" spans="1:10">
      <c r="A521" s="89">
        <v>154</v>
      </c>
      <c r="B521">
        <v>381</v>
      </c>
      <c r="C521" s="86">
        <f>ROUND(F521,3)</f>
        <v>0.35399999999999998</v>
      </c>
      <c r="F521" s="87">
        <v>0.35424</v>
      </c>
      <c r="H521" s="90">
        <v>154</v>
      </c>
      <c r="I521" s="90">
        <v>381</v>
      </c>
      <c r="J521" s="86">
        <v>0.35399999999999998</v>
      </c>
    </row>
    <row r="522" spans="1:10">
      <c r="A522" s="89">
        <v>140</v>
      </c>
      <c r="B522">
        <v>377</v>
      </c>
      <c r="C522" s="86">
        <f>ROUND(F522,3)</f>
        <v>14.045</v>
      </c>
      <c r="F522" s="87">
        <v>14.044575999999999</v>
      </c>
      <c r="H522" s="90">
        <v>140</v>
      </c>
      <c r="I522" s="90">
        <v>377</v>
      </c>
      <c r="J522" s="86">
        <v>14.045</v>
      </c>
    </row>
    <row r="523" spans="1:10">
      <c r="A523" s="89">
        <v>140</v>
      </c>
      <c r="B523">
        <v>381</v>
      </c>
      <c r="C523" s="86">
        <f>ROUND(F523,3)</f>
        <v>0.313</v>
      </c>
      <c r="F523" s="87">
        <v>0.31291200000000002</v>
      </c>
      <c r="H523" s="90">
        <v>140</v>
      </c>
      <c r="I523" s="90">
        <v>381</v>
      </c>
      <c r="J523" s="86">
        <v>0.313</v>
      </c>
    </row>
    <row r="524" spans="1:10">
      <c r="A524" s="89">
        <v>155</v>
      </c>
      <c r="B524">
        <v>377</v>
      </c>
      <c r="C524" s="86">
        <f>ROUND(F524,3)</f>
        <v>21.199000000000002</v>
      </c>
      <c r="F524" s="87">
        <v>21.199359999999999</v>
      </c>
      <c r="H524" s="90">
        <v>155</v>
      </c>
      <c r="I524" s="90">
        <v>377</v>
      </c>
      <c r="J524" s="86">
        <v>21.199000000000002</v>
      </c>
    </row>
    <row r="525" spans="1:10">
      <c r="A525" s="89">
        <v>155</v>
      </c>
      <c r="B525">
        <v>381</v>
      </c>
      <c r="C525" s="86">
        <f>ROUND(F525,3)</f>
        <v>0.47199999999999998</v>
      </c>
      <c r="F525" s="87">
        <v>0.47232000000000002</v>
      </c>
      <c r="H525" s="90">
        <v>155</v>
      </c>
      <c r="I525" s="90">
        <v>381</v>
      </c>
      <c r="J525" s="86">
        <v>0.47199999999999998</v>
      </c>
    </row>
    <row r="526" spans="1:10">
      <c r="A526" s="89">
        <v>133</v>
      </c>
      <c r="B526">
        <v>377</v>
      </c>
      <c r="C526" s="86">
        <f>ROUND(F526,3)</f>
        <v>1.756</v>
      </c>
      <c r="F526" s="87">
        <v>1.7555719999999999</v>
      </c>
      <c r="H526" s="90">
        <v>133</v>
      </c>
      <c r="I526" s="90">
        <v>377</v>
      </c>
      <c r="J526" s="86">
        <v>1.756</v>
      </c>
    </row>
    <row r="527" spans="1:10">
      <c r="A527" s="89">
        <v>133</v>
      </c>
      <c r="B527">
        <v>381</v>
      </c>
      <c r="C527" s="86">
        <f>ROUND(F527,3)</f>
        <v>3.9E-2</v>
      </c>
      <c r="F527" s="87">
        <v>3.9114000000000003E-2</v>
      </c>
      <c r="H527" s="90">
        <v>133</v>
      </c>
      <c r="I527" s="90">
        <v>381</v>
      </c>
      <c r="J527" s="86">
        <v>3.9E-2</v>
      </c>
    </row>
    <row r="528" spans="1:10">
      <c r="A528" s="89">
        <v>148</v>
      </c>
      <c r="B528">
        <v>377</v>
      </c>
      <c r="C528" s="86">
        <f>ROUND(F528,3)</f>
        <v>2.65</v>
      </c>
      <c r="F528" s="87">
        <v>2.6499199999999998</v>
      </c>
      <c r="H528" s="90">
        <v>148</v>
      </c>
      <c r="I528" s="90">
        <v>377</v>
      </c>
      <c r="J528" s="86">
        <v>2.65</v>
      </c>
    </row>
    <row r="529" spans="1:10">
      <c r="A529" s="89">
        <v>148</v>
      </c>
      <c r="B529">
        <v>381</v>
      </c>
      <c r="C529" s="86">
        <f>ROUND(F529,3)</f>
        <v>5.8999999999999997E-2</v>
      </c>
      <c r="F529" s="87">
        <v>5.9040000000000002E-2</v>
      </c>
      <c r="H529" s="90">
        <v>148</v>
      </c>
      <c r="I529" s="90">
        <v>381</v>
      </c>
      <c r="J529" s="86">
        <v>5.8999999999999997E-2</v>
      </c>
    </row>
    <row r="530" spans="1:10">
      <c r="A530" s="89">
        <v>141</v>
      </c>
      <c r="B530">
        <v>377</v>
      </c>
      <c r="C530" s="86">
        <f>ROUND(F530,3)</f>
        <v>17.556000000000001</v>
      </c>
      <c r="F530" s="87">
        <v>17.555720000000001</v>
      </c>
      <c r="H530" s="90">
        <v>141</v>
      </c>
      <c r="I530" s="90">
        <v>377</v>
      </c>
      <c r="J530" s="86">
        <v>17.556000000000001</v>
      </c>
    </row>
    <row r="531" spans="1:10">
      <c r="A531" s="89">
        <v>141</v>
      </c>
      <c r="B531">
        <v>381</v>
      </c>
      <c r="C531" s="86">
        <f>ROUND(F531,3)</f>
        <v>0.39100000000000001</v>
      </c>
      <c r="F531" s="87">
        <v>0.39113999999999999</v>
      </c>
      <c r="H531" s="90">
        <v>141</v>
      </c>
      <c r="I531" s="90">
        <v>381</v>
      </c>
      <c r="J531" s="86">
        <v>0.39100000000000001</v>
      </c>
    </row>
    <row r="532" spans="1:10">
      <c r="A532" s="89">
        <v>156</v>
      </c>
      <c r="B532">
        <v>377</v>
      </c>
      <c r="C532" s="86">
        <f>ROUND(F532,3)</f>
        <v>26.498999999999999</v>
      </c>
      <c r="F532" s="87">
        <v>26.499199999999998</v>
      </c>
      <c r="H532" s="90">
        <v>156</v>
      </c>
      <c r="I532" s="90">
        <v>377</v>
      </c>
      <c r="J532" s="86">
        <v>26.498999999999999</v>
      </c>
    </row>
    <row r="533" spans="1:10">
      <c r="A533" s="89">
        <v>156</v>
      </c>
      <c r="B533">
        <v>381</v>
      </c>
      <c r="C533" s="86">
        <f>ROUND(F533,3)</f>
        <v>0.59</v>
      </c>
      <c r="F533" s="87">
        <v>0.59040000000000004</v>
      </c>
      <c r="H533" s="90">
        <v>156</v>
      </c>
      <c r="I533" s="90">
        <v>381</v>
      </c>
      <c r="J533" s="86">
        <v>0.59</v>
      </c>
    </row>
    <row r="534" spans="1:10">
      <c r="A534" s="89">
        <v>134</v>
      </c>
      <c r="B534">
        <v>377</v>
      </c>
      <c r="C534" s="86">
        <f>ROUND(F534,3)</f>
        <v>2.4580000000000002</v>
      </c>
      <c r="F534" s="87">
        <v>2.4578007999999998</v>
      </c>
      <c r="H534" s="90">
        <v>134</v>
      </c>
      <c r="I534" s="90">
        <v>377</v>
      </c>
      <c r="J534" s="86">
        <v>2.4580000000000002</v>
      </c>
    </row>
    <row r="535" spans="1:10">
      <c r="A535" s="89">
        <v>134</v>
      </c>
      <c r="B535">
        <v>381</v>
      </c>
      <c r="C535" s="86">
        <f>ROUND(F535,3)</f>
        <v>5.5E-2</v>
      </c>
      <c r="F535" s="87">
        <v>5.4759599999999999E-2</v>
      </c>
      <c r="H535" s="90">
        <v>134</v>
      </c>
      <c r="I535" s="90">
        <v>381</v>
      </c>
      <c r="J535" s="86">
        <v>5.5E-2</v>
      </c>
    </row>
    <row r="536" spans="1:10">
      <c r="A536" s="89">
        <v>149</v>
      </c>
      <c r="B536">
        <v>377</v>
      </c>
      <c r="C536" s="86">
        <f>ROUND(F536,3)</f>
        <v>3.71</v>
      </c>
      <c r="F536" s="87">
        <v>3.7098879999999999</v>
      </c>
      <c r="H536" s="90">
        <v>149</v>
      </c>
      <c r="I536" s="90">
        <v>377</v>
      </c>
      <c r="J536" s="86">
        <v>3.71</v>
      </c>
    </row>
    <row r="537" spans="1:10">
      <c r="A537" s="89">
        <v>149</v>
      </c>
      <c r="B537">
        <v>381</v>
      </c>
      <c r="C537" s="86">
        <f>ROUND(F537,3)</f>
        <v>8.3000000000000004E-2</v>
      </c>
      <c r="F537" s="87">
        <v>8.2655999999999993E-2</v>
      </c>
      <c r="H537" s="90">
        <v>149</v>
      </c>
      <c r="I537" s="90">
        <v>381</v>
      </c>
      <c r="J537" s="86">
        <v>8.3000000000000004E-2</v>
      </c>
    </row>
    <row r="538" spans="1:10">
      <c r="A538" s="89">
        <v>142</v>
      </c>
      <c r="B538">
        <v>377</v>
      </c>
      <c r="C538" s="86">
        <f>ROUND(F538,3)</f>
        <v>28.088999999999999</v>
      </c>
      <c r="F538" s="87">
        <v>28.089151999999999</v>
      </c>
      <c r="H538" s="90">
        <v>142</v>
      </c>
      <c r="I538" s="90">
        <v>377</v>
      </c>
      <c r="J538" s="86">
        <v>28.088999999999999</v>
      </c>
    </row>
    <row r="539" spans="1:10">
      <c r="A539" s="89">
        <v>142</v>
      </c>
      <c r="B539">
        <v>381</v>
      </c>
      <c r="C539" s="86">
        <f>ROUND(F539,3)</f>
        <v>0.626</v>
      </c>
      <c r="F539" s="87">
        <v>0.62582400000000005</v>
      </c>
      <c r="H539" s="90">
        <v>142</v>
      </c>
      <c r="I539" s="90">
        <v>381</v>
      </c>
      <c r="J539" s="86">
        <v>0.626</v>
      </c>
    </row>
    <row r="540" spans="1:10">
      <c r="A540" s="89">
        <v>157</v>
      </c>
      <c r="B540">
        <v>377</v>
      </c>
      <c r="C540" s="86">
        <f>ROUND(F540,3)</f>
        <v>42.399000000000001</v>
      </c>
      <c r="F540" s="87">
        <v>42.398719999999997</v>
      </c>
      <c r="H540" s="90">
        <v>157</v>
      </c>
      <c r="I540" s="90">
        <v>377</v>
      </c>
      <c r="J540" s="86">
        <v>42.399000000000001</v>
      </c>
    </row>
    <row r="541" spans="1:10">
      <c r="A541" s="89">
        <v>157</v>
      </c>
      <c r="B541">
        <v>381</v>
      </c>
      <c r="C541" s="86">
        <f>ROUND(F541,3)</f>
        <v>0.94499999999999995</v>
      </c>
      <c r="F541" s="87">
        <v>0.94464000000000004</v>
      </c>
      <c r="H541" s="90">
        <v>157</v>
      </c>
      <c r="I541" s="90">
        <v>381</v>
      </c>
      <c r="J541" s="86">
        <v>0.94499999999999995</v>
      </c>
    </row>
    <row r="542" spans="1:10">
      <c r="A542" s="89">
        <v>113</v>
      </c>
      <c r="B542">
        <v>377</v>
      </c>
      <c r="C542" s="86">
        <f>ROUND(F542,3)</f>
        <v>205.23400000000001</v>
      </c>
      <c r="F542" s="87">
        <v>205.2336</v>
      </c>
      <c r="H542" s="90">
        <v>113</v>
      </c>
      <c r="I542" s="90">
        <v>377</v>
      </c>
      <c r="J542" s="86">
        <v>205.23400000000001</v>
      </c>
    </row>
    <row r="543" spans="1:10">
      <c r="A543" s="89">
        <v>113</v>
      </c>
      <c r="B543">
        <v>381</v>
      </c>
      <c r="C543" s="86">
        <f>ROUND(F543,3)</f>
        <v>19.483000000000001</v>
      </c>
      <c r="F543" s="87">
        <v>19.4832</v>
      </c>
      <c r="H543" s="90">
        <v>113</v>
      </c>
      <c r="I543" s="90">
        <v>381</v>
      </c>
      <c r="J543" s="86">
        <v>19.483000000000001</v>
      </c>
    </row>
    <row r="544" spans="1:10">
      <c r="A544" s="89">
        <v>130</v>
      </c>
      <c r="B544">
        <v>377</v>
      </c>
      <c r="C544" s="86">
        <f>ROUND(F544,3)</f>
        <v>492.56099999999998</v>
      </c>
      <c r="F544" s="87">
        <v>492.56063999999998</v>
      </c>
      <c r="H544" s="90">
        <v>130</v>
      </c>
      <c r="I544" s="90">
        <v>377</v>
      </c>
      <c r="J544" s="86">
        <v>492.56099999999998</v>
      </c>
    </row>
    <row r="545" spans="1:10">
      <c r="A545" s="89">
        <v>130</v>
      </c>
      <c r="B545">
        <v>381</v>
      </c>
      <c r="C545" s="86">
        <f>ROUND(F545,3)</f>
        <v>46.76</v>
      </c>
      <c r="F545" s="87">
        <v>46.759680000000003</v>
      </c>
      <c r="H545" s="90">
        <v>130</v>
      </c>
      <c r="I545" s="90">
        <v>381</v>
      </c>
      <c r="J545" s="86">
        <v>46.76</v>
      </c>
    </row>
    <row r="546" spans="1:10">
      <c r="A546" s="89">
        <v>114</v>
      </c>
      <c r="B546">
        <v>377</v>
      </c>
      <c r="C546" s="86">
        <f>ROUND(F546,3)</f>
        <v>273.64499999999998</v>
      </c>
      <c r="F546" s="87">
        <v>273.64479999999998</v>
      </c>
      <c r="H546" s="90">
        <v>114</v>
      </c>
      <c r="I546" s="90">
        <v>377</v>
      </c>
      <c r="J546" s="86">
        <v>273.64499999999998</v>
      </c>
    </row>
    <row r="547" spans="1:10">
      <c r="A547" s="89">
        <v>114</v>
      </c>
      <c r="B547">
        <v>381</v>
      </c>
      <c r="C547" s="86">
        <f>ROUND(F547,3)</f>
        <v>25.978000000000002</v>
      </c>
      <c r="F547" s="87">
        <v>25.977599999999999</v>
      </c>
      <c r="H547" s="90">
        <v>114</v>
      </c>
      <c r="I547" s="90">
        <v>381</v>
      </c>
      <c r="J547" s="86">
        <v>25.978000000000002</v>
      </c>
    </row>
    <row r="548" spans="1:10">
      <c r="A548" s="89">
        <v>129</v>
      </c>
      <c r="B548">
        <v>377</v>
      </c>
      <c r="C548" s="86">
        <f>ROUND(F548,3)</f>
        <v>410.46699999999998</v>
      </c>
      <c r="F548" s="87">
        <v>410.46719999999999</v>
      </c>
      <c r="H548" s="90">
        <v>129</v>
      </c>
      <c r="I548" s="90">
        <v>377</v>
      </c>
      <c r="J548" s="86">
        <v>410.46699999999998</v>
      </c>
    </row>
    <row r="549" spans="1:10">
      <c r="A549" s="89">
        <v>129</v>
      </c>
      <c r="B549">
        <v>381</v>
      </c>
      <c r="C549" s="86">
        <f>ROUND(F549,3)</f>
        <v>38.966000000000001</v>
      </c>
      <c r="F549" s="87">
        <v>38.9664</v>
      </c>
      <c r="H549" s="90">
        <v>129</v>
      </c>
      <c r="I549" s="90">
        <v>381</v>
      </c>
      <c r="J549" s="86">
        <v>38.966000000000001</v>
      </c>
    </row>
    <row r="550" spans="1:10">
      <c r="A550" s="89">
        <v>105</v>
      </c>
      <c r="B550">
        <v>377</v>
      </c>
      <c r="C550" s="86">
        <f>ROUND(F550,3)</f>
        <v>3.4209999999999998</v>
      </c>
      <c r="F550" s="87">
        <v>3.42056</v>
      </c>
      <c r="H550" s="90">
        <v>105</v>
      </c>
      <c r="I550" s="90">
        <v>377</v>
      </c>
      <c r="J550" s="86">
        <v>3.4209999999999998</v>
      </c>
    </row>
    <row r="551" spans="1:10">
      <c r="A551" s="89">
        <v>105</v>
      </c>
      <c r="B551">
        <v>381</v>
      </c>
      <c r="C551" s="86">
        <f>ROUND(F551,3)</f>
        <v>0.32500000000000001</v>
      </c>
      <c r="F551" s="87">
        <v>0.32472000000000001</v>
      </c>
      <c r="H551" s="90">
        <v>105</v>
      </c>
      <c r="I551" s="90">
        <v>381</v>
      </c>
      <c r="J551" s="86">
        <v>0.32500000000000001</v>
      </c>
    </row>
    <row r="552" spans="1:10">
      <c r="A552" s="89">
        <v>106</v>
      </c>
      <c r="B552">
        <v>377</v>
      </c>
      <c r="C552" s="86">
        <f>ROUND(F552,3)</f>
        <v>4.7889999999999997</v>
      </c>
      <c r="F552" s="87">
        <v>4.7887839999999997</v>
      </c>
      <c r="H552" s="90">
        <v>106</v>
      </c>
      <c r="I552" s="90">
        <v>377</v>
      </c>
      <c r="J552" s="86">
        <v>4.7889999999999997</v>
      </c>
    </row>
    <row r="553" spans="1:10">
      <c r="A553" s="89">
        <v>106</v>
      </c>
      <c r="B553">
        <v>381</v>
      </c>
      <c r="C553" s="86">
        <f>ROUND(F553,3)</f>
        <v>0.45500000000000002</v>
      </c>
      <c r="F553" s="87">
        <v>0.45460800000000001</v>
      </c>
      <c r="H553" s="90">
        <v>106</v>
      </c>
      <c r="I553" s="90">
        <v>381</v>
      </c>
      <c r="J553" s="86">
        <v>0.45500000000000002</v>
      </c>
    </row>
    <row r="554" spans="1:10">
      <c r="A554" s="89">
        <v>107</v>
      </c>
      <c r="B554">
        <v>377</v>
      </c>
      <c r="C554" s="86">
        <f>ROUND(F554,3)</f>
        <v>5.4729999999999999</v>
      </c>
      <c r="F554" s="87">
        <v>5.4728960000000004</v>
      </c>
      <c r="H554" s="90">
        <v>107</v>
      </c>
      <c r="I554" s="90">
        <v>377</v>
      </c>
      <c r="J554" s="86">
        <v>5.4729999999999999</v>
      </c>
    </row>
    <row r="555" spans="1:10">
      <c r="A555" s="89">
        <v>107</v>
      </c>
      <c r="B555">
        <v>381</v>
      </c>
      <c r="C555" s="86">
        <f>ROUND(F555,3)</f>
        <v>0.52</v>
      </c>
      <c r="F555" s="87">
        <v>0.51955200000000001</v>
      </c>
      <c r="H555" s="90">
        <v>107</v>
      </c>
      <c r="I555" s="90">
        <v>381</v>
      </c>
      <c r="J555" s="86">
        <v>0.52</v>
      </c>
    </row>
    <row r="556" spans="1:10">
      <c r="A556" s="89">
        <v>122</v>
      </c>
      <c r="B556">
        <v>377</v>
      </c>
      <c r="C556" s="86">
        <f>ROUND(F556,3)</f>
        <v>8.2089999999999996</v>
      </c>
      <c r="F556" s="87">
        <v>8.2093439999999998</v>
      </c>
      <c r="H556" s="90">
        <v>122</v>
      </c>
      <c r="I556" s="90">
        <v>377</v>
      </c>
      <c r="J556" s="86">
        <v>8.2089999999999996</v>
      </c>
    </row>
    <row r="557" spans="1:10">
      <c r="A557" s="89">
        <v>122</v>
      </c>
      <c r="B557">
        <v>381</v>
      </c>
      <c r="C557" s="86">
        <f>ROUND(F557,3)</f>
        <v>0.77900000000000003</v>
      </c>
      <c r="F557" s="87">
        <v>0.77932800000000002</v>
      </c>
      <c r="H557" s="90">
        <v>122</v>
      </c>
      <c r="I557" s="90">
        <v>381</v>
      </c>
      <c r="J557" s="86">
        <v>0.77900000000000003</v>
      </c>
    </row>
    <row r="558" spans="1:10">
      <c r="A558" s="89">
        <v>108</v>
      </c>
      <c r="B558">
        <v>377</v>
      </c>
      <c r="C558" s="86">
        <f>ROUND(F558,3)</f>
        <v>6.8410000000000002</v>
      </c>
      <c r="F558" s="87">
        <v>6.8411200000000001</v>
      </c>
      <c r="H558" s="90">
        <v>108</v>
      </c>
      <c r="I558" s="90">
        <v>377</v>
      </c>
      <c r="J558" s="86">
        <v>6.8410000000000002</v>
      </c>
    </row>
    <row r="559" spans="1:10">
      <c r="A559" s="89">
        <v>108</v>
      </c>
      <c r="B559">
        <v>381</v>
      </c>
      <c r="C559" s="86">
        <f>ROUND(F559,3)</f>
        <v>0.64900000000000002</v>
      </c>
      <c r="F559" s="87">
        <v>0.64944000000000002</v>
      </c>
      <c r="H559" s="90">
        <v>108</v>
      </c>
      <c r="I559" s="90">
        <v>381</v>
      </c>
      <c r="J559" s="86">
        <v>0.64900000000000002</v>
      </c>
    </row>
    <row r="560" spans="1:10">
      <c r="A560" s="89">
        <v>109</v>
      </c>
      <c r="B560">
        <v>377</v>
      </c>
      <c r="C560" s="86">
        <f>ROUND(F560,3)</f>
        <v>10.262</v>
      </c>
      <c r="F560" s="87">
        <v>10.26168</v>
      </c>
      <c r="H560" s="90">
        <v>109</v>
      </c>
      <c r="I560" s="90">
        <v>377</v>
      </c>
      <c r="J560" s="86">
        <v>10.262</v>
      </c>
    </row>
    <row r="561" spans="1:10">
      <c r="A561" s="89">
        <v>109</v>
      </c>
      <c r="B561">
        <v>381</v>
      </c>
      <c r="C561" s="86">
        <f>ROUND(F561,3)</f>
        <v>0.97399999999999998</v>
      </c>
      <c r="F561" s="87">
        <v>0.97416000000000003</v>
      </c>
      <c r="H561" s="90">
        <v>109</v>
      </c>
      <c r="I561" s="90">
        <v>381</v>
      </c>
      <c r="J561" s="86">
        <v>0.97399999999999998</v>
      </c>
    </row>
    <row r="562" spans="1:10">
      <c r="A562" s="89">
        <v>110</v>
      </c>
      <c r="B562">
        <v>377</v>
      </c>
      <c r="C562" s="86">
        <f>ROUND(F562,3)</f>
        <v>13.682</v>
      </c>
      <c r="F562" s="87">
        <v>13.68224</v>
      </c>
      <c r="H562" s="90">
        <v>110</v>
      </c>
      <c r="I562" s="90">
        <v>377</v>
      </c>
      <c r="J562" s="86">
        <v>13.682</v>
      </c>
    </row>
    <row r="563" spans="1:10">
      <c r="A563" s="89">
        <v>110</v>
      </c>
      <c r="B563">
        <v>381</v>
      </c>
      <c r="C563" s="86">
        <f>ROUND(F563,3)</f>
        <v>1.2989999999999999</v>
      </c>
      <c r="F563" s="87">
        <v>1.29888</v>
      </c>
      <c r="H563" s="90">
        <v>110</v>
      </c>
      <c r="I563" s="90">
        <v>381</v>
      </c>
      <c r="J563" s="86">
        <v>1.2989999999999999</v>
      </c>
    </row>
    <row r="564" spans="1:10">
      <c r="A564" s="89">
        <v>118</v>
      </c>
      <c r="B564">
        <v>377</v>
      </c>
      <c r="C564" s="86">
        <f>ROUND(F564,3)</f>
        <v>2.5649999999999999</v>
      </c>
      <c r="F564" s="87">
        <v>2.56542</v>
      </c>
      <c r="H564" s="90">
        <v>118</v>
      </c>
      <c r="I564" s="90">
        <v>377</v>
      </c>
      <c r="J564" s="86">
        <v>2.5649999999999999</v>
      </c>
    </row>
    <row r="565" spans="1:10">
      <c r="A565" s="89">
        <v>118</v>
      </c>
      <c r="B565">
        <v>381</v>
      </c>
      <c r="C565" s="86">
        <f>ROUND(F565,3)</f>
        <v>0.24399999999999999</v>
      </c>
      <c r="F565" s="87">
        <v>0.24354000000000001</v>
      </c>
      <c r="H565" s="90">
        <v>118</v>
      </c>
      <c r="I565" s="90">
        <v>381</v>
      </c>
      <c r="J565" s="86">
        <v>0.24399999999999999</v>
      </c>
    </row>
    <row r="566" spans="1:10">
      <c r="A566" s="89">
        <v>104</v>
      </c>
      <c r="B566">
        <v>377</v>
      </c>
      <c r="C566" s="86">
        <f>ROUND(F566,3)</f>
        <v>2.3940000000000001</v>
      </c>
      <c r="F566" s="87">
        <v>2.3943919999999999</v>
      </c>
      <c r="H566" s="90">
        <v>104</v>
      </c>
      <c r="I566" s="90">
        <v>377</v>
      </c>
      <c r="J566" s="86">
        <v>2.3940000000000001</v>
      </c>
    </row>
    <row r="567" spans="1:10">
      <c r="A567" s="89">
        <v>104</v>
      </c>
      <c r="B567">
        <v>381</v>
      </c>
      <c r="C567" s="86">
        <f>ROUND(F567,3)</f>
        <v>0.22700000000000001</v>
      </c>
      <c r="F567" s="87">
        <v>0.22730400000000001</v>
      </c>
      <c r="H567" s="90">
        <v>104</v>
      </c>
      <c r="I567" s="90">
        <v>381</v>
      </c>
      <c r="J567" s="86">
        <v>0.22700000000000001</v>
      </c>
    </row>
    <row r="568" spans="1:10">
      <c r="A568" s="89">
        <v>112</v>
      </c>
      <c r="B568">
        <v>377</v>
      </c>
      <c r="C568" s="86">
        <f>ROUND(F568,3)</f>
        <v>27.364000000000001</v>
      </c>
      <c r="F568" s="87">
        <v>27.36448</v>
      </c>
      <c r="H568" s="90">
        <v>112</v>
      </c>
      <c r="I568" s="90">
        <v>377</v>
      </c>
      <c r="J568" s="86">
        <v>27.364000000000001</v>
      </c>
    </row>
    <row r="569" spans="1:10">
      <c r="A569" s="89">
        <v>112</v>
      </c>
      <c r="B569">
        <v>381</v>
      </c>
      <c r="C569" s="86">
        <f>ROUND(F569,3)</f>
        <v>2.5979999999999999</v>
      </c>
      <c r="F569" s="87">
        <v>2.5977600000000001</v>
      </c>
      <c r="H569" s="90">
        <v>112</v>
      </c>
      <c r="I569" s="90">
        <v>381</v>
      </c>
      <c r="J569" s="86">
        <v>2.5979999999999999</v>
      </c>
    </row>
    <row r="570" spans="1:10">
      <c r="A570" s="89">
        <v>128</v>
      </c>
      <c r="B570">
        <v>377</v>
      </c>
      <c r="C570" s="86">
        <f>ROUND(F570,3)</f>
        <v>307.85000000000002</v>
      </c>
      <c r="F570" s="87">
        <v>307.85039999999998</v>
      </c>
      <c r="H570" s="90">
        <v>128</v>
      </c>
      <c r="I570" s="90">
        <v>377</v>
      </c>
      <c r="J570" s="86">
        <v>307.85000000000002</v>
      </c>
    </row>
    <row r="571" spans="1:10">
      <c r="A571" s="89">
        <v>128</v>
      </c>
      <c r="B571">
        <v>381</v>
      </c>
      <c r="C571" s="86">
        <f>ROUND(F571,3)</f>
        <v>29.225000000000001</v>
      </c>
      <c r="F571" s="87">
        <v>29.224799999999998</v>
      </c>
      <c r="H571" s="90">
        <v>128</v>
      </c>
      <c r="I571" s="90">
        <v>381</v>
      </c>
      <c r="J571" s="86">
        <v>29.225000000000001</v>
      </c>
    </row>
    <row r="572" spans="1:10">
      <c r="A572" s="89">
        <v>115</v>
      </c>
      <c r="B572">
        <v>377</v>
      </c>
      <c r="C572" s="86">
        <f>ROUND(F572,3)</f>
        <v>328.37400000000002</v>
      </c>
      <c r="F572" s="87">
        <v>328.37376</v>
      </c>
      <c r="H572" s="90">
        <v>115</v>
      </c>
      <c r="I572" s="90">
        <v>377</v>
      </c>
      <c r="J572" s="86">
        <v>328.37400000000002</v>
      </c>
    </row>
    <row r="573" spans="1:10">
      <c r="A573" s="89">
        <v>115</v>
      </c>
      <c r="B573">
        <v>381</v>
      </c>
      <c r="C573" s="86">
        <f>ROUND(F573,3)</f>
        <v>31.172999999999998</v>
      </c>
      <c r="F573" s="87">
        <v>31.173120000000001</v>
      </c>
      <c r="H573" s="90">
        <v>115</v>
      </c>
      <c r="I573" s="90">
        <v>381</v>
      </c>
      <c r="J573" s="86">
        <v>31.172999999999998</v>
      </c>
    </row>
    <row r="574" spans="1:10">
      <c r="A574" s="89">
        <v>116</v>
      </c>
      <c r="B574">
        <v>377</v>
      </c>
      <c r="C574" s="86">
        <f>ROUND(F574,3)</f>
        <v>437.83199999999999</v>
      </c>
      <c r="F574" s="87">
        <v>437.83168000000001</v>
      </c>
      <c r="H574" s="90">
        <v>116</v>
      </c>
      <c r="I574" s="90">
        <v>377</v>
      </c>
      <c r="J574" s="86">
        <v>437.83199999999999</v>
      </c>
    </row>
    <row r="575" spans="1:10">
      <c r="A575" s="89">
        <v>116</v>
      </c>
      <c r="B575">
        <v>381</v>
      </c>
      <c r="C575" s="86">
        <f>ROUND(F575,3)</f>
        <v>41.564</v>
      </c>
      <c r="F575" s="87">
        <v>41.564160000000001</v>
      </c>
      <c r="H575" s="90">
        <v>116</v>
      </c>
      <c r="I575" s="90">
        <v>381</v>
      </c>
      <c r="J575" s="86">
        <v>41.564</v>
      </c>
    </row>
    <row r="576" spans="1:10">
      <c r="A576" s="89">
        <v>131</v>
      </c>
      <c r="B576">
        <v>377</v>
      </c>
      <c r="C576" s="86">
        <f>ROUND(F576,3)</f>
        <v>656.74800000000005</v>
      </c>
      <c r="F576" s="87">
        <v>656.74752000000001</v>
      </c>
      <c r="H576" s="90">
        <v>131</v>
      </c>
      <c r="I576" s="90">
        <v>377</v>
      </c>
      <c r="J576" s="86">
        <v>656.74800000000005</v>
      </c>
    </row>
    <row r="577" spans="1:10">
      <c r="A577" s="89">
        <v>131</v>
      </c>
      <c r="B577">
        <v>381</v>
      </c>
      <c r="C577" s="86">
        <f>ROUND(F577,3)</f>
        <v>62.345999999999997</v>
      </c>
      <c r="F577" s="87">
        <v>62.346240000000002</v>
      </c>
      <c r="H577" s="90">
        <v>131</v>
      </c>
      <c r="I577" s="90">
        <v>381</v>
      </c>
      <c r="J577" s="86">
        <v>62.345999999999997</v>
      </c>
    </row>
    <row r="578" spans="1:10">
      <c r="A578" s="89">
        <v>120</v>
      </c>
      <c r="B578">
        <v>377</v>
      </c>
      <c r="C578" s="86">
        <f>ROUND(F578,3)</f>
        <v>5.1310000000000002</v>
      </c>
      <c r="F578" s="87">
        <v>5.1308400000000001</v>
      </c>
      <c r="H578" s="90">
        <v>120</v>
      </c>
      <c r="I578" s="90">
        <v>377</v>
      </c>
      <c r="J578" s="86">
        <v>5.1310000000000002</v>
      </c>
    </row>
    <row r="579" spans="1:10">
      <c r="A579" s="89">
        <v>120</v>
      </c>
      <c r="B579">
        <v>381</v>
      </c>
      <c r="C579" s="86">
        <f>ROUND(F579,3)</f>
        <v>0.48699999999999999</v>
      </c>
      <c r="F579" s="87">
        <v>0.48708000000000001</v>
      </c>
      <c r="H579" s="90">
        <v>120</v>
      </c>
      <c r="I579" s="90">
        <v>381</v>
      </c>
      <c r="J579" s="86">
        <v>0.48699999999999999</v>
      </c>
    </row>
    <row r="580" spans="1:10">
      <c r="A580" s="89">
        <v>121</v>
      </c>
      <c r="B580">
        <v>377</v>
      </c>
      <c r="C580" s="86">
        <f>ROUND(F580,3)</f>
        <v>7.1829999999999998</v>
      </c>
      <c r="F580" s="87">
        <v>7.1831759999999996</v>
      </c>
      <c r="H580" s="90">
        <v>121</v>
      </c>
      <c r="I580" s="90">
        <v>377</v>
      </c>
      <c r="J580" s="86">
        <v>7.1829999999999998</v>
      </c>
    </row>
    <row r="581" spans="1:10">
      <c r="A581" s="89">
        <v>121</v>
      </c>
      <c r="B581">
        <v>381</v>
      </c>
      <c r="C581" s="86">
        <f>ROUND(F581,3)</f>
        <v>0.68200000000000005</v>
      </c>
      <c r="F581" s="87">
        <v>0.68191199999999996</v>
      </c>
      <c r="H581" s="90">
        <v>121</v>
      </c>
      <c r="I581" s="90">
        <v>381</v>
      </c>
      <c r="J581" s="86">
        <v>0.68200000000000005</v>
      </c>
    </row>
    <row r="582" spans="1:10">
      <c r="A582" s="89">
        <v>102</v>
      </c>
      <c r="B582">
        <v>377</v>
      </c>
      <c r="C582" s="86">
        <f>ROUND(F582,3)</f>
        <v>0.68400000000000005</v>
      </c>
      <c r="F582" s="87">
        <v>0.68411200000000005</v>
      </c>
      <c r="H582" s="90">
        <v>102</v>
      </c>
      <c r="I582" s="90">
        <v>377</v>
      </c>
      <c r="J582" s="86">
        <v>0.68400000000000005</v>
      </c>
    </row>
    <row r="583" spans="1:10">
      <c r="A583" s="89">
        <v>102</v>
      </c>
      <c r="B583">
        <v>381</v>
      </c>
      <c r="C583" s="86">
        <f>ROUND(F583,3)</f>
        <v>6.5000000000000002E-2</v>
      </c>
      <c r="F583" s="87">
        <v>6.4944000000000002E-2</v>
      </c>
      <c r="H583" s="90">
        <v>102</v>
      </c>
      <c r="I583" s="90">
        <v>381</v>
      </c>
      <c r="J583" s="86">
        <v>6.5000000000000002E-2</v>
      </c>
    </row>
    <row r="584" spans="1:10">
      <c r="A584" s="89">
        <v>117</v>
      </c>
      <c r="B584">
        <v>377</v>
      </c>
      <c r="C584" s="86">
        <f>ROUND(F584,3)</f>
        <v>1.026</v>
      </c>
      <c r="F584" s="87">
        <v>1.026168</v>
      </c>
      <c r="H584" s="90">
        <v>117</v>
      </c>
      <c r="I584" s="90">
        <v>377</v>
      </c>
      <c r="J584" s="86">
        <v>1.026</v>
      </c>
    </row>
    <row r="585" spans="1:10">
      <c r="A585" s="89">
        <v>117</v>
      </c>
      <c r="B585">
        <v>381</v>
      </c>
      <c r="C585" s="86">
        <f>ROUND(F585,3)</f>
        <v>9.7000000000000003E-2</v>
      </c>
      <c r="F585" s="87">
        <v>9.7416000000000003E-2</v>
      </c>
      <c r="H585" s="90">
        <v>117</v>
      </c>
      <c r="I585" s="90">
        <v>381</v>
      </c>
      <c r="J585" s="86">
        <v>9.7000000000000003E-2</v>
      </c>
    </row>
    <row r="586" spans="1:10">
      <c r="A586" s="89">
        <v>123</v>
      </c>
      <c r="B586">
        <v>377</v>
      </c>
      <c r="C586" s="86">
        <f>ROUND(F586,3)</f>
        <v>10.262</v>
      </c>
      <c r="F586" s="87">
        <v>10.26168</v>
      </c>
      <c r="H586" s="90">
        <v>123</v>
      </c>
      <c r="I586" s="90">
        <v>377</v>
      </c>
      <c r="J586" s="86">
        <v>10.262</v>
      </c>
    </row>
    <row r="587" spans="1:10">
      <c r="A587" s="89">
        <v>123</v>
      </c>
      <c r="B587">
        <v>381</v>
      </c>
      <c r="C587" s="86">
        <f>ROUND(F587,3)</f>
        <v>0.97399999999999998</v>
      </c>
      <c r="F587" s="87">
        <v>0.97416000000000003</v>
      </c>
      <c r="H587" s="90">
        <v>123</v>
      </c>
      <c r="I587" s="90">
        <v>381</v>
      </c>
      <c r="J587" s="86">
        <v>0.97399999999999998</v>
      </c>
    </row>
    <row r="588" spans="1:10">
      <c r="A588" s="89">
        <v>124</v>
      </c>
      <c r="B588">
        <v>377</v>
      </c>
      <c r="C588" s="86">
        <f>ROUND(F588,3)</f>
        <v>15.393000000000001</v>
      </c>
      <c r="F588" s="87">
        <v>15.392519999999999</v>
      </c>
      <c r="H588" s="90">
        <v>124</v>
      </c>
      <c r="I588" s="90">
        <v>377</v>
      </c>
      <c r="J588" s="86">
        <v>15.393000000000001</v>
      </c>
    </row>
    <row r="589" spans="1:10">
      <c r="A589" s="89">
        <v>124</v>
      </c>
      <c r="B589">
        <v>381</v>
      </c>
      <c r="C589" s="86">
        <f>ROUND(F589,3)</f>
        <v>1.4610000000000001</v>
      </c>
      <c r="F589" s="87">
        <v>1.4612400000000001</v>
      </c>
      <c r="H589" s="90">
        <v>124</v>
      </c>
      <c r="I589" s="90">
        <v>381</v>
      </c>
      <c r="J589" s="86">
        <v>1.4610000000000001</v>
      </c>
    </row>
    <row r="590" spans="1:10">
      <c r="A590" s="89">
        <v>125</v>
      </c>
      <c r="B590">
        <v>377</v>
      </c>
      <c r="C590" s="86">
        <f>ROUND(F590,3)</f>
        <v>20.523</v>
      </c>
      <c r="F590" s="87">
        <v>20.52336</v>
      </c>
      <c r="H590" s="90">
        <v>125</v>
      </c>
      <c r="I590" s="90">
        <v>377</v>
      </c>
      <c r="J590" s="86">
        <v>20.523</v>
      </c>
    </row>
    <row r="591" spans="1:10">
      <c r="A591" s="89">
        <v>125</v>
      </c>
      <c r="B591">
        <v>381</v>
      </c>
      <c r="C591" s="86">
        <f>ROUND(F591,3)</f>
        <v>1.948</v>
      </c>
      <c r="F591" s="87">
        <v>1.9483200000000001</v>
      </c>
      <c r="H591" s="90">
        <v>125</v>
      </c>
      <c r="I591" s="90">
        <v>381</v>
      </c>
      <c r="J591" s="86">
        <v>1.948</v>
      </c>
    </row>
    <row r="592" spans="1:10">
      <c r="A592" s="89">
        <v>103</v>
      </c>
      <c r="B592">
        <v>377</v>
      </c>
      <c r="C592" s="86">
        <f>ROUND(F592,3)</f>
        <v>1.71</v>
      </c>
      <c r="F592" s="87">
        <v>1.71028</v>
      </c>
      <c r="H592" s="90">
        <v>103</v>
      </c>
      <c r="I592" s="90">
        <v>377</v>
      </c>
      <c r="J592" s="86">
        <v>1.71</v>
      </c>
    </row>
    <row r="593" spans="1:10">
      <c r="A593" s="89">
        <v>103</v>
      </c>
      <c r="B593">
        <v>381</v>
      </c>
      <c r="C593" s="86">
        <f>ROUND(F593,3)</f>
        <v>0.16200000000000001</v>
      </c>
      <c r="F593" s="87">
        <v>0.16236</v>
      </c>
      <c r="H593" s="90">
        <v>103</v>
      </c>
      <c r="I593" s="90">
        <v>381</v>
      </c>
      <c r="J593" s="86">
        <v>0.16200000000000001</v>
      </c>
    </row>
    <row r="594" spans="1:10">
      <c r="A594" s="89">
        <v>111</v>
      </c>
      <c r="B594">
        <v>377</v>
      </c>
      <c r="C594" s="86">
        <f>ROUND(F594,3)</f>
        <v>17.103000000000002</v>
      </c>
      <c r="F594" s="87">
        <v>17.102799999999998</v>
      </c>
      <c r="H594" s="90">
        <v>111</v>
      </c>
      <c r="I594" s="90">
        <v>377</v>
      </c>
      <c r="J594" s="86">
        <v>17.103000000000002</v>
      </c>
    </row>
    <row r="595" spans="1:10">
      <c r="A595" s="89">
        <v>111</v>
      </c>
      <c r="B595">
        <v>381</v>
      </c>
      <c r="C595" s="86">
        <f>ROUND(F595,3)</f>
        <v>1.6240000000000001</v>
      </c>
      <c r="F595" s="87">
        <v>1.6235999999999999</v>
      </c>
      <c r="H595" s="90">
        <v>111</v>
      </c>
      <c r="I595" s="90">
        <v>381</v>
      </c>
      <c r="J595" s="86">
        <v>1.6240000000000001</v>
      </c>
    </row>
    <row r="596" spans="1:10">
      <c r="A596" s="89">
        <v>126</v>
      </c>
      <c r="B596">
        <v>377</v>
      </c>
      <c r="C596" s="86">
        <f>ROUND(F596,3)</f>
        <v>25.654</v>
      </c>
      <c r="F596" s="87">
        <v>25.654199999999999</v>
      </c>
      <c r="H596" s="90">
        <v>126</v>
      </c>
      <c r="I596" s="90">
        <v>377</v>
      </c>
      <c r="J596" s="86">
        <v>25.654</v>
      </c>
    </row>
    <row r="597" spans="1:10">
      <c r="A597" s="89">
        <v>126</v>
      </c>
      <c r="B597">
        <v>381</v>
      </c>
      <c r="C597" s="86">
        <f>ROUND(F597,3)</f>
        <v>2.4350000000000001</v>
      </c>
      <c r="F597" s="87">
        <v>2.4354</v>
      </c>
      <c r="H597" s="90">
        <v>126</v>
      </c>
      <c r="I597" s="90">
        <v>381</v>
      </c>
      <c r="J597" s="86">
        <v>2.4350000000000001</v>
      </c>
    </row>
    <row r="598" spans="1:10">
      <c r="A598" s="89">
        <v>119</v>
      </c>
      <c r="B598">
        <v>377</v>
      </c>
      <c r="C598" s="86">
        <f>ROUND(F598,3)</f>
        <v>3.5920000000000001</v>
      </c>
      <c r="F598" s="87">
        <v>3.5915879999999998</v>
      </c>
      <c r="H598" s="90">
        <v>119</v>
      </c>
      <c r="I598" s="90">
        <v>377</v>
      </c>
      <c r="J598" s="86">
        <v>3.5920000000000001</v>
      </c>
    </row>
    <row r="599" spans="1:10">
      <c r="A599" s="89">
        <v>119</v>
      </c>
      <c r="B599">
        <v>381</v>
      </c>
      <c r="C599" s="86">
        <f>ROUND(F599,3)</f>
        <v>0.34100000000000003</v>
      </c>
      <c r="F599" s="87">
        <v>0.34095599999999998</v>
      </c>
      <c r="H599" s="90">
        <v>119</v>
      </c>
      <c r="I599" s="90">
        <v>381</v>
      </c>
      <c r="J599" s="86">
        <v>0.34100000000000003</v>
      </c>
    </row>
    <row r="600" spans="1:10">
      <c r="A600" s="89">
        <v>127</v>
      </c>
      <c r="B600">
        <v>377</v>
      </c>
      <c r="C600" s="86">
        <f>ROUND(F600,3)</f>
        <v>41.046999999999997</v>
      </c>
      <c r="F600" s="87">
        <v>41.046720000000001</v>
      </c>
      <c r="H600" s="90">
        <v>127</v>
      </c>
      <c r="I600" s="90">
        <v>377</v>
      </c>
      <c r="J600" s="86">
        <v>41.046999999999997</v>
      </c>
    </row>
    <row r="601" spans="1:10">
      <c r="A601" s="89">
        <v>127</v>
      </c>
      <c r="B601">
        <v>381</v>
      </c>
      <c r="C601" s="86">
        <f>ROUND(F601,3)</f>
        <v>3.8969999999999998</v>
      </c>
      <c r="F601" s="87">
        <v>3.8966400000000001</v>
      </c>
      <c r="H601" s="90">
        <v>127</v>
      </c>
      <c r="I601" s="90">
        <v>381</v>
      </c>
      <c r="J601" s="86">
        <v>3.8969999999999998</v>
      </c>
    </row>
  </sheetData>
  <sortState ref="A1:H601">
    <sortCondition ref="A1:A601"/>
  </sortState>
  <conditionalFormatting sqref="A1:A1048576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411"/>
  <sheetViews>
    <sheetView topLeftCell="A114" workbookViewId="0">
      <selection activeCell="D102" sqref="D102:D131"/>
    </sheetView>
  </sheetViews>
  <sheetFormatPr baseColWidth="10" defaultRowHeight="15"/>
  <cols>
    <col min="3" max="3" width="37.5703125" customWidth="1"/>
    <col min="4" max="4" width="43.5703125" customWidth="1"/>
  </cols>
  <sheetData>
    <row r="1" spans="1:54">
      <c r="A1" s="88">
        <v>1</v>
      </c>
      <c r="B1" s="88">
        <v>1</v>
      </c>
      <c r="C1" s="88"/>
      <c r="D1" s="88" t="s">
        <v>438</v>
      </c>
      <c r="E1" s="88">
        <v>0</v>
      </c>
      <c r="F1" s="88">
        <v>1153</v>
      </c>
      <c r="G1" s="88">
        <v>1</v>
      </c>
      <c r="H1" s="88">
        <v>2</v>
      </c>
      <c r="I1" s="88">
        <v>2</v>
      </c>
      <c r="J1" s="88">
        <v>0</v>
      </c>
      <c r="K1" s="88">
        <v>0</v>
      </c>
      <c r="L1" s="88">
        <v>1</v>
      </c>
      <c r="M1" s="88">
        <v>2</v>
      </c>
      <c r="N1" s="88">
        <v>34</v>
      </c>
      <c r="O1" s="88">
        <v>1</v>
      </c>
      <c r="P1" s="88">
        <v>1</v>
      </c>
      <c r="Q1" s="88">
        <v>1</v>
      </c>
      <c r="R1" s="88">
        <v>20</v>
      </c>
      <c r="S1" s="88">
        <v>10</v>
      </c>
      <c r="T1" s="88">
        <v>0</v>
      </c>
      <c r="U1" s="88">
        <v>0</v>
      </c>
      <c r="V1" s="88">
        <v>0</v>
      </c>
      <c r="W1" s="88">
        <v>0</v>
      </c>
      <c r="X1" s="88">
        <v>20</v>
      </c>
      <c r="Y1" s="88">
        <v>0</v>
      </c>
      <c r="Z1" s="88">
        <v>10</v>
      </c>
      <c r="AA1" s="88">
        <v>0</v>
      </c>
      <c r="AB1" s="88">
        <v>1</v>
      </c>
      <c r="AC1" s="88">
        <v>0</v>
      </c>
      <c r="AD1" s="88">
        <v>0</v>
      </c>
      <c r="AE1" s="88" t="s">
        <v>1133</v>
      </c>
      <c r="AF1" s="88">
        <v>0</v>
      </c>
      <c r="AG1" s="88">
        <v>0</v>
      </c>
      <c r="AH1" s="88" t="s">
        <v>1133</v>
      </c>
      <c r="AI1" s="88" t="s">
        <v>1133</v>
      </c>
      <c r="AJ1" s="88" t="s">
        <v>1133</v>
      </c>
      <c r="AK1" s="88">
        <v>2</v>
      </c>
      <c r="AL1" s="88">
        <v>20</v>
      </c>
      <c r="AM1" s="88">
        <v>9</v>
      </c>
      <c r="AN1" s="88">
        <v>0</v>
      </c>
      <c r="AO1" s="88">
        <v>1</v>
      </c>
      <c r="AP1" s="88" t="s">
        <v>1134</v>
      </c>
      <c r="AQ1" s="88" t="s">
        <v>1133</v>
      </c>
      <c r="AR1" s="88">
        <v>0</v>
      </c>
      <c r="AS1" s="88"/>
      <c r="AT1" s="88"/>
      <c r="AU1" s="88">
        <v>0</v>
      </c>
      <c r="AV1" s="88" t="s">
        <v>1133</v>
      </c>
      <c r="AW1" s="88" t="s">
        <v>1133</v>
      </c>
      <c r="AX1" s="88">
        <v>0</v>
      </c>
      <c r="AY1" s="88">
        <v>0</v>
      </c>
      <c r="AZ1" s="88">
        <v>0</v>
      </c>
      <c r="BA1" s="88">
        <v>0</v>
      </c>
      <c r="BB1" s="88" t="s">
        <v>0</v>
      </c>
    </row>
    <row r="2" spans="1:54">
      <c r="A2" s="88">
        <v>2</v>
      </c>
      <c r="B2" s="88">
        <v>2</v>
      </c>
      <c r="C2" s="88"/>
      <c r="D2" s="88" t="s">
        <v>1128</v>
      </c>
      <c r="E2" s="88">
        <v>0</v>
      </c>
      <c r="F2" s="88">
        <v>1153</v>
      </c>
      <c r="G2" s="88">
        <v>1</v>
      </c>
      <c r="H2" s="88">
        <v>2</v>
      </c>
      <c r="I2" s="88">
        <v>2</v>
      </c>
      <c r="J2" s="88">
        <v>0</v>
      </c>
      <c r="K2" s="88">
        <v>0</v>
      </c>
      <c r="L2" s="88">
        <v>1</v>
      </c>
      <c r="M2" s="88">
        <v>5</v>
      </c>
      <c r="N2" s="88">
        <v>34</v>
      </c>
      <c r="O2" s="88">
        <v>1</v>
      </c>
      <c r="P2" s="88">
        <v>1</v>
      </c>
      <c r="Q2" s="88">
        <v>1</v>
      </c>
      <c r="R2" s="88">
        <v>20</v>
      </c>
      <c r="S2" s="88">
        <v>10</v>
      </c>
      <c r="T2" s="88">
        <v>0</v>
      </c>
      <c r="U2" s="88">
        <v>0</v>
      </c>
      <c r="V2" s="88">
        <v>0</v>
      </c>
      <c r="W2" s="88">
        <v>0</v>
      </c>
      <c r="X2" s="88">
        <v>20</v>
      </c>
      <c r="Y2" s="88">
        <v>0</v>
      </c>
      <c r="Z2" s="88">
        <v>10</v>
      </c>
      <c r="AA2" s="88">
        <v>0</v>
      </c>
      <c r="AB2" s="88">
        <v>1</v>
      </c>
      <c r="AC2" s="88">
        <v>0</v>
      </c>
      <c r="AD2" s="88">
        <v>0</v>
      </c>
      <c r="AE2" s="88" t="s">
        <v>1133</v>
      </c>
      <c r="AF2" s="88">
        <v>0</v>
      </c>
      <c r="AG2" s="88">
        <v>0</v>
      </c>
      <c r="AH2" s="88" t="s">
        <v>1133</v>
      </c>
      <c r="AI2" s="88" t="s">
        <v>1133</v>
      </c>
      <c r="AJ2" s="88" t="s">
        <v>1133</v>
      </c>
      <c r="AK2" s="88">
        <v>2</v>
      </c>
      <c r="AL2" s="88">
        <v>20</v>
      </c>
      <c r="AM2" s="88">
        <v>9</v>
      </c>
      <c r="AN2" s="88">
        <v>0</v>
      </c>
      <c r="AO2" s="88">
        <v>1</v>
      </c>
      <c r="AP2" s="88" t="s">
        <v>1134</v>
      </c>
      <c r="AQ2" s="88" t="s">
        <v>1133</v>
      </c>
      <c r="AR2" s="88">
        <v>0</v>
      </c>
      <c r="AS2" s="88"/>
      <c r="AT2" s="88"/>
      <c r="AU2" s="88">
        <v>0</v>
      </c>
      <c r="AV2" s="88" t="s">
        <v>1133</v>
      </c>
      <c r="AW2" s="88" t="s">
        <v>1133</v>
      </c>
      <c r="AX2" s="88">
        <v>0</v>
      </c>
      <c r="AY2" s="88">
        <v>0</v>
      </c>
      <c r="AZ2" s="88">
        <v>0</v>
      </c>
      <c r="BA2" s="88">
        <v>0</v>
      </c>
      <c r="BB2" s="88" t="s">
        <v>0</v>
      </c>
    </row>
    <row r="3" spans="1:54">
      <c r="A3" s="88">
        <v>3</v>
      </c>
      <c r="B3" s="88">
        <v>3</v>
      </c>
      <c r="C3" s="88"/>
      <c r="D3" s="88" t="s">
        <v>439</v>
      </c>
      <c r="E3" s="88">
        <v>0</v>
      </c>
      <c r="F3" s="88">
        <v>1153</v>
      </c>
      <c r="G3" s="88">
        <v>1</v>
      </c>
      <c r="H3" s="88">
        <v>2</v>
      </c>
      <c r="I3" s="88">
        <v>2</v>
      </c>
      <c r="J3" s="88">
        <v>0</v>
      </c>
      <c r="K3" s="88">
        <v>0</v>
      </c>
      <c r="L3" s="88">
        <v>1</v>
      </c>
      <c r="M3" s="88">
        <v>7</v>
      </c>
      <c r="N3" s="88">
        <v>34</v>
      </c>
      <c r="O3" s="88">
        <v>1</v>
      </c>
      <c r="P3" s="88">
        <v>1</v>
      </c>
      <c r="Q3" s="88">
        <v>1</v>
      </c>
      <c r="R3" s="88">
        <v>20</v>
      </c>
      <c r="S3" s="88">
        <v>10</v>
      </c>
      <c r="T3" s="88">
        <v>0</v>
      </c>
      <c r="U3" s="88">
        <v>0</v>
      </c>
      <c r="V3" s="88">
        <v>0</v>
      </c>
      <c r="W3" s="88">
        <v>0</v>
      </c>
      <c r="X3" s="88">
        <v>20</v>
      </c>
      <c r="Y3" s="88">
        <v>0</v>
      </c>
      <c r="Z3" s="88">
        <v>10</v>
      </c>
      <c r="AA3" s="88">
        <v>0</v>
      </c>
      <c r="AB3" s="88">
        <v>1</v>
      </c>
      <c r="AC3" s="88">
        <v>0</v>
      </c>
      <c r="AD3" s="88">
        <v>0</v>
      </c>
      <c r="AE3" s="88" t="s">
        <v>1133</v>
      </c>
      <c r="AF3" s="88">
        <v>0</v>
      </c>
      <c r="AG3" s="88">
        <v>0</v>
      </c>
      <c r="AH3" s="88" t="s">
        <v>1133</v>
      </c>
      <c r="AI3" s="88" t="s">
        <v>1133</v>
      </c>
      <c r="AJ3" s="88" t="s">
        <v>1133</v>
      </c>
      <c r="AK3" s="88">
        <v>2</v>
      </c>
      <c r="AL3" s="88">
        <v>20</v>
      </c>
      <c r="AM3" s="88">
        <v>9</v>
      </c>
      <c r="AN3" s="88">
        <v>0</v>
      </c>
      <c r="AO3" s="88">
        <v>1</v>
      </c>
      <c r="AP3" s="88" t="s">
        <v>1134</v>
      </c>
      <c r="AQ3" s="88" t="s">
        <v>1133</v>
      </c>
      <c r="AR3" s="88">
        <v>0</v>
      </c>
      <c r="AS3" s="88"/>
      <c r="AT3" s="88"/>
      <c r="AU3" s="88">
        <v>0</v>
      </c>
      <c r="AV3" s="88" t="s">
        <v>1133</v>
      </c>
      <c r="AW3" s="88" t="s">
        <v>1133</v>
      </c>
      <c r="AX3" s="88">
        <v>0</v>
      </c>
      <c r="AY3" s="88">
        <v>0</v>
      </c>
      <c r="AZ3" s="88">
        <v>0</v>
      </c>
      <c r="BA3" s="88">
        <v>0</v>
      </c>
      <c r="BB3" s="88" t="s">
        <v>0</v>
      </c>
    </row>
    <row r="4" spans="1:54">
      <c r="A4" s="88">
        <v>4</v>
      </c>
      <c r="B4" s="88">
        <v>4</v>
      </c>
      <c r="C4" s="88"/>
      <c r="D4" s="88" t="s">
        <v>1116</v>
      </c>
      <c r="E4" s="88">
        <v>0</v>
      </c>
      <c r="F4" s="88">
        <v>1153</v>
      </c>
      <c r="G4" s="88">
        <v>1</v>
      </c>
      <c r="H4" s="88">
        <v>2</v>
      </c>
      <c r="I4" s="88">
        <v>2</v>
      </c>
      <c r="J4" s="88">
        <v>0</v>
      </c>
      <c r="K4" s="88">
        <v>0</v>
      </c>
      <c r="L4" s="88">
        <v>1</v>
      </c>
      <c r="M4" s="88">
        <v>10</v>
      </c>
      <c r="N4" s="88">
        <v>34</v>
      </c>
      <c r="O4" s="88">
        <v>1</v>
      </c>
      <c r="P4" s="88">
        <v>1</v>
      </c>
      <c r="Q4" s="88">
        <v>1</v>
      </c>
      <c r="R4" s="88">
        <v>20</v>
      </c>
      <c r="S4" s="88">
        <v>10</v>
      </c>
      <c r="T4" s="88">
        <v>0</v>
      </c>
      <c r="U4" s="88">
        <v>0</v>
      </c>
      <c r="V4" s="88">
        <v>0</v>
      </c>
      <c r="W4" s="88">
        <v>0</v>
      </c>
      <c r="X4" s="88">
        <v>20</v>
      </c>
      <c r="Y4" s="88">
        <v>0</v>
      </c>
      <c r="Z4" s="88">
        <v>10</v>
      </c>
      <c r="AA4" s="88">
        <v>0</v>
      </c>
      <c r="AB4" s="88">
        <v>1</v>
      </c>
      <c r="AC4" s="88">
        <v>0</v>
      </c>
      <c r="AD4" s="88">
        <v>0</v>
      </c>
      <c r="AE4" s="88" t="s">
        <v>1133</v>
      </c>
      <c r="AF4" s="88">
        <v>0</v>
      </c>
      <c r="AG4" s="88">
        <v>0</v>
      </c>
      <c r="AH4" s="88" t="s">
        <v>1133</v>
      </c>
      <c r="AI4" s="88" t="s">
        <v>1133</v>
      </c>
      <c r="AJ4" s="88" t="s">
        <v>1133</v>
      </c>
      <c r="AK4" s="88">
        <v>2</v>
      </c>
      <c r="AL4" s="88">
        <v>20</v>
      </c>
      <c r="AM4" s="88">
        <v>9</v>
      </c>
      <c r="AN4" s="88">
        <v>0</v>
      </c>
      <c r="AO4" s="88">
        <v>1</v>
      </c>
      <c r="AP4" s="88" t="s">
        <v>1134</v>
      </c>
      <c r="AQ4" s="88" t="s">
        <v>1133</v>
      </c>
      <c r="AR4" s="88">
        <v>0</v>
      </c>
      <c r="AS4" s="88"/>
      <c r="AT4" s="88"/>
      <c r="AU4" s="88">
        <v>0</v>
      </c>
      <c r="AV4" s="88" t="s">
        <v>1133</v>
      </c>
      <c r="AW4" s="88" t="s">
        <v>1133</v>
      </c>
      <c r="AX4" s="88">
        <v>0</v>
      </c>
      <c r="AY4" s="88">
        <v>0</v>
      </c>
      <c r="AZ4" s="88">
        <v>0</v>
      </c>
      <c r="BA4" s="88">
        <v>0</v>
      </c>
      <c r="BB4" s="88" t="s">
        <v>0</v>
      </c>
    </row>
    <row r="5" spans="1:54">
      <c r="A5" s="88">
        <v>5</v>
      </c>
      <c r="B5" s="88">
        <v>5</v>
      </c>
      <c r="C5" s="88"/>
      <c r="D5" s="88" t="s">
        <v>440</v>
      </c>
      <c r="E5" s="88">
        <v>0</v>
      </c>
      <c r="F5" s="88">
        <v>1153</v>
      </c>
      <c r="G5" s="88">
        <v>1</v>
      </c>
      <c r="H5" s="88">
        <v>2</v>
      </c>
      <c r="I5" s="88">
        <v>2</v>
      </c>
      <c r="J5" s="88">
        <v>0</v>
      </c>
      <c r="K5" s="88">
        <v>0</v>
      </c>
      <c r="L5" s="88">
        <v>1</v>
      </c>
      <c r="M5" s="88">
        <v>14</v>
      </c>
      <c r="N5" s="88">
        <v>34</v>
      </c>
      <c r="O5" s="88">
        <v>1</v>
      </c>
      <c r="P5" s="88">
        <v>1</v>
      </c>
      <c r="Q5" s="88">
        <v>1</v>
      </c>
      <c r="R5" s="88">
        <v>20</v>
      </c>
      <c r="S5" s="88">
        <v>10</v>
      </c>
      <c r="T5" s="88">
        <v>0</v>
      </c>
      <c r="U5" s="88">
        <v>0</v>
      </c>
      <c r="V5" s="88">
        <v>0</v>
      </c>
      <c r="W5" s="88">
        <v>0</v>
      </c>
      <c r="X5" s="88">
        <v>20</v>
      </c>
      <c r="Y5" s="88">
        <v>0</v>
      </c>
      <c r="Z5" s="88">
        <v>10</v>
      </c>
      <c r="AA5" s="88">
        <v>0</v>
      </c>
      <c r="AB5" s="88">
        <v>1</v>
      </c>
      <c r="AC5" s="88">
        <v>0</v>
      </c>
      <c r="AD5" s="88">
        <v>0</v>
      </c>
      <c r="AE5" s="88" t="s">
        <v>1133</v>
      </c>
      <c r="AF5" s="88">
        <v>0</v>
      </c>
      <c r="AG5" s="88">
        <v>0</v>
      </c>
      <c r="AH5" s="88" t="s">
        <v>1133</v>
      </c>
      <c r="AI5" s="88" t="s">
        <v>1133</v>
      </c>
      <c r="AJ5" s="88" t="s">
        <v>1133</v>
      </c>
      <c r="AK5" s="88">
        <v>2</v>
      </c>
      <c r="AL5" s="88">
        <v>20</v>
      </c>
      <c r="AM5" s="88">
        <v>9</v>
      </c>
      <c r="AN5" s="88">
        <v>0</v>
      </c>
      <c r="AO5" s="88">
        <v>1</v>
      </c>
      <c r="AP5" s="88" t="s">
        <v>1134</v>
      </c>
      <c r="AQ5" s="88" t="s">
        <v>1133</v>
      </c>
      <c r="AR5" s="88">
        <v>0</v>
      </c>
      <c r="AS5" s="88"/>
      <c r="AT5" s="88"/>
      <c r="AU5" s="88">
        <v>0</v>
      </c>
      <c r="AV5" s="88" t="s">
        <v>1133</v>
      </c>
      <c r="AW5" s="88" t="s">
        <v>1133</v>
      </c>
      <c r="AX5" s="88">
        <v>0</v>
      </c>
      <c r="AY5" s="88">
        <v>0</v>
      </c>
      <c r="AZ5" s="88">
        <v>0</v>
      </c>
      <c r="BA5" s="88">
        <v>0</v>
      </c>
      <c r="BB5" s="88" t="s">
        <v>0</v>
      </c>
    </row>
    <row r="6" spans="1:54">
      <c r="A6" s="88">
        <v>6</v>
      </c>
      <c r="B6" s="88">
        <v>6</v>
      </c>
      <c r="C6" s="88"/>
      <c r="D6" s="88" t="s">
        <v>1119</v>
      </c>
      <c r="E6" s="88">
        <v>0</v>
      </c>
      <c r="F6" s="88">
        <v>1153</v>
      </c>
      <c r="G6" s="88">
        <v>1</v>
      </c>
      <c r="H6" s="88">
        <v>2</v>
      </c>
      <c r="I6" s="88">
        <v>2</v>
      </c>
      <c r="J6" s="88">
        <v>0</v>
      </c>
      <c r="K6" s="88">
        <v>0</v>
      </c>
      <c r="L6" s="88">
        <v>1</v>
      </c>
      <c r="M6" s="88">
        <v>16</v>
      </c>
      <c r="N6" s="88">
        <v>34</v>
      </c>
      <c r="O6" s="88">
        <v>1</v>
      </c>
      <c r="P6" s="88">
        <v>1</v>
      </c>
      <c r="Q6" s="88">
        <v>1</v>
      </c>
      <c r="R6" s="88">
        <v>20</v>
      </c>
      <c r="S6" s="88">
        <v>10</v>
      </c>
      <c r="T6" s="88">
        <v>0</v>
      </c>
      <c r="U6" s="88">
        <v>0</v>
      </c>
      <c r="V6" s="88">
        <v>0</v>
      </c>
      <c r="W6" s="88">
        <v>0</v>
      </c>
      <c r="X6" s="88">
        <v>20</v>
      </c>
      <c r="Y6" s="88">
        <v>0</v>
      </c>
      <c r="Z6" s="88">
        <v>10</v>
      </c>
      <c r="AA6" s="88">
        <v>0</v>
      </c>
      <c r="AB6" s="88">
        <v>1</v>
      </c>
      <c r="AC6" s="88">
        <v>0</v>
      </c>
      <c r="AD6" s="88">
        <v>0</v>
      </c>
      <c r="AE6" s="88" t="s">
        <v>1133</v>
      </c>
      <c r="AF6" s="88">
        <v>0</v>
      </c>
      <c r="AG6" s="88">
        <v>0</v>
      </c>
      <c r="AH6" s="88" t="s">
        <v>1133</v>
      </c>
      <c r="AI6" s="88" t="s">
        <v>1133</v>
      </c>
      <c r="AJ6" s="88" t="s">
        <v>1133</v>
      </c>
      <c r="AK6" s="88">
        <v>2</v>
      </c>
      <c r="AL6" s="88">
        <v>20</v>
      </c>
      <c r="AM6" s="88">
        <v>9</v>
      </c>
      <c r="AN6" s="88">
        <v>0</v>
      </c>
      <c r="AO6" s="88">
        <v>1</v>
      </c>
      <c r="AP6" s="88" t="s">
        <v>1134</v>
      </c>
      <c r="AQ6" s="88" t="s">
        <v>1133</v>
      </c>
      <c r="AR6" s="88">
        <v>0</v>
      </c>
      <c r="AS6" s="88"/>
      <c r="AT6" s="88"/>
      <c r="AU6" s="88">
        <v>0</v>
      </c>
      <c r="AV6" s="88" t="s">
        <v>1133</v>
      </c>
      <c r="AW6" s="88" t="s">
        <v>1133</v>
      </c>
      <c r="AX6" s="88">
        <v>0</v>
      </c>
      <c r="AY6" s="88">
        <v>0</v>
      </c>
      <c r="AZ6" s="88">
        <v>0</v>
      </c>
      <c r="BA6" s="88">
        <v>0</v>
      </c>
      <c r="BB6" s="88" t="s">
        <v>0</v>
      </c>
    </row>
    <row r="7" spans="1:54">
      <c r="A7" s="88">
        <v>7</v>
      </c>
      <c r="B7" s="88">
        <v>7</v>
      </c>
      <c r="C7" s="88"/>
      <c r="D7" s="88" t="s">
        <v>1122</v>
      </c>
      <c r="E7" s="88">
        <v>0</v>
      </c>
      <c r="F7" s="88">
        <v>1153</v>
      </c>
      <c r="G7" s="88">
        <v>1</v>
      </c>
      <c r="H7" s="88">
        <v>2</v>
      </c>
      <c r="I7" s="88">
        <v>2</v>
      </c>
      <c r="J7" s="88">
        <v>0</v>
      </c>
      <c r="K7" s="88">
        <v>0</v>
      </c>
      <c r="L7" s="88">
        <v>1</v>
      </c>
      <c r="M7" s="88">
        <v>20</v>
      </c>
      <c r="N7" s="88">
        <v>34</v>
      </c>
      <c r="O7" s="88">
        <v>1</v>
      </c>
      <c r="P7" s="88">
        <v>1</v>
      </c>
      <c r="Q7" s="88">
        <v>1</v>
      </c>
      <c r="R7" s="88">
        <v>20</v>
      </c>
      <c r="S7" s="88">
        <v>10</v>
      </c>
      <c r="T7" s="88">
        <v>0</v>
      </c>
      <c r="U7" s="88">
        <v>0</v>
      </c>
      <c r="V7" s="88">
        <v>0</v>
      </c>
      <c r="W7" s="88">
        <v>0</v>
      </c>
      <c r="X7" s="88">
        <v>20</v>
      </c>
      <c r="Y7" s="88">
        <v>0</v>
      </c>
      <c r="Z7" s="88">
        <v>10</v>
      </c>
      <c r="AA7" s="88">
        <v>0</v>
      </c>
      <c r="AB7" s="88">
        <v>1</v>
      </c>
      <c r="AC7" s="88">
        <v>0</v>
      </c>
      <c r="AD7" s="88">
        <v>0</v>
      </c>
      <c r="AE7" s="88" t="s">
        <v>1133</v>
      </c>
      <c r="AF7" s="88">
        <v>0</v>
      </c>
      <c r="AG7" s="88">
        <v>0</v>
      </c>
      <c r="AH7" s="88" t="s">
        <v>1133</v>
      </c>
      <c r="AI7" s="88" t="s">
        <v>1133</v>
      </c>
      <c r="AJ7" s="88" t="s">
        <v>1133</v>
      </c>
      <c r="AK7" s="88">
        <v>2</v>
      </c>
      <c r="AL7" s="88">
        <v>20</v>
      </c>
      <c r="AM7" s="88">
        <v>9</v>
      </c>
      <c r="AN7" s="88">
        <v>0</v>
      </c>
      <c r="AO7" s="88">
        <v>1</v>
      </c>
      <c r="AP7" s="88" t="s">
        <v>1134</v>
      </c>
      <c r="AQ7" s="88" t="s">
        <v>1133</v>
      </c>
      <c r="AR7" s="88">
        <v>0</v>
      </c>
      <c r="AS7" s="88"/>
      <c r="AT7" s="88"/>
      <c r="AU7" s="88">
        <v>0</v>
      </c>
      <c r="AV7" s="88" t="s">
        <v>1133</v>
      </c>
      <c r="AW7" s="88" t="s">
        <v>1133</v>
      </c>
      <c r="AX7" s="88">
        <v>0</v>
      </c>
      <c r="AY7" s="88">
        <v>0</v>
      </c>
      <c r="AZ7" s="88">
        <v>0</v>
      </c>
      <c r="BA7" s="88">
        <v>0</v>
      </c>
      <c r="BB7" s="88" t="s">
        <v>0</v>
      </c>
    </row>
    <row r="8" spans="1:54">
      <c r="A8" s="88">
        <v>8</v>
      </c>
      <c r="B8" s="88">
        <v>8</v>
      </c>
      <c r="C8" s="88"/>
      <c r="D8" s="88" t="s">
        <v>1125</v>
      </c>
      <c r="E8" s="88">
        <v>0</v>
      </c>
      <c r="F8" s="88">
        <v>1153</v>
      </c>
      <c r="G8" s="88">
        <v>1</v>
      </c>
      <c r="H8" s="88">
        <v>2</v>
      </c>
      <c r="I8" s="88">
        <v>2</v>
      </c>
      <c r="J8" s="88">
        <v>0</v>
      </c>
      <c r="K8" s="88">
        <v>0</v>
      </c>
      <c r="L8" s="88">
        <v>1</v>
      </c>
      <c r="M8" s="88">
        <v>30</v>
      </c>
      <c r="N8" s="88">
        <v>34</v>
      </c>
      <c r="O8" s="88">
        <v>1</v>
      </c>
      <c r="P8" s="88">
        <v>1</v>
      </c>
      <c r="Q8" s="88">
        <v>1</v>
      </c>
      <c r="R8" s="88">
        <v>20</v>
      </c>
      <c r="S8" s="88">
        <v>10</v>
      </c>
      <c r="T8" s="88">
        <v>0</v>
      </c>
      <c r="U8" s="88">
        <v>0</v>
      </c>
      <c r="V8" s="88">
        <v>0</v>
      </c>
      <c r="W8" s="88">
        <v>0</v>
      </c>
      <c r="X8" s="88">
        <v>20</v>
      </c>
      <c r="Y8" s="88">
        <v>0</v>
      </c>
      <c r="Z8" s="88">
        <v>10</v>
      </c>
      <c r="AA8" s="88">
        <v>0</v>
      </c>
      <c r="AB8" s="88">
        <v>1</v>
      </c>
      <c r="AC8" s="88">
        <v>0</v>
      </c>
      <c r="AD8" s="88">
        <v>0</v>
      </c>
      <c r="AE8" s="88" t="s">
        <v>1133</v>
      </c>
      <c r="AF8" s="88">
        <v>0</v>
      </c>
      <c r="AG8" s="88">
        <v>0</v>
      </c>
      <c r="AH8" s="88" t="s">
        <v>1133</v>
      </c>
      <c r="AI8" s="88" t="s">
        <v>1133</v>
      </c>
      <c r="AJ8" s="88" t="s">
        <v>1133</v>
      </c>
      <c r="AK8" s="88">
        <v>2</v>
      </c>
      <c r="AL8" s="88">
        <v>20</v>
      </c>
      <c r="AM8" s="88">
        <v>9</v>
      </c>
      <c r="AN8" s="88">
        <v>0</v>
      </c>
      <c r="AO8" s="88">
        <v>1</v>
      </c>
      <c r="AP8" s="88" t="s">
        <v>1134</v>
      </c>
      <c r="AQ8" s="88" t="s">
        <v>1133</v>
      </c>
      <c r="AR8" s="88">
        <v>0</v>
      </c>
      <c r="AS8" s="88"/>
      <c r="AT8" s="88"/>
      <c r="AU8" s="88">
        <v>0</v>
      </c>
      <c r="AV8" s="88" t="s">
        <v>1133</v>
      </c>
      <c r="AW8" s="88" t="s">
        <v>1133</v>
      </c>
      <c r="AX8" s="88">
        <v>0</v>
      </c>
      <c r="AY8" s="88">
        <v>0</v>
      </c>
      <c r="AZ8" s="88">
        <v>0</v>
      </c>
      <c r="BA8" s="88">
        <v>0</v>
      </c>
      <c r="BB8" s="88" t="s">
        <v>0</v>
      </c>
    </row>
    <row r="9" spans="1:54">
      <c r="A9" s="88">
        <v>9</v>
      </c>
      <c r="B9" s="88">
        <v>9</v>
      </c>
      <c r="C9" s="88"/>
      <c r="D9" s="88" t="s">
        <v>441</v>
      </c>
      <c r="E9" s="88">
        <v>0</v>
      </c>
      <c r="F9" s="88">
        <v>1153</v>
      </c>
      <c r="G9" s="88">
        <v>1</v>
      </c>
      <c r="H9" s="88">
        <v>2</v>
      </c>
      <c r="I9" s="88">
        <v>2</v>
      </c>
      <c r="J9" s="88">
        <v>0</v>
      </c>
      <c r="K9" s="88">
        <v>0</v>
      </c>
      <c r="L9" s="88">
        <v>1</v>
      </c>
      <c r="M9" s="88">
        <v>40</v>
      </c>
      <c r="N9" s="88">
        <v>34</v>
      </c>
      <c r="O9" s="88">
        <v>1</v>
      </c>
      <c r="P9" s="88">
        <v>1</v>
      </c>
      <c r="Q9" s="88">
        <v>1</v>
      </c>
      <c r="R9" s="88">
        <v>20</v>
      </c>
      <c r="S9" s="88">
        <v>10</v>
      </c>
      <c r="T9" s="88">
        <v>0</v>
      </c>
      <c r="U9" s="88">
        <v>0</v>
      </c>
      <c r="V9" s="88">
        <v>0</v>
      </c>
      <c r="W9" s="88">
        <v>0</v>
      </c>
      <c r="X9" s="88">
        <v>20</v>
      </c>
      <c r="Y9" s="88">
        <v>0</v>
      </c>
      <c r="Z9" s="88">
        <v>10</v>
      </c>
      <c r="AA9" s="88">
        <v>0</v>
      </c>
      <c r="AB9" s="88">
        <v>1</v>
      </c>
      <c r="AC9" s="88">
        <v>0</v>
      </c>
      <c r="AD9" s="88">
        <v>0</v>
      </c>
      <c r="AE9" s="88" t="s">
        <v>1133</v>
      </c>
      <c r="AF9" s="88">
        <v>0</v>
      </c>
      <c r="AG9" s="88">
        <v>0</v>
      </c>
      <c r="AH9" s="88" t="s">
        <v>1133</v>
      </c>
      <c r="AI9" s="88" t="s">
        <v>1133</v>
      </c>
      <c r="AJ9" s="88" t="s">
        <v>1133</v>
      </c>
      <c r="AK9" s="88">
        <v>2</v>
      </c>
      <c r="AL9" s="88">
        <v>20</v>
      </c>
      <c r="AM9" s="88">
        <v>9</v>
      </c>
      <c r="AN9" s="88">
        <v>0</v>
      </c>
      <c r="AO9" s="88">
        <v>1</v>
      </c>
      <c r="AP9" s="88" t="s">
        <v>1134</v>
      </c>
      <c r="AQ9" s="88" t="s">
        <v>1133</v>
      </c>
      <c r="AR9" s="88">
        <v>0</v>
      </c>
      <c r="AS9" s="88"/>
      <c r="AT9" s="88"/>
      <c r="AU9" s="88">
        <v>0</v>
      </c>
      <c r="AV9" s="88" t="s">
        <v>1133</v>
      </c>
      <c r="AW9" s="88" t="s">
        <v>1133</v>
      </c>
      <c r="AX9" s="88">
        <v>0</v>
      </c>
      <c r="AY9" s="88">
        <v>0</v>
      </c>
      <c r="AZ9" s="88">
        <v>0</v>
      </c>
      <c r="BA9" s="88">
        <v>0</v>
      </c>
      <c r="BB9" s="88" t="s">
        <v>0</v>
      </c>
    </row>
    <row r="10" spans="1:54">
      <c r="A10" s="88">
        <v>10</v>
      </c>
      <c r="B10" s="88">
        <v>10</v>
      </c>
      <c r="C10" s="88"/>
      <c r="D10" s="88" t="s">
        <v>442</v>
      </c>
      <c r="E10" s="88">
        <v>0</v>
      </c>
      <c r="F10" s="88">
        <v>1153</v>
      </c>
      <c r="G10" s="88">
        <v>1</v>
      </c>
      <c r="H10" s="88">
        <v>2</v>
      </c>
      <c r="I10" s="88">
        <v>2</v>
      </c>
      <c r="J10" s="88">
        <v>0</v>
      </c>
      <c r="K10" s="88">
        <v>0</v>
      </c>
      <c r="L10" s="88">
        <v>1</v>
      </c>
      <c r="M10" s="88">
        <v>50</v>
      </c>
      <c r="N10" s="88">
        <v>34</v>
      </c>
      <c r="O10" s="88">
        <v>1</v>
      </c>
      <c r="P10" s="88">
        <v>1</v>
      </c>
      <c r="Q10" s="88">
        <v>1</v>
      </c>
      <c r="R10" s="88">
        <v>20</v>
      </c>
      <c r="S10" s="88">
        <v>10</v>
      </c>
      <c r="T10" s="88">
        <v>0</v>
      </c>
      <c r="U10" s="88">
        <v>0</v>
      </c>
      <c r="V10" s="88">
        <v>0</v>
      </c>
      <c r="W10" s="88">
        <v>0</v>
      </c>
      <c r="X10" s="88">
        <v>20</v>
      </c>
      <c r="Y10" s="88">
        <v>0</v>
      </c>
      <c r="Z10" s="88">
        <v>10</v>
      </c>
      <c r="AA10" s="88">
        <v>0</v>
      </c>
      <c r="AB10" s="88">
        <v>1</v>
      </c>
      <c r="AC10" s="88">
        <v>0</v>
      </c>
      <c r="AD10" s="88">
        <v>0</v>
      </c>
      <c r="AE10" s="88" t="s">
        <v>1133</v>
      </c>
      <c r="AF10" s="88">
        <v>0</v>
      </c>
      <c r="AG10" s="88">
        <v>0</v>
      </c>
      <c r="AH10" s="88" t="s">
        <v>1133</v>
      </c>
      <c r="AI10" s="88" t="s">
        <v>1133</v>
      </c>
      <c r="AJ10" s="88" t="s">
        <v>1133</v>
      </c>
      <c r="AK10" s="88">
        <v>2</v>
      </c>
      <c r="AL10" s="88">
        <v>20</v>
      </c>
      <c r="AM10" s="88">
        <v>9</v>
      </c>
      <c r="AN10" s="88">
        <v>0</v>
      </c>
      <c r="AO10" s="88">
        <v>1</v>
      </c>
      <c r="AP10" s="88" t="s">
        <v>1134</v>
      </c>
      <c r="AQ10" s="88" t="s">
        <v>1133</v>
      </c>
      <c r="AR10" s="88">
        <v>0</v>
      </c>
      <c r="AS10" s="88"/>
      <c r="AT10" s="88"/>
      <c r="AU10" s="88">
        <v>0</v>
      </c>
      <c r="AV10" s="88" t="s">
        <v>1133</v>
      </c>
      <c r="AW10" s="88" t="s">
        <v>1133</v>
      </c>
      <c r="AX10" s="88">
        <v>0</v>
      </c>
      <c r="AY10" s="88">
        <v>0</v>
      </c>
      <c r="AZ10" s="88">
        <v>0</v>
      </c>
      <c r="BA10" s="88">
        <v>0</v>
      </c>
      <c r="BB10" s="88" t="s">
        <v>0</v>
      </c>
    </row>
    <row r="11" spans="1:54">
      <c r="A11" s="88">
        <v>11</v>
      </c>
      <c r="B11" s="88">
        <v>11</v>
      </c>
      <c r="C11" s="88"/>
      <c r="D11" s="88" t="s">
        <v>443</v>
      </c>
      <c r="E11" s="88">
        <v>0</v>
      </c>
      <c r="F11" s="88">
        <v>1153</v>
      </c>
      <c r="G11" s="88">
        <v>1</v>
      </c>
      <c r="H11" s="88">
        <v>2</v>
      </c>
      <c r="I11" s="88">
        <v>2</v>
      </c>
      <c r="J11" s="88">
        <v>0</v>
      </c>
      <c r="K11" s="88">
        <v>0</v>
      </c>
      <c r="L11" s="88">
        <v>1</v>
      </c>
      <c r="M11" s="88">
        <v>2</v>
      </c>
      <c r="N11" s="88">
        <v>34</v>
      </c>
      <c r="O11" s="88">
        <v>1</v>
      </c>
      <c r="P11" s="88">
        <v>1</v>
      </c>
      <c r="Q11" s="88">
        <v>1</v>
      </c>
      <c r="R11" s="88">
        <v>20</v>
      </c>
      <c r="S11" s="88">
        <v>10</v>
      </c>
      <c r="T11" s="88">
        <v>0</v>
      </c>
      <c r="U11" s="88">
        <v>0</v>
      </c>
      <c r="V11" s="88">
        <v>0</v>
      </c>
      <c r="W11" s="88">
        <v>0</v>
      </c>
      <c r="X11" s="88">
        <v>20</v>
      </c>
      <c r="Y11" s="88">
        <v>0</v>
      </c>
      <c r="Z11" s="88">
        <v>10</v>
      </c>
      <c r="AA11" s="88">
        <v>0</v>
      </c>
      <c r="AB11" s="88">
        <v>1</v>
      </c>
      <c r="AC11" s="88">
        <v>0</v>
      </c>
      <c r="AD11" s="88">
        <v>0</v>
      </c>
      <c r="AE11" s="88" t="s">
        <v>1133</v>
      </c>
      <c r="AF11" s="88">
        <v>0</v>
      </c>
      <c r="AG11" s="88">
        <v>0</v>
      </c>
      <c r="AH11" s="88" t="s">
        <v>1133</v>
      </c>
      <c r="AI11" s="88" t="s">
        <v>1133</v>
      </c>
      <c r="AJ11" s="88" t="s">
        <v>1133</v>
      </c>
      <c r="AK11" s="88">
        <v>2</v>
      </c>
      <c r="AL11" s="88">
        <v>20</v>
      </c>
      <c r="AM11" s="88">
        <v>9</v>
      </c>
      <c r="AN11" s="88">
        <v>0</v>
      </c>
      <c r="AO11" s="88">
        <v>1</v>
      </c>
      <c r="AP11" s="88" t="s">
        <v>1134</v>
      </c>
      <c r="AQ11" s="88" t="s">
        <v>1133</v>
      </c>
      <c r="AR11" s="88">
        <v>0</v>
      </c>
      <c r="AS11" s="88"/>
      <c r="AT11" s="88"/>
      <c r="AU11" s="88">
        <v>0</v>
      </c>
      <c r="AV11" s="88" t="s">
        <v>1133</v>
      </c>
      <c r="AW11" s="88" t="s">
        <v>1133</v>
      </c>
      <c r="AX11" s="88">
        <v>0</v>
      </c>
      <c r="AY11" s="88">
        <v>0</v>
      </c>
      <c r="AZ11" s="88">
        <v>0</v>
      </c>
      <c r="BA11" s="88">
        <v>0</v>
      </c>
      <c r="BB11" s="88" t="s">
        <v>0</v>
      </c>
    </row>
    <row r="12" spans="1:54">
      <c r="A12" s="88">
        <v>12</v>
      </c>
      <c r="B12" s="88">
        <v>12</v>
      </c>
      <c r="C12" s="88"/>
      <c r="D12" s="88" t="s">
        <v>1129</v>
      </c>
      <c r="E12" s="88">
        <v>0</v>
      </c>
      <c r="F12" s="88">
        <v>1153</v>
      </c>
      <c r="G12" s="88">
        <v>1</v>
      </c>
      <c r="H12" s="88">
        <v>2</v>
      </c>
      <c r="I12" s="88">
        <v>2</v>
      </c>
      <c r="J12" s="88">
        <v>0</v>
      </c>
      <c r="K12" s="88">
        <v>0</v>
      </c>
      <c r="L12" s="88">
        <v>1</v>
      </c>
      <c r="M12" s="88">
        <v>5</v>
      </c>
      <c r="N12" s="88">
        <v>34</v>
      </c>
      <c r="O12" s="88">
        <v>1</v>
      </c>
      <c r="P12" s="88">
        <v>1</v>
      </c>
      <c r="Q12" s="88">
        <v>1</v>
      </c>
      <c r="R12" s="88">
        <v>20</v>
      </c>
      <c r="S12" s="88">
        <v>10</v>
      </c>
      <c r="T12" s="88">
        <v>0</v>
      </c>
      <c r="U12" s="88">
        <v>0</v>
      </c>
      <c r="V12" s="88">
        <v>0</v>
      </c>
      <c r="W12" s="88">
        <v>0</v>
      </c>
      <c r="X12" s="88">
        <v>20</v>
      </c>
      <c r="Y12" s="88">
        <v>0</v>
      </c>
      <c r="Z12" s="88">
        <v>10</v>
      </c>
      <c r="AA12" s="88">
        <v>0</v>
      </c>
      <c r="AB12" s="88">
        <v>1</v>
      </c>
      <c r="AC12" s="88">
        <v>0</v>
      </c>
      <c r="AD12" s="88">
        <v>0</v>
      </c>
      <c r="AE12" s="88" t="s">
        <v>1133</v>
      </c>
      <c r="AF12" s="88">
        <v>0</v>
      </c>
      <c r="AG12" s="88">
        <v>0</v>
      </c>
      <c r="AH12" s="88" t="s">
        <v>1133</v>
      </c>
      <c r="AI12" s="88" t="s">
        <v>1133</v>
      </c>
      <c r="AJ12" s="88" t="s">
        <v>1133</v>
      </c>
      <c r="AK12" s="88">
        <v>2</v>
      </c>
      <c r="AL12" s="88">
        <v>20</v>
      </c>
      <c r="AM12" s="88">
        <v>9</v>
      </c>
      <c r="AN12" s="88">
        <v>0</v>
      </c>
      <c r="AO12" s="88">
        <v>1</v>
      </c>
      <c r="AP12" s="88" t="s">
        <v>1134</v>
      </c>
      <c r="AQ12" s="88" t="s">
        <v>1133</v>
      </c>
      <c r="AR12" s="88">
        <v>0</v>
      </c>
      <c r="AS12" s="88"/>
      <c r="AT12" s="88"/>
      <c r="AU12" s="88">
        <v>0</v>
      </c>
      <c r="AV12" s="88" t="s">
        <v>1133</v>
      </c>
      <c r="AW12" s="88" t="s">
        <v>1133</v>
      </c>
      <c r="AX12" s="88">
        <v>0</v>
      </c>
      <c r="AY12" s="88">
        <v>0</v>
      </c>
      <c r="AZ12" s="88">
        <v>0</v>
      </c>
      <c r="BA12" s="88">
        <v>0</v>
      </c>
      <c r="BB12" s="88" t="s">
        <v>0</v>
      </c>
    </row>
    <row r="13" spans="1:54">
      <c r="A13" s="88">
        <v>13</v>
      </c>
      <c r="B13" s="88">
        <v>13</v>
      </c>
      <c r="C13" s="88"/>
      <c r="D13" s="88" t="s">
        <v>444</v>
      </c>
      <c r="E13" s="88">
        <v>0</v>
      </c>
      <c r="F13" s="88">
        <v>1153</v>
      </c>
      <c r="G13" s="88">
        <v>1</v>
      </c>
      <c r="H13" s="88">
        <v>2</v>
      </c>
      <c r="I13" s="88">
        <v>2</v>
      </c>
      <c r="J13" s="88">
        <v>0</v>
      </c>
      <c r="K13" s="88">
        <v>0</v>
      </c>
      <c r="L13" s="88">
        <v>1</v>
      </c>
      <c r="M13" s="88">
        <v>7</v>
      </c>
      <c r="N13" s="88">
        <v>34</v>
      </c>
      <c r="O13" s="88">
        <v>1</v>
      </c>
      <c r="P13" s="88">
        <v>1</v>
      </c>
      <c r="Q13" s="88">
        <v>1</v>
      </c>
      <c r="R13" s="88">
        <v>20</v>
      </c>
      <c r="S13" s="88">
        <v>10</v>
      </c>
      <c r="T13" s="88">
        <v>0</v>
      </c>
      <c r="U13" s="88">
        <v>0</v>
      </c>
      <c r="V13" s="88">
        <v>0</v>
      </c>
      <c r="W13" s="88">
        <v>0</v>
      </c>
      <c r="X13" s="88">
        <v>20</v>
      </c>
      <c r="Y13" s="88">
        <v>0</v>
      </c>
      <c r="Z13" s="88">
        <v>10</v>
      </c>
      <c r="AA13" s="88">
        <v>0</v>
      </c>
      <c r="AB13" s="88">
        <v>1</v>
      </c>
      <c r="AC13" s="88">
        <v>0</v>
      </c>
      <c r="AD13" s="88">
        <v>0</v>
      </c>
      <c r="AE13" s="88" t="s">
        <v>1133</v>
      </c>
      <c r="AF13" s="88">
        <v>0</v>
      </c>
      <c r="AG13" s="88">
        <v>0</v>
      </c>
      <c r="AH13" s="88" t="s">
        <v>1133</v>
      </c>
      <c r="AI13" s="88" t="s">
        <v>1133</v>
      </c>
      <c r="AJ13" s="88" t="s">
        <v>1133</v>
      </c>
      <c r="AK13" s="88">
        <v>2</v>
      </c>
      <c r="AL13" s="88">
        <v>20</v>
      </c>
      <c r="AM13" s="88">
        <v>9</v>
      </c>
      <c r="AN13" s="88">
        <v>0</v>
      </c>
      <c r="AO13" s="88">
        <v>1</v>
      </c>
      <c r="AP13" s="88" t="s">
        <v>1134</v>
      </c>
      <c r="AQ13" s="88" t="s">
        <v>1133</v>
      </c>
      <c r="AR13" s="88">
        <v>0</v>
      </c>
      <c r="AS13" s="88"/>
      <c r="AT13" s="88"/>
      <c r="AU13" s="88">
        <v>0</v>
      </c>
      <c r="AV13" s="88" t="s">
        <v>1133</v>
      </c>
      <c r="AW13" s="88" t="s">
        <v>1133</v>
      </c>
      <c r="AX13" s="88">
        <v>0</v>
      </c>
      <c r="AY13" s="88">
        <v>0</v>
      </c>
      <c r="AZ13" s="88">
        <v>0</v>
      </c>
      <c r="BA13" s="88">
        <v>0</v>
      </c>
      <c r="BB13" s="88" t="s">
        <v>0</v>
      </c>
    </row>
    <row r="14" spans="1:54">
      <c r="A14" s="88">
        <v>14</v>
      </c>
      <c r="B14" s="88">
        <v>14</v>
      </c>
      <c r="C14" s="88"/>
      <c r="D14" s="88" t="s">
        <v>1117</v>
      </c>
      <c r="E14" s="88">
        <v>0</v>
      </c>
      <c r="F14" s="88">
        <v>1153</v>
      </c>
      <c r="G14" s="88">
        <v>1</v>
      </c>
      <c r="H14" s="88">
        <v>2</v>
      </c>
      <c r="I14" s="88">
        <v>2</v>
      </c>
      <c r="J14" s="88">
        <v>0</v>
      </c>
      <c r="K14" s="88">
        <v>0</v>
      </c>
      <c r="L14" s="88">
        <v>1</v>
      </c>
      <c r="M14" s="88">
        <v>10</v>
      </c>
      <c r="N14" s="88">
        <v>34</v>
      </c>
      <c r="O14" s="88">
        <v>1</v>
      </c>
      <c r="P14" s="88">
        <v>1</v>
      </c>
      <c r="Q14" s="88">
        <v>1</v>
      </c>
      <c r="R14" s="88">
        <v>20</v>
      </c>
      <c r="S14" s="88">
        <v>10</v>
      </c>
      <c r="T14" s="88">
        <v>0</v>
      </c>
      <c r="U14" s="88">
        <v>0</v>
      </c>
      <c r="V14" s="88">
        <v>0</v>
      </c>
      <c r="W14" s="88">
        <v>0</v>
      </c>
      <c r="X14" s="88">
        <v>20</v>
      </c>
      <c r="Y14" s="88">
        <v>0</v>
      </c>
      <c r="Z14" s="88">
        <v>10</v>
      </c>
      <c r="AA14" s="88">
        <v>0</v>
      </c>
      <c r="AB14" s="88">
        <v>1</v>
      </c>
      <c r="AC14" s="88">
        <v>0</v>
      </c>
      <c r="AD14" s="88">
        <v>0</v>
      </c>
      <c r="AE14" s="88" t="s">
        <v>1133</v>
      </c>
      <c r="AF14" s="88">
        <v>0</v>
      </c>
      <c r="AG14" s="88">
        <v>0</v>
      </c>
      <c r="AH14" s="88" t="s">
        <v>1133</v>
      </c>
      <c r="AI14" s="88" t="s">
        <v>1133</v>
      </c>
      <c r="AJ14" s="88" t="s">
        <v>1133</v>
      </c>
      <c r="AK14" s="88">
        <v>2</v>
      </c>
      <c r="AL14" s="88">
        <v>20</v>
      </c>
      <c r="AM14" s="88">
        <v>9</v>
      </c>
      <c r="AN14" s="88">
        <v>0</v>
      </c>
      <c r="AO14" s="88">
        <v>1</v>
      </c>
      <c r="AP14" s="88" t="s">
        <v>1134</v>
      </c>
      <c r="AQ14" s="88" t="s">
        <v>1133</v>
      </c>
      <c r="AR14" s="88">
        <v>0</v>
      </c>
      <c r="AS14" s="88"/>
      <c r="AT14" s="88"/>
      <c r="AU14" s="88">
        <v>0</v>
      </c>
      <c r="AV14" s="88" t="s">
        <v>1133</v>
      </c>
      <c r="AW14" s="88" t="s">
        <v>1133</v>
      </c>
      <c r="AX14" s="88">
        <v>0</v>
      </c>
      <c r="AY14" s="88">
        <v>0</v>
      </c>
      <c r="AZ14" s="88">
        <v>0</v>
      </c>
      <c r="BA14" s="88">
        <v>0</v>
      </c>
      <c r="BB14" s="88" t="s">
        <v>0</v>
      </c>
    </row>
    <row r="15" spans="1:54">
      <c r="A15" s="88">
        <v>15</v>
      </c>
      <c r="B15" s="88">
        <v>15</v>
      </c>
      <c r="C15" s="88"/>
      <c r="D15" s="88" t="s">
        <v>445</v>
      </c>
      <c r="E15" s="88">
        <v>0</v>
      </c>
      <c r="F15" s="88">
        <v>1153</v>
      </c>
      <c r="G15" s="88">
        <v>1</v>
      </c>
      <c r="H15" s="88">
        <v>2</v>
      </c>
      <c r="I15" s="88">
        <v>2</v>
      </c>
      <c r="J15" s="88">
        <v>0</v>
      </c>
      <c r="K15" s="88">
        <v>0</v>
      </c>
      <c r="L15" s="88">
        <v>1</v>
      </c>
      <c r="M15" s="88">
        <v>14</v>
      </c>
      <c r="N15" s="88">
        <v>34</v>
      </c>
      <c r="O15" s="88">
        <v>1</v>
      </c>
      <c r="P15" s="88">
        <v>1</v>
      </c>
      <c r="Q15" s="88">
        <v>1</v>
      </c>
      <c r="R15" s="88">
        <v>20</v>
      </c>
      <c r="S15" s="88">
        <v>10</v>
      </c>
      <c r="T15" s="88">
        <v>0</v>
      </c>
      <c r="U15" s="88">
        <v>0</v>
      </c>
      <c r="V15" s="88">
        <v>0</v>
      </c>
      <c r="W15" s="88">
        <v>0</v>
      </c>
      <c r="X15" s="88">
        <v>20</v>
      </c>
      <c r="Y15" s="88">
        <v>0</v>
      </c>
      <c r="Z15" s="88">
        <v>10</v>
      </c>
      <c r="AA15" s="88">
        <v>0</v>
      </c>
      <c r="AB15" s="88">
        <v>1</v>
      </c>
      <c r="AC15" s="88">
        <v>0</v>
      </c>
      <c r="AD15" s="88">
        <v>0</v>
      </c>
      <c r="AE15" s="88" t="s">
        <v>1133</v>
      </c>
      <c r="AF15" s="88">
        <v>0</v>
      </c>
      <c r="AG15" s="88">
        <v>0</v>
      </c>
      <c r="AH15" s="88" t="s">
        <v>1133</v>
      </c>
      <c r="AI15" s="88" t="s">
        <v>1133</v>
      </c>
      <c r="AJ15" s="88" t="s">
        <v>1133</v>
      </c>
      <c r="AK15" s="88">
        <v>2</v>
      </c>
      <c r="AL15" s="88">
        <v>20</v>
      </c>
      <c r="AM15" s="88">
        <v>9</v>
      </c>
      <c r="AN15" s="88">
        <v>0</v>
      </c>
      <c r="AO15" s="88">
        <v>1</v>
      </c>
      <c r="AP15" s="88" t="s">
        <v>1134</v>
      </c>
      <c r="AQ15" s="88" t="s">
        <v>1133</v>
      </c>
      <c r="AR15" s="88">
        <v>0</v>
      </c>
      <c r="AS15" s="88"/>
      <c r="AT15" s="88"/>
      <c r="AU15" s="88">
        <v>0</v>
      </c>
      <c r="AV15" s="88" t="s">
        <v>1133</v>
      </c>
      <c r="AW15" s="88" t="s">
        <v>1133</v>
      </c>
      <c r="AX15" s="88">
        <v>0</v>
      </c>
      <c r="AY15" s="88">
        <v>0</v>
      </c>
      <c r="AZ15" s="88">
        <v>0</v>
      </c>
      <c r="BA15" s="88">
        <v>0</v>
      </c>
      <c r="BB15" s="88" t="s">
        <v>0</v>
      </c>
    </row>
    <row r="16" spans="1:54">
      <c r="A16" s="88">
        <v>16</v>
      </c>
      <c r="B16" s="88">
        <v>16</v>
      </c>
      <c r="C16" s="88"/>
      <c r="D16" s="88" t="s">
        <v>1120</v>
      </c>
      <c r="E16" s="88">
        <v>0</v>
      </c>
      <c r="F16" s="88">
        <v>1153</v>
      </c>
      <c r="G16" s="88">
        <v>1</v>
      </c>
      <c r="H16" s="88">
        <v>2</v>
      </c>
      <c r="I16" s="88">
        <v>2</v>
      </c>
      <c r="J16" s="88">
        <v>0</v>
      </c>
      <c r="K16" s="88">
        <v>0</v>
      </c>
      <c r="L16" s="88">
        <v>1</v>
      </c>
      <c r="M16" s="88">
        <v>16</v>
      </c>
      <c r="N16" s="88">
        <v>34</v>
      </c>
      <c r="O16" s="88">
        <v>1</v>
      </c>
      <c r="P16" s="88">
        <v>1</v>
      </c>
      <c r="Q16" s="88">
        <v>1</v>
      </c>
      <c r="R16" s="88">
        <v>20</v>
      </c>
      <c r="S16" s="88">
        <v>10</v>
      </c>
      <c r="T16" s="88">
        <v>0</v>
      </c>
      <c r="U16" s="88">
        <v>0</v>
      </c>
      <c r="V16" s="88">
        <v>0</v>
      </c>
      <c r="W16" s="88">
        <v>0</v>
      </c>
      <c r="X16" s="88">
        <v>20</v>
      </c>
      <c r="Y16" s="88">
        <v>0</v>
      </c>
      <c r="Z16" s="88">
        <v>10</v>
      </c>
      <c r="AA16" s="88">
        <v>0</v>
      </c>
      <c r="AB16" s="88">
        <v>1</v>
      </c>
      <c r="AC16" s="88">
        <v>0</v>
      </c>
      <c r="AD16" s="88">
        <v>0</v>
      </c>
      <c r="AE16" s="88" t="s">
        <v>1133</v>
      </c>
      <c r="AF16" s="88">
        <v>0</v>
      </c>
      <c r="AG16" s="88">
        <v>0</v>
      </c>
      <c r="AH16" s="88" t="s">
        <v>1133</v>
      </c>
      <c r="AI16" s="88" t="s">
        <v>1133</v>
      </c>
      <c r="AJ16" s="88" t="s">
        <v>1133</v>
      </c>
      <c r="AK16" s="88">
        <v>2</v>
      </c>
      <c r="AL16" s="88">
        <v>20</v>
      </c>
      <c r="AM16" s="88">
        <v>9</v>
      </c>
      <c r="AN16" s="88">
        <v>0</v>
      </c>
      <c r="AO16" s="88">
        <v>1</v>
      </c>
      <c r="AP16" s="88" t="s">
        <v>1134</v>
      </c>
      <c r="AQ16" s="88" t="s">
        <v>1133</v>
      </c>
      <c r="AR16" s="88">
        <v>0</v>
      </c>
      <c r="AS16" s="88"/>
      <c r="AT16" s="88"/>
      <c r="AU16" s="88">
        <v>0</v>
      </c>
      <c r="AV16" s="88" t="s">
        <v>1133</v>
      </c>
      <c r="AW16" s="88" t="s">
        <v>1133</v>
      </c>
      <c r="AX16" s="88">
        <v>0</v>
      </c>
      <c r="AY16" s="88">
        <v>0</v>
      </c>
      <c r="AZ16" s="88">
        <v>0</v>
      </c>
      <c r="BA16" s="88">
        <v>0</v>
      </c>
      <c r="BB16" s="88" t="s">
        <v>0</v>
      </c>
    </row>
    <row r="17" spans="1:54">
      <c r="A17" s="88">
        <v>17</v>
      </c>
      <c r="B17" s="88">
        <v>17</v>
      </c>
      <c r="C17" s="88"/>
      <c r="D17" s="88" t="s">
        <v>1123</v>
      </c>
      <c r="E17" s="88">
        <v>0</v>
      </c>
      <c r="F17" s="88">
        <v>1153</v>
      </c>
      <c r="G17" s="88">
        <v>1</v>
      </c>
      <c r="H17" s="88">
        <v>2</v>
      </c>
      <c r="I17" s="88">
        <v>2</v>
      </c>
      <c r="J17" s="88">
        <v>0</v>
      </c>
      <c r="K17" s="88">
        <v>0</v>
      </c>
      <c r="L17" s="88">
        <v>1</v>
      </c>
      <c r="M17" s="88">
        <v>20</v>
      </c>
      <c r="N17" s="88">
        <v>34</v>
      </c>
      <c r="O17" s="88">
        <v>1</v>
      </c>
      <c r="P17" s="88">
        <v>1</v>
      </c>
      <c r="Q17" s="88">
        <v>1</v>
      </c>
      <c r="R17" s="88">
        <v>20</v>
      </c>
      <c r="S17" s="88">
        <v>10</v>
      </c>
      <c r="T17" s="88">
        <v>0</v>
      </c>
      <c r="U17" s="88">
        <v>0</v>
      </c>
      <c r="V17" s="88">
        <v>0</v>
      </c>
      <c r="W17" s="88">
        <v>0</v>
      </c>
      <c r="X17" s="88">
        <v>20</v>
      </c>
      <c r="Y17" s="88">
        <v>0</v>
      </c>
      <c r="Z17" s="88">
        <v>10</v>
      </c>
      <c r="AA17" s="88">
        <v>0</v>
      </c>
      <c r="AB17" s="88">
        <v>1</v>
      </c>
      <c r="AC17" s="88">
        <v>0</v>
      </c>
      <c r="AD17" s="88">
        <v>0</v>
      </c>
      <c r="AE17" s="88" t="s">
        <v>1133</v>
      </c>
      <c r="AF17" s="88">
        <v>0</v>
      </c>
      <c r="AG17" s="88">
        <v>0</v>
      </c>
      <c r="AH17" s="88" t="s">
        <v>1133</v>
      </c>
      <c r="AI17" s="88" t="s">
        <v>1133</v>
      </c>
      <c r="AJ17" s="88" t="s">
        <v>1133</v>
      </c>
      <c r="AK17" s="88">
        <v>2</v>
      </c>
      <c r="AL17" s="88">
        <v>20</v>
      </c>
      <c r="AM17" s="88">
        <v>9</v>
      </c>
      <c r="AN17" s="88">
        <v>0</v>
      </c>
      <c r="AO17" s="88">
        <v>1</v>
      </c>
      <c r="AP17" s="88" t="s">
        <v>1134</v>
      </c>
      <c r="AQ17" s="88" t="s">
        <v>1133</v>
      </c>
      <c r="AR17" s="88">
        <v>0</v>
      </c>
      <c r="AS17" s="88"/>
      <c r="AT17" s="88"/>
      <c r="AU17" s="88">
        <v>0</v>
      </c>
      <c r="AV17" s="88" t="s">
        <v>1133</v>
      </c>
      <c r="AW17" s="88" t="s">
        <v>1133</v>
      </c>
      <c r="AX17" s="88">
        <v>0</v>
      </c>
      <c r="AY17" s="88">
        <v>0</v>
      </c>
      <c r="AZ17" s="88">
        <v>0</v>
      </c>
      <c r="BA17" s="88">
        <v>0</v>
      </c>
      <c r="BB17" s="88" t="s">
        <v>0</v>
      </c>
    </row>
    <row r="18" spans="1:54">
      <c r="A18" s="88">
        <v>18</v>
      </c>
      <c r="B18" s="88">
        <v>18</v>
      </c>
      <c r="C18" s="88"/>
      <c r="D18" s="88" t="s">
        <v>1126</v>
      </c>
      <c r="E18" s="88">
        <v>0</v>
      </c>
      <c r="F18" s="88">
        <v>1153</v>
      </c>
      <c r="G18" s="88">
        <v>1</v>
      </c>
      <c r="H18" s="88">
        <v>2</v>
      </c>
      <c r="I18" s="88">
        <v>2</v>
      </c>
      <c r="J18" s="88">
        <v>0</v>
      </c>
      <c r="K18" s="88">
        <v>0</v>
      </c>
      <c r="L18" s="88">
        <v>1</v>
      </c>
      <c r="M18" s="88">
        <v>30</v>
      </c>
      <c r="N18" s="88">
        <v>34</v>
      </c>
      <c r="O18" s="88">
        <v>1</v>
      </c>
      <c r="P18" s="88">
        <v>1</v>
      </c>
      <c r="Q18" s="88">
        <v>1</v>
      </c>
      <c r="R18" s="88">
        <v>20</v>
      </c>
      <c r="S18" s="88">
        <v>10</v>
      </c>
      <c r="T18" s="88">
        <v>0</v>
      </c>
      <c r="U18" s="88">
        <v>0</v>
      </c>
      <c r="V18" s="88">
        <v>0</v>
      </c>
      <c r="W18" s="88">
        <v>0</v>
      </c>
      <c r="X18" s="88">
        <v>20</v>
      </c>
      <c r="Y18" s="88">
        <v>0</v>
      </c>
      <c r="Z18" s="88">
        <v>10</v>
      </c>
      <c r="AA18" s="88">
        <v>0</v>
      </c>
      <c r="AB18" s="88">
        <v>1</v>
      </c>
      <c r="AC18" s="88">
        <v>0</v>
      </c>
      <c r="AD18" s="88">
        <v>0</v>
      </c>
      <c r="AE18" s="88" t="s">
        <v>1133</v>
      </c>
      <c r="AF18" s="88">
        <v>0</v>
      </c>
      <c r="AG18" s="88">
        <v>0</v>
      </c>
      <c r="AH18" s="88" t="s">
        <v>1133</v>
      </c>
      <c r="AI18" s="88" t="s">
        <v>1133</v>
      </c>
      <c r="AJ18" s="88" t="s">
        <v>1133</v>
      </c>
      <c r="AK18" s="88">
        <v>2</v>
      </c>
      <c r="AL18" s="88">
        <v>20</v>
      </c>
      <c r="AM18" s="88">
        <v>9</v>
      </c>
      <c r="AN18" s="88">
        <v>0</v>
      </c>
      <c r="AO18" s="88">
        <v>1</v>
      </c>
      <c r="AP18" s="88" t="s">
        <v>1134</v>
      </c>
      <c r="AQ18" s="88" t="s">
        <v>1133</v>
      </c>
      <c r="AR18" s="88">
        <v>0</v>
      </c>
      <c r="AS18" s="88"/>
      <c r="AT18" s="88"/>
      <c r="AU18" s="88">
        <v>0</v>
      </c>
      <c r="AV18" s="88" t="s">
        <v>1133</v>
      </c>
      <c r="AW18" s="88" t="s">
        <v>1133</v>
      </c>
      <c r="AX18" s="88">
        <v>0</v>
      </c>
      <c r="AY18" s="88">
        <v>0</v>
      </c>
      <c r="AZ18" s="88">
        <v>0</v>
      </c>
      <c r="BA18" s="88">
        <v>0</v>
      </c>
      <c r="BB18" s="88" t="s">
        <v>0</v>
      </c>
    </row>
    <row r="19" spans="1:54">
      <c r="A19" s="88">
        <v>19</v>
      </c>
      <c r="B19" s="88">
        <v>19</v>
      </c>
      <c r="C19" s="88"/>
      <c r="D19" s="88" t="s">
        <v>446</v>
      </c>
      <c r="E19" s="88">
        <v>0</v>
      </c>
      <c r="F19" s="88">
        <v>1153</v>
      </c>
      <c r="G19" s="88">
        <v>1</v>
      </c>
      <c r="H19" s="88">
        <v>2</v>
      </c>
      <c r="I19" s="88">
        <v>2</v>
      </c>
      <c r="J19" s="88">
        <v>0</v>
      </c>
      <c r="K19" s="88">
        <v>0</v>
      </c>
      <c r="L19" s="88">
        <v>1</v>
      </c>
      <c r="M19" s="88">
        <v>40</v>
      </c>
      <c r="N19" s="88">
        <v>34</v>
      </c>
      <c r="O19" s="88">
        <v>1</v>
      </c>
      <c r="P19" s="88">
        <v>1</v>
      </c>
      <c r="Q19" s="88">
        <v>1</v>
      </c>
      <c r="R19" s="88">
        <v>20</v>
      </c>
      <c r="S19" s="88">
        <v>10</v>
      </c>
      <c r="T19" s="88">
        <v>0</v>
      </c>
      <c r="U19" s="88">
        <v>0</v>
      </c>
      <c r="V19" s="88">
        <v>0</v>
      </c>
      <c r="W19" s="88">
        <v>0</v>
      </c>
      <c r="X19" s="88">
        <v>20</v>
      </c>
      <c r="Y19" s="88">
        <v>0</v>
      </c>
      <c r="Z19" s="88">
        <v>10</v>
      </c>
      <c r="AA19" s="88">
        <v>0</v>
      </c>
      <c r="AB19" s="88">
        <v>1</v>
      </c>
      <c r="AC19" s="88">
        <v>0</v>
      </c>
      <c r="AD19" s="88">
        <v>0</v>
      </c>
      <c r="AE19" s="88" t="s">
        <v>1133</v>
      </c>
      <c r="AF19" s="88">
        <v>0</v>
      </c>
      <c r="AG19" s="88">
        <v>0</v>
      </c>
      <c r="AH19" s="88" t="s">
        <v>1133</v>
      </c>
      <c r="AI19" s="88" t="s">
        <v>1133</v>
      </c>
      <c r="AJ19" s="88" t="s">
        <v>1133</v>
      </c>
      <c r="AK19" s="88">
        <v>2</v>
      </c>
      <c r="AL19" s="88">
        <v>20</v>
      </c>
      <c r="AM19" s="88">
        <v>9</v>
      </c>
      <c r="AN19" s="88">
        <v>0</v>
      </c>
      <c r="AO19" s="88">
        <v>1</v>
      </c>
      <c r="AP19" s="88" t="s">
        <v>1134</v>
      </c>
      <c r="AQ19" s="88" t="s">
        <v>1133</v>
      </c>
      <c r="AR19" s="88">
        <v>0</v>
      </c>
      <c r="AS19" s="88"/>
      <c r="AT19" s="88"/>
      <c r="AU19" s="88">
        <v>0</v>
      </c>
      <c r="AV19" s="88" t="s">
        <v>1133</v>
      </c>
      <c r="AW19" s="88" t="s">
        <v>1133</v>
      </c>
      <c r="AX19" s="88">
        <v>0</v>
      </c>
      <c r="AY19" s="88">
        <v>0</v>
      </c>
      <c r="AZ19" s="88">
        <v>0</v>
      </c>
      <c r="BA19" s="88">
        <v>0</v>
      </c>
      <c r="BB19" s="88" t="s">
        <v>0</v>
      </c>
    </row>
    <row r="20" spans="1:54">
      <c r="A20" s="88">
        <v>20</v>
      </c>
      <c r="B20" s="88">
        <v>20</v>
      </c>
      <c r="C20" s="88"/>
      <c r="D20" s="88" t="s">
        <v>447</v>
      </c>
      <c r="E20" s="88">
        <v>0</v>
      </c>
      <c r="F20" s="88">
        <v>1153</v>
      </c>
      <c r="G20" s="88">
        <v>1</v>
      </c>
      <c r="H20" s="88">
        <v>2</v>
      </c>
      <c r="I20" s="88">
        <v>2</v>
      </c>
      <c r="J20" s="88">
        <v>0</v>
      </c>
      <c r="K20" s="88">
        <v>0</v>
      </c>
      <c r="L20" s="88">
        <v>1</v>
      </c>
      <c r="M20" s="88">
        <v>50</v>
      </c>
      <c r="N20" s="88">
        <v>34</v>
      </c>
      <c r="O20" s="88">
        <v>1</v>
      </c>
      <c r="P20" s="88">
        <v>1</v>
      </c>
      <c r="Q20" s="88">
        <v>1</v>
      </c>
      <c r="R20" s="88">
        <v>20</v>
      </c>
      <c r="S20" s="88">
        <v>10</v>
      </c>
      <c r="T20" s="88">
        <v>0</v>
      </c>
      <c r="U20" s="88">
        <v>0</v>
      </c>
      <c r="V20" s="88">
        <v>0</v>
      </c>
      <c r="W20" s="88">
        <v>0</v>
      </c>
      <c r="X20" s="88">
        <v>20</v>
      </c>
      <c r="Y20" s="88">
        <v>0</v>
      </c>
      <c r="Z20" s="88">
        <v>10</v>
      </c>
      <c r="AA20" s="88">
        <v>0</v>
      </c>
      <c r="AB20" s="88">
        <v>1</v>
      </c>
      <c r="AC20" s="88">
        <v>0</v>
      </c>
      <c r="AD20" s="88">
        <v>0</v>
      </c>
      <c r="AE20" s="88" t="s">
        <v>1133</v>
      </c>
      <c r="AF20" s="88">
        <v>0</v>
      </c>
      <c r="AG20" s="88">
        <v>0</v>
      </c>
      <c r="AH20" s="88" t="s">
        <v>1133</v>
      </c>
      <c r="AI20" s="88" t="s">
        <v>1133</v>
      </c>
      <c r="AJ20" s="88" t="s">
        <v>1133</v>
      </c>
      <c r="AK20" s="88">
        <v>2</v>
      </c>
      <c r="AL20" s="88">
        <v>20</v>
      </c>
      <c r="AM20" s="88">
        <v>9</v>
      </c>
      <c r="AN20" s="88">
        <v>0</v>
      </c>
      <c r="AO20" s="88">
        <v>1</v>
      </c>
      <c r="AP20" s="88" t="s">
        <v>1134</v>
      </c>
      <c r="AQ20" s="88" t="s">
        <v>1133</v>
      </c>
      <c r="AR20" s="88">
        <v>0</v>
      </c>
      <c r="AS20" s="88"/>
      <c r="AT20" s="88"/>
      <c r="AU20" s="88">
        <v>0</v>
      </c>
      <c r="AV20" s="88" t="s">
        <v>1133</v>
      </c>
      <c r="AW20" s="88" t="s">
        <v>1133</v>
      </c>
      <c r="AX20" s="88">
        <v>0</v>
      </c>
      <c r="AY20" s="88">
        <v>0</v>
      </c>
      <c r="AZ20" s="88">
        <v>0</v>
      </c>
      <c r="BA20" s="88">
        <v>0</v>
      </c>
      <c r="BB20" s="88" t="s">
        <v>0</v>
      </c>
    </row>
    <row r="21" spans="1:54">
      <c r="A21" s="88">
        <v>21</v>
      </c>
      <c r="B21" s="88">
        <v>21</v>
      </c>
      <c r="C21" s="88"/>
      <c r="D21" s="88" t="s">
        <v>448</v>
      </c>
      <c r="E21" s="88">
        <v>0</v>
      </c>
      <c r="F21" s="88">
        <v>1153</v>
      </c>
      <c r="G21" s="88">
        <v>1</v>
      </c>
      <c r="H21" s="88">
        <v>2</v>
      </c>
      <c r="I21" s="88">
        <v>2</v>
      </c>
      <c r="J21" s="88">
        <v>0</v>
      </c>
      <c r="K21" s="88">
        <v>0</v>
      </c>
      <c r="L21" s="88">
        <v>1</v>
      </c>
      <c r="M21" s="88">
        <v>80</v>
      </c>
      <c r="N21" s="88">
        <v>34</v>
      </c>
      <c r="O21" s="88">
        <v>1</v>
      </c>
      <c r="P21" s="88">
        <v>1</v>
      </c>
      <c r="Q21" s="88">
        <v>1</v>
      </c>
      <c r="R21" s="88">
        <v>20</v>
      </c>
      <c r="S21" s="88">
        <v>10</v>
      </c>
      <c r="T21" s="88">
        <v>0</v>
      </c>
      <c r="U21" s="88">
        <v>0</v>
      </c>
      <c r="V21" s="88">
        <v>0</v>
      </c>
      <c r="W21" s="88">
        <v>0</v>
      </c>
      <c r="X21" s="88">
        <v>20</v>
      </c>
      <c r="Y21" s="88">
        <v>0</v>
      </c>
      <c r="Z21" s="88">
        <v>10</v>
      </c>
      <c r="AA21" s="88">
        <v>0</v>
      </c>
      <c r="AB21" s="88">
        <v>1</v>
      </c>
      <c r="AC21" s="88">
        <v>0</v>
      </c>
      <c r="AD21" s="88">
        <v>0</v>
      </c>
      <c r="AE21" s="88" t="s">
        <v>1133</v>
      </c>
      <c r="AF21" s="88">
        <v>0</v>
      </c>
      <c r="AG21" s="88">
        <v>0</v>
      </c>
      <c r="AH21" s="88" t="s">
        <v>1133</v>
      </c>
      <c r="AI21" s="88" t="s">
        <v>1133</v>
      </c>
      <c r="AJ21" s="88" t="s">
        <v>1133</v>
      </c>
      <c r="AK21" s="88">
        <v>2</v>
      </c>
      <c r="AL21" s="88">
        <v>20</v>
      </c>
      <c r="AM21" s="88">
        <v>9</v>
      </c>
      <c r="AN21" s="88">
        <v>0</v>
      </c>
      <c r="AO21" s="88">
        <v>1</v>
      </c>
      <c r="AP21" s="88" t="s">
        <v>1134</v>
      </c>
      <c r="AQ21" s="88" t="s">
        <v>1133</v>
      </c>
      <c r="AR21" s="88">
        <v>0</v>
      </c>
      <c r="AS21" s="88"/>
      <c r="AT21" s="88"/>
      <c r="AU21" s="88">
        <v>0</v>
      </c>
      <c r="AV21" s="88" t="s">
        <v>1133</v>
      </c>
      <c r="AW21" s="88" t="s">
        <v>1133</v>
      </c>
      <c r="AX21" s="88">
        <v>0</v>
      </c>
      <c r="AY21" s="88">
        <v>0</v>
      </c>
      <c r="AZ21" s="88">
        <v>0</v>
      </c>
      <c r="BA21" s="88">
        <v>0</v>
      </c>
      <c r="BB21" s="88" t="s">
        <v>0</v>
      </c>
    </row>
    <row r="22" spans="1:54">
      <c r="A22" s="88">
        <v>22</v>
      </c>
      <c r="B22" s="88">
        <v>22</v>
      </c>
      <c r="C22" s="88"/>
      <c r="D22" s="88" t="s">
        <v>449</v>
      </c>
      <c r="E22" s="88">
        <v>0</v>
      </c>
      <c r="F22" s="88">
        <v>1153</v>
      </c>
      <c r="G22" s="88">
        <v>1</v>
      </c>
      <c r="H22" s="88">
        <v>2</v>
      </c>
      <c r="I22" s="88">
        <v>2</v>
      </c>
      <c r="J22" s="88">
        <v>0</v>
      </c>
      <c r="K22" s="88">
        <v>0</v>
      </c>
      <c r="L22" s="88">
        <v>1</v>
      </c>
      <c r="M22" s="88">
        <v>600</v>
      </c>
      <c r="N22" s="88">
        <v>34</v>
      </c>
      <c r="O22" s="88">
        <v>1</v>
      </c>
      <c r="P22" s="88">
        <v>1</v>
      </c>
      <c r="Q22" s="88">
        <v>1</v>
      </c>
      <c r="R22" s="88">
        <v>20</v>
      </c>
      <c r="S22" s="88">
        <v>10</v>
      </c>
      <c r="T22" s="88">
        <v>0</v>
      </c>
      <c r="U22" s="88">
        <v>0</v>
      </c>
      <c r="V22" s="88">
        <v>0</v>
      </c>
      <c r="W22" s="88">
        <v>0</v>
      </c>
      <c r="X22" s="88">
        <v>20</v>
      </c>
      <c r="Y22" s="88">
        <v>0</v>
      </c>
      <c r="Z22" s="88">
        <v>10</v>
      </c>
      <c r="AA22" s="88">
        <v>0</v>
      </c>
      <c r="AB22" s="88">
        <v>1</v>
      </c>
      <c r="AC22" s="88">
        <v>0</v>
      </c>
      <c r="AD22" s="88">
        <v>0</v>
      </c>
      <c r="AE22" s="88" t="s">
        <v>1133</v>
      </c>
      <c r="AF22" s="88">
        <v>0</v>
      </c>
      <c r="AG22" s="88">
        <v>0</v>
      </c>
      <c r="AH22" s="88" t="s">
        <v>1133</v>
      </c>
      <c r="AI22" s="88" t="s">
        <v>1133</v>
      </c>
      <c r="AJ22" s="88" t="s">
        <v>1133</v>
      </c>
      <c r="AK22" s="88">
        <v>2</v>
      </c>
      <c r="AL22" s="88">
        <v>20</v>
      </c>
      <c r="AM22" s="88">
        <v>9</v>
      </c>
      <c r="AN22" s="88">
        <v>0</v>
      </c>
      <c r="AO22" s="88">
        <v>1</v>
      </c>
      <c r="AP22" s="88" t="s">
        <v>1134</v>
      </c>
      <c r="AQ22" s="88" t="s">
        <v>1133</v>
      </c>
      <c r="AR22" s="88">
        <v>0</v>
      </c>
      <c r="AS22" s="88"/>
      <c r="AT22" s="88"/>
      <c r="AU22" s="88">
        <v>0</v>
      </c>
      <c r="AV22" s="88" t="s">
        <v>1133</v>
      </c>
      <c r="AW22" s="88" t="s">
        <v>1133</v>
      </c>
      <c r="AX22" s="88">
        <v>0</v>
      </c>
      <c r="AY22" s="88">
        <v>0</v>
      </c>
      <c r="AZ22" s="88">
        <v>0</v>
      </c>
      <c r="BA22" s="88">
        <v>0</v>
      </c>
      <c r="BB22" s="88" t="s">
        <v>0</v>
      </c>
    </row>
    <row r="23" spans="1:54">
      <c r="A23" s="88">
        <v>23</v>
      </c>
      <c r="B23" s="88">
        <v>23</v>
      </c>
      <c r="C23" s="88"/>
      <c r="D23" s="88" t="s">
        <v>435</v>
      </c>
      <c r="E23" s="88">
        <v>0</v>
      </c>
      <c r="F23" s="88">
        <v>1153</v>
      </c>
      <c r="G23" s="88">
        <v>1</v>
      </c>
      <c r="H23" s="88">
        <v>2</v>
      </c>
      <c r="I23" s="88">
        <v>2</v>
      </c>
      <c r="J23" s="88">
        <v>0</v>
      </c>
      <c r="K23" s="88">
        <v>0</v>
      </c>
      <c r="L23" s="88">
        <v>1</v>
      </c>
      <c r="M23" s="88">
        <v>800</v>
      </c>
      <c r="N23" s="88">
        <v>34</v>
      </c>
      <c r="O23" s="88">
        <v>1</v>
      </c>
      <c r="P23" s="88">
        <v>1</v>
      </c>
      <c r="Q23" s="88">
        <v>1</v>
      </c>
      <c r="R23" s="88">
        <v>20</v>
      </c>
      <c r="S23" s="88">
        <v>10</v>
      </c>
      <c r="T23" s="88">
        <v>0</v>
      </c>
      <c r="U23" s="88">
        <v>0</v>
      </c>
      <c r="V23" s="88">
        <v>0</v>
      </c>
      <c r="W23" s="88">
        <v>0</v>
      </c>
      <c r="X23" s="88">
        <v>20</v>
      </c>
      <c r="Y23" s="88">
        <v>0</v>
      </c>
      <c r="Z23" s="88">
        <v>10</v>
      </c>
      <c r="AA23" s="88">
        <v>0</v>
      </c>
      <c r="AB23" s="88">
        <v>1</v>
      </c>
      <c r="AC23" s="88">
        <v>0</v>
      </c>
      <c r="AD23" s="88">
        <v>0</v>
      </c>
      <c r="AE23" s="88" t="s">
        <v>1133</v>
      </c>
      <c r="AF23" s="88">
        <v>0</v>
      </c>
      <c r="AG23" s="88">
        <v>0</v>
      </c>
      <c r="AH23" s="88" t="s">
        <v>1133</v>
      </c>
      <c r="AI23" s="88" t="s">
        <v>1133</v>
      </c>
      <c r="AJ23" s="88" t="s">
        <v>1133</v>
      </c>
      <c r="AK23" s="88">
        <v>2</v>
      </c>
      <c r="AL23" s="88">
        <v>20</v>
      </c>
      <c r="AM23" s="88">
        <v>9</v>
      </c>
      <c r="AN23" s="88">
        <v>0</v>
      </c>
      <c r="AO23" s="88">
        <v>1</v>
      </c>
      <c r="AP23" s="88" t="s">
        <v>1134</v>
      </c>
      <c r="AQ23" s="88" t="s">
        <v>1133</v>
      </c>
      <c r="AR23" s="88">
        <v>0</v>
      </c>
      <c r="AS23" s="88"/>
      <c r="AT23" s="88"/>
      <c r="AU23" s="88">
        <v>0</v>
      </c>
      <c r="AV23" s="88" t="s">
        <v>1133</v>
      </c>
      <c r="AW23" s="88" t="s">
        <v>1133</v>
      </c>
      <c r="AX23" s="88">
        <v>0</v>
      </c>
      <c r="AY23" s="88">
        <v>0</v>
      </c>
      <c r="AZ23" s="88">
        <v>0</v>
      </c>
      <c r="BA23" s="88">
        <v>0</v>
      </c>
      <c r="BB23" s="88" t="s">
        <v>0</v>
      </c>
    </row>
    <row r="24" spans="1:54">
      <c r="A24" s="88">
        <v>24</v>
      </c>
      <c r="B24" s="88">
        <v>24</v>
      </c>
      <c r="C24" s="88"/>
      <c r="D24" s="88" t="s">
        <v>436</v>
      </c>
      <c r="E24" s="88">
        <v>0</v>
      </c>
      <c r="F24" s="88">
        <v>1153</v>
      </c>
      <c r="G24" s="88">
        <v>1</v>
      </c>
      <c r="H24" s="88">
        <v>2</v>
      </c>
      <c r="I24" s="88">
        <v>2</v>
      </c>
      <c r="J24" s="88">
        <v>0</v>
      </c>
      <c r="K24" s="88">
        <v>0</v>
      </c>
      <c r="L24" s="88">
        <v>1</v>
      </c>
      <c r="M24" s="88">
        <v>960</v>
      </c>
      <c r="N24" s="88">
        <v>34</v>
      </c>
      <c r="O24" s="88">
        <v>1</v>
      </c>
      <c r="P24" s="88">
        <v>1</v>
      </c>
      <c r="Q24" s="88">
        <v>1</v>
      </c>
      <c r="R24" s="88">
        <v>20</v>
      </c>
      <c r="S24" s="88">
        <v>10</v>
      </c>
      <c r="T24" s="88">
        <v>0</v>
      </c>
      <c r="U24" s="88">
        <v>0</v>
      </c>
      <c r="V24" s="88">
        <v>0</v>
      </c>
      <c r="W24" s="88">
        <v>0</v>
      </c>
      <c r="X24" s="88">
        <v>20</v>
      </c>
      <c r="Y24" s="88">
        <v>0</v>
      </c>
      <c r="Z24" s="88">
        <v>10</v>
      </c>
      <c r="AA24" s="88">
        <v>0</v>
      </c>
      <c r="AB24" s="88">
        <v>1</v>
      </c>
      <c r="AC24" s="88">
        <v>0</v>
      </c>
      <c r="AD24" s="88">
        <v>0</v>
      </c>
      <c r="AE24" s="88" t="s">
        <v>1133</v>
      </c>
      <c r="AF24" s="88">
        <v>0</v>
      </c>
      <c r="AG24" s="88">
        <v>0</v>
      </c>
      <c r="AH24" s="88" t="s">
        <v>1133</v>
      </c>
      <c r="AI24" s="88" t="s">
        <v>1133</v>
      </c>
      <c r="AJ24" s="88" t="s">
        <v>1133</v>
      </c>
      <c r="AK24" s="88">
        <v>2</v>
      </c>
      <c r="AL24" s="88">
        <v>20</v>
      </c>
      <c r="AM24" s="88">
        <v>9</v>
      </c>
      <c r="AN24" s="88">
        <v>0</v>
      </c>
      <c r="AO24" s="88">
        <v>1</v>
      </c>
      <c r="AP24" s="88" t="s">
        <v>1134</v>
      </c>
      <c r="AQ24" s="88" t="s">
        <v>1133</v>
      </c>
      <c r="AR24" s="88">
        <v>0</v>
      </c>
      <c r="AS24" s="88"/>
      <c r="AT24" s="88"/>
      <c r="AU24" s="88">
        <v>0</v>
      </c>
      <c r="AV24" s="88" t="s">
        <v>1133</v>
      </c>
      <c r="AW24" s="88" t="s">
        <v>1133</v>
      </c>
      <c r="AX24" s="88">
        <v>0</v>
      </c>
      <c r="AY24" s="88">
        <v>0</v>
      </c>
      <c r="AZ24" s="88">
        <v>0</v>
      </c>
      <c r="BA24" s="88">
        <v>0</v>
      </c>
      <c r="BB24" s="88" t="s">
        <v>0</v>
      </c>
    </row>
    <row r="25" spans="1:54">
      <c r="A25" s="88">
        <v>25</v>
      </c>
      <c r="B25" s="88">
        <v>25</v>
      </c>
      <c r="C25" s="88"/>
      <c r="D25" s="88" t="s">
        <v>437</v>
      </c>
      <c r="E25" s="88">
        <v>0</v>
      </c>
      <c r="F25" s="88">
        <v>1153</v>
      </c>
      <c r="G25" s="88">
        <v>1</v>
      </c>
      <c r="H25" s="88">
        <v>2</v>
      </c>
      <c r="I25" s="88">
        <v>2</v>
      </c>
      <c r="J25" s="88">
        <v>0</v>
      </c>
      <c r="K25" s="88">
        <v>0</v>
      </c>
      <c r="L25" s="88">
        <v>1</v>
      </c>
      <c r="M25" s="88">
        <v>1280</v>
      </c>
      <c r="N25" s="88">
        <v>34</v>
      </c>
      <c r="O25" s="88">
        <v>1</v>
      </c>
      <c r="P25" s="88">
        <v>1</v>
      </c>
      <c r="Q25" s="88">
        <v>1</v>
      </c>
      <c r="R25" s="88">
        <v>20</v>
      </c>
      <c r="S25" s="88">
        <v>10</v>
      </c>
      <c r="T25" s="88">
        <v>0</v>
      </c>
      <c r="U25" s="88">
        <v>0</v>
      </c>
      <c r="V25" s="88">
        <v>0</v>
      </c>
      <c r="W25" s="88">
        <v>0</v>
      </c>
      <c r="X25" s="88">
        <v>20</v>
      </c>
      <c r="Y25" s="88">
        <v>0</v>
      </c>
      <c r="Z25" s="88">
        <v>10</v>
      </c>
      <c r="AA25" s="88">
        <v>0</v>
      </c>
      <c r="AB25" s="88">
        <v>1</v>
      </c>
      <c r="AC25" s="88">
        <v>0</v>
      </c>
      <c r="AD25" s="88">
        <v>0</v>
      </c>
      <c r="AE25" s="88" t="s">
        <v>1133</v>
      </c>
      <c r="AF25" s="88">
        <v>0</v>
      </c>
      <c r="AG25" s="88">
        <v>0</v>
      </c>
      <c r="AH25" s="88" t="s">
        <v>1133</v>
      </c>
      <c r="AI25" s="88" t="s">
        <v>1133</v>
      </c>
      <c r="AJ25" s="88" t="s">
        <v>1133</v>
      </c>
      <c r="AK25" s="88">
        <v>2</v>
      </c>
      <c r="AL25" s="88">
        <v>20</v>
      </c>
      <c r="AM25" s="88">
        <v>9</v>
      </c>
      <c r="AN25" s="88">
        <v>0</v>
      </c>
      <c r="AO25" s="88">
        <v>1</v>
      </c>
      <c r="AP25" s="88" t="s">
        <v>1134</v>
      </c>
      <c r="AQ25" s="88" t="s">
        <v>1133</v>
      </c>
      <c r="AR25" s="88">
        <v>0</v>
      </c>
      <c r="AS25" s="88"/>
      <c r="AT25" s="88"/>
      <c r="AU25" s="88">
        <v>0</v>
      </c>
      <c r="AV25" s="88" t="s">
        <v>1133</v>
      </c>
      <c r="AW25" s="88" t="s">
        <v>1133</v>
      </c>
      <c r="AX25" s="88">
        <v>0</v>
      </c>
      <c r="AY25" s="88">
        <v>0</v>
      </c>
      <c r="AZ25" s="88">
        <v>0</v>
      </c>
      <c r="BA25" s="88">
        <v>0</v>
      </c>
      <c r="BB25" s="88" t="s">
        <v>0</v>
      </c>
    </row>
    <row r="26" spans="1:54">
      <c r="A26" s="88">
        <v>26</v>
      </c>
      <c r="B26" s="88">
        <v>26</v>
      </c>
      <c r="C26" s="88"/>
      <c r="D26" s="88" t="s">
        <v>450</v>
      </c>
      <c r="E26" s="88">
        <v>0</v>
      </c>
      <c r="F26" s="88">
        <v>1153</v>
      </c>
      <c r="G26" s="88">
        <v>1</v>
      </c>
      <c r="H26" s="88">
        <v>2</v>
      </c>
      <c r="I26" s="88">
        <v>2</v>
      </c>
      <c r="J26" s="88">
        <v>0</v>
      </c>
      <c r="K26" s="88">
        <v>0</v>
      </c>
      <c r="L26" s="88">
        <v>1</v>
      </c>
      <c r="M26" s="88">
        <v>2</v>
      </c>
      <c r="N26" s="88">
        <v>34</v>
      </c>
      <c r="O26" s="88">
        <v>1</v>
      </c>
      <c r="P26" s="88">
        <v>1</v>
      </c>
      <c r="Q26" s="88">
        <v>1</v>
      </c>
      <c r="R26" s="88">
        <v>20</v>
      </c>
      <c r="S26" s="88">
        <v>10</v>
      </c>
      <c r="T26" s="88">
        <v>0</v>
      </c>
      <c r="U26" s="88">
        <v>0</v>
      </c>
      <c r="V26" s="88">
        <v>0</v>
      </c>
      <c r="W26" s="88">
        <v>0</v>
      </c>
      <c r="X26" s="88">
        <v>20</v>
      </c>
      <c r="Y26" s="88">
        <v>0</v>
      </c>
      <c r="Z26" s="88">
        <v>10</v>
      </c>
      <c r="AA26" s="88">
        <v>0</v>
      </c>
      <c r="AB26" s="88">
        <v>1</v>
      </c>
      <c r="AC26" s="88">
        <v>0</v>
      </c>
      <c r="AD26" s="88">
        <v>0</v>
      </c>
      <c r="AE26" s="88" t="s">
        <v>1133</v>
      </c>
      <c r="AF26" s="88">
        <v>0</v>
      </c>
      <c r="AG26" s="88">
        <v>0</v>
      </c>
      <c r="AH26" s="88" t="s">
        <v>1133</v>
      </c>
      <c r="AI26" s="88" t="s">
        <v>1133</v>
      </c>
      <c r="AJ26" s="88" t="s">
        <v>1133</v>
      </c>
      <c r="AK26" s="88">
        <v>2</v>
      </c>
      <c r="AL26" s="88">
        <v>20</v>
      </c>
      <c r="AM26" s="88">
        <v>9</v>
      </c>
      <c r="AN26" s="88">
        <v>0</v>
      </c>
      <c r="AO26" s="88">
        <v>1</v>
      </c>
      <c r="AP26" s="88" t="s">
        <v>1134</v>
      </c>
      <c r="AQ26" s="88" t="s">
        <v>1133</v>
      </c>
      <c r="AR26" s="88">
        <v>0</v>
      </c>
      <c r="AS26" s="88"/>
      <c r="AT26" s="88"/>
      <c r="AU26" s="88">
        <v>0</v>
      </c>
      <c r="AV26" s="88" t="s">
        <v>1133</v>
      </c>
      <c r="AW26" s="88" t="s">
        <v>1133</v>
      </c>
      <c r="AX26" s="88">
        <v>0</v>
      </c>
      <c r="AY26" s="88">
        <v>0</v>
      </c>
      <c r="AZ26" s="88">
        <v>0</v>
      </c>
      <c r="BA26" s="88">
        <v>0</v>
      </c>
      <c r="BB26" s="88" t="s">
        <v>0</v>
      </c>
    </row>
    <row r="27" spans="1:54">
      <c r="A27" s="88">
        <v>27</v>
      </c>
      <c r="B27" s="88">
        <v>27</v>
      </c>
      <c r="C27" s="88"/>
      <c r="D27" s="88" t="s">
        <v>1130</v>
      </c>
      <c r="E27" s="88">
        <v>0</v>
      </c>
      <c r="F27" s="88">
        <v>1153</v>
      </c>
      <c r="G27" s="88">
        <v>1</v>
      </c>
      <c r="H27" s="88">
        <v>2</v>
      </c>
      <c r="I27" s="88">
        <v>2</v>
      </c>
      <c r="J27" s="88">
        <v>0</v>
      </c>
      <c r="K27" s="88">
        <v>0</v>
      </c>
      <c r="L27" s="88">
        <v>1</v>
      </c>
      <c r="M27" s="88">
        <v>5</v>
      </c>
      <c r="N27" s="88">
        <v>34</v>
      </c>
      <c r="O27" s="88">
        <v>1</v>
      </c>
      <c r="P27" s="88">
        <v>1</v>
      </c>
      <c r="Q27" s="88">
        <v>1</v>
      </c>
      <c r="R27" s="88">
        <v>20</v>
      </c>
      <c r="S27" s="88">
        <v>10</v>
      </c>
      <c r="T27" s="88">
        <v>0</v>
      </c>
      <c r="U27" s="88">
        <v>0</v>
      </c>
      <c r="V27" s="88">
        <v>0</v>
      </c>
      <c r="W27" s="88">
        <v>0</v>
      </c>
      <c r="X27" s="88">
        <v>20</v>
      </c>
      <c r="Y27" s="88">
        <v>0</v>
      </c>
      <c r="Z27" s="88">
        <v>10</v>
      </c>
      <c r="AA27" s="88">
        <v>0</v>
      </c>
      <c r="AB27" s="88">
        <v>1</v>
      </c>
      <c r="AC27" s="88">
        <v>0</v>
      </c>
      <c r="AD27" s="88">
        <v>0</v>
      </c>
      <c r="AE27" s="88" t="s">
        <v>1133</v>
      </c>
      <c r="AF27" s="88">
        <v>0</v>
      </c>
      <c r="AG27" s="88">
        <v>0</v>
      </c>
      <c r="AH27" s="88" t="s">
        <v>1133</v>
      </c>
      <c r="AI27" s="88" t="s">
        <v>1133</v>
      </c>
      <c r="AJ27" s="88" t="s">
        <v>1133</v>
      </c>
      <c r="AK27" s="88">
        <v>2</v>
      </c>
      <c r="AL27" s="88">
        <v>20</v>
      </c>
      <c r="AM27" s="88">
        <v>9</v>
      </c>
      <c r="AN27" s="88">
        <v>0</v>
      </c>
      <c r="AO27" s="88">
        <v>1</v>
      </c>
      <c r="AP27" s="88" t="s">
        <v>1134</v>
      </c>
      <c r="AQ27" s="88" t="s">
        <v>1133</v>
      </c>
      <c r="AR27" s="88">
        <v>0</v>
      </c>
      <c r="AS27" s="88"/>
      <c r="AT27" s="88"/>
      <c r="AU27" s="88">
        <v>0</v>
      </c>
      <c r="AV27" s="88" t="s">
        <v>1133</v>
      </c>
      <c r="AW27" s="88" t="s">
        <v>1133</v>
      </c>
      <c r="AX27" s="88">
        <v>0</v>
      </c>
      <c r="AY27" s="88">
        <v>0</v>
      </c>
      <c r="AZ27" s="88">
        <v>0</v>
      </c>
      <c r="BA27" s="88">
        <v>0</v>
      </c>
      <c r="BB27" s="88" t="s">
        <v>0</v>
      </c>
    </row>
    <row r="28" spans="1:54">
      <c r="A28" s="88">
        <v>28</v>
      </c>
      <c r="B28" s="88">
        <v>28</v>
      </c>
      <c r="C28" s="88"/>
      <c r="D28" s="88" t="s">
        <v>451</v>
      </c>
      <c r="E28" s="88">
        <v>0</v>
      </c>
      <c r="F28" s="88">
        <v>1153</v>
      </c>
      <c r="G28" s="88">
        <v>1</v>
      </c>
      <c r="H28" s="88">
        <v>2</v>
      </c>
      <c r="I28" s="88">
        <v>2</v>
      </c>
      <c r="J28" s="88">
        <v>0</v>
      </c>
      <c r="K28" s="88">
        <v>0</v>
      </c>
      <c r="L28" s="88">
        <v>1</v>
      </c>
      <c r="M28" s="88">
        <v>7</v>
      </c>
      <c r="N28" s="88">
        <v>34</v>
      </c>
      <c r="O28" s="88">
        <v>1</v>
      </c>
      <c r="P28" s="88">
        <v>1</v>
      </c>
      <c r="Q28" s="88">
        <v>1</v>
      </c>
      <c r="R28" s="88">
        <v>20</v>
      </c>
      <c r="S28" s="88">
        <v>10</v>
      </c>
      <c r="T28" s="88">
        <v>0</v>
      </c>
      <c r="U28" s="88">
        <v>0</v>
      </c>
      <c r="V28" s="88">
        <v>0</v>
      </c>
      <c r="W28" s="88">
        <v>0</v>
      </c>
      <c r="X28" s="88">
        <v>20</v>
      </c>
      <c r="Y28" s="88">
        <v>0</v>
      </c>
      <c r="Z28" s="88">
        <v>10</v>
      </c>
      <c r="AA28" s="88">
        <v>0</v>
      </c>
      <c r="AB28" s="88">
        <v>1</v>
      </c>
      <c r="AC28" s="88">
        <v>0</v>
      </c>
      <c r="AD28" s="88">
        <v>0</v>
      </c>
      <c r="AE28" s="88" t="s">
        <v>1133</v>
      </c>
      <c r="AF28" s="88">
        <v>0</v>
      </c>
      <c r="AG28" s="88">
        <v>0</v>
      </c>
      <c r="AH28" s="88" t="s">
        <v>1133</v>
      </c>
      <c r="AI28" s="88" t="s">
        <v>1133</v>
      </c>
      <c r="AJ28" s="88" t="s">
        <v>1133</v>
      </c>
      <c r="AK28" s="88">
        <v>2</v>
      </c>
      <c r="AL28" s="88">
        <v>20</v>
      </c>
      <c r="AM28" s="88">
        <v>9</v>
      </c>
      <c r="AN28" s="88">
        <v>0</v>
      </c>
      <c r="AO28" s="88">
        <v>1</v>
      </c>
      <c r="AP28" s="88" t="s">
        <v>1134</v>
      </c>
      <c r="AQ28" s="88" t="s">
        <v>1133</v>
      </c>
      <c r="AR28" s="88">
        <v>0</v>
      </c>
      <c r="AS28" s="88"/>
      <c r="AT28" s="88"/>
      <c r="AU28" s="88">
        <v>0</v>
      </c>
      <c r="AV28" s="88" t="s">
        <v>1133</v>
      </c>
      <c r="AW28" s="88" t="s">
        <v>1133</v>
      </c>
      <c r="AX28" s="88">
        <v>0</v>
      </c>
      <c r="AY28" s="88">
        <v>0</v>
      </c>
      <c r="AZ28" s="88">
        <v>0</v>
      </c>
      <c r="BA28" s="88">
        <v>0</v>
      </c>
      <c r="BB28" s="88" t="s">
        <v>0</v>
      </c>
    </row>
    <row r="29" spans="1:54">
      <c r="A29" s="88">
        <v>29</v>
      </c>
      <c r="B29" s="88">
        <v>29</v>
      </c>
      <c r="C29" s="88"/>
      <c r="D29" s="88" t="s">
        <v>1118</v>
      </c>
      <c r="E29" s="88">
        <v>0</v>
      </c>
      <c r="F29" s="88">
        <v>1153</v>
      </c>
      <c r="G29" s="88">
        <v>1</v>
      </c>
      <c r="H29" s="88">
        <v>2</v>
      </c>
      <c r="I29" s="88">
        <v>2</v>
      </c>
      <c r="J29" s="88">
        <v>0</v>
      </c>
      <c r="K29" s="88">
        <v>0</v>
      </c>
      <c r="L29" s="88">
        <v>1</v>
      </c>
      <c r="M29" s="88">
        <v>10</v>
      </c>
      <c r="N29" s="88">
        <v>34</v>
      </c>
      <c r="O29" s="88">
        <v>1</v>
      </c>
      <c r="P29" s="88">
        <v>1</v>
      </c>
      <c r="Q29" s="88">
        <v>1</v>
      </c>
      <c r="R29" s="88">
        <v>20</v>
      </c>
      <c r="S29" s="88">
        <v>10</v>
      </c>
      <c r="T29" s="88">
        <v>0</v>
      </c>
      <c r="U29" s="88">
        <v>0</v>
      </c>
      <c r="V29" s="88">
        <v>0</v>
      </c>
      <c r="W29" s="88">
        <v>0</v>
      </c>
      <c r="X29" s="88">
        <v>20</v>
      </c>
      <c r="Y29" s="88">
        <v>0</v>
      </c>
      <c r="Z29" s="88">
        <v>10</v>
      </c>
      <c r="AA29" s="88">
        <v>0</v>
      </c>
      <c r="AB29" s="88">
        <v>1</v>
      </c>
      <c r="AC29" s="88">
        <v>0</v>
      </c>
      <c r="AD29" s="88">
        <v>0</v>
      </c>
      <c r="AE29" s="88" t="s">
        <v>1133</v>
      </c>
      <c r="AF29" s="88">
        <v>0</v>
      </c>
      <c r="AG29" s="88">
        <v>0</v>
      </c>
      <c r="AH29" s="88" t="s">
        <v>1133</v>
      </c>
      <c r="AI29" s="88" t="s">
        <v>1133</v>
      </c>
      <c r="AJ29" s="88" t="s">
        <v>1133</v>
      </c>
      <c r="AK29" s="88">
        <v>2</v>
      </c>
      <c r="AL29" s="88">
        <v>20</v>
      </c>
      <c r="AM29" s="88">
        <v>9</v>
      </c>
      <c r="AN29" s="88">
        <v>0</v>
      </c>
      <c r="AO29" s="88">
        <v>1</v>
      </c>
      <c r="AP29" s="88" t="s">
        <v>1134</v>
      </c>
      <c r="AQ29" s="88" t="s">
        <v>1133</v>
      </c>
      <c r="AR29" s="88">
        <v>0</v>
      </c>
      <c r="AS29" s="88"/>
      <c r="AT29" s="88"/>
      <c r="AU29" s="88">
        <v>0</v>
      </c>
      <c r="AV29" s="88" t="s">
        <v>1133</v>
      </c>
      <c r="AW29" s="88" t="s">
        <v>1133</v>
      </c>
      <c r="AX29" s="88">
        <v>0</v>
      </c>
      <c r="AY29" s="88">
        <v>0</v>
      </c>
      <c r="AZ29" s="88">
        <v>0</v>
      </c>
      <c r="BA29" s="88">
        <v>0</v>
      </c>
      <c r="BB29" s="88" t="s">
        <v>0</v>
      </c>
    </row>
    <row r="30" spans="1:54">
      <c r="A30" s="88">
        <v>30</v>
      </c>
      <c r="B30" s="88">
        <v>30</v>
      </c>
      <c r="C30" s="88"/>
      <c r="D30" s="88" t="s">
        <v>452</v>
      </c>
      <c r="E30" s="88">
        <v>0</v>
      </c>
      <c r="F30" s="88">
        <v>1153</v>
      </c>
      <c r="G30" s="88">
        <v>1</v>
      </c>
      <c r="H30" s="88">
        <v>2</v>
      </c>
      <c r="I30" s="88">
        <v>2</v>
      </c>
      <c r="J30" s="88">
        <v>0</v>
      </c>
      <c r="K30" s="88">
        <v>0</v>
      </c>
      <c r="L30" s="88">
        <v>1</v>
      </c>
      <c r="M30" s="88">
        <v>14</v>
      </c>
      <c r="N30" s="88">
        <v>34</v>
      </c>
      <c r="O30" s="88">
        <v>1</v>
      </c>
      <c r="P30" s="88">
        <v>1</v>
      </c>
      <c r="Q30" s="88">
        <v>1</v>
      </c>
      <c r="R30" s="88">
        <v>20</v>
      </c>
      <c r="S30" s="88">
        <v>10</v>
      </c>
      <c r="T30" s="88">
        <v>0</v>
      </c>
      <c r="U30" s="88">
        <v>0</v>
      </c>
      <c r="V30" s="88">
        <v>0</v>
      </c>
      <c r="W30" s="88">
        <v>0</v>
      </c>
      <c r="X30" s="88">
        <v>20</v>
      </c>
      <c r="Y30" s="88">
        <v>0</v>
      </c>
      <c r="Z30" s="88">
        <v>10</v>
      </c>
      <c r="AA30" s="88">
        <v>0</v>
      </c>
      <c r="AB30" s="88">
        <v>1</v>
      </c>
      <c r="AC30" s="88">
        <v>0</v>
      </c>
      <c r="AD30" s="88">
        <v>0</v>
      </c>
      <c r="AE30" s="88" t="s">
        <v>1133</v>
      </c>
      <c r="AF30" s="88">
        <v>0</v>
      </c>
      <c r="AG30" s="88">
        <v>0</v>
      </c>
      <c r="AH30" s="88" t="s">
        <v>1133</v>
      </c>
      <c r="AI30" s="88" t="s">
        <v>1133</v>
      </c>
      <c r="AJ30" s="88" t="s">
        <v>1133</v>
      </c>
      <c r="AK30" s="88">
        <v>2</v>
      </c>
      <c r="AL30" s="88">
        <v>20</v>
      </c>
      <c r="AM30" s="88">
        <v>9</v>
      </c>
      <c r="AN30" s="88">
        <v>0</v>
      </c>
      <c r="AO30" s="88">
        <v>1</v>
      </c>
      <c r="AP30" s="88" t="s">
        <v>1134</v>
      </c>
      <c r="AQ30" s="88" t="s">
        <v>1133</v>
      </c>
      <c r="AR30" s="88">
        <v>0</v>
      </c>
      <c r="AS30" s="88"/>
      <c r="AT30" s="88"/>
      <c r="AU30" s="88">
        <v>0</v>
      </c>
      <c r="AV30" s="88" t="s">
        <v>1133</v>
      </c>
      <c r="AW30" s="88" t="s">
        <v>1133</v>
      </c>
      <c r="AX30" s="88">
        <v>0</v>
      </c>
      <c r="AY30" s="88">
        <v>0</v>
      </c>
      <c r="AZ30" s="88">
        <v>0</v>
      </c>
      <c r="BA30" s="88">
        <v>0</v>
      </c>
      <c r="BB30" s="88" t="s">
        <v>0</v>
      </c>
    </row>
    <row r="31" spans="1:54">
      <c r="A31" s="88">
        <v>31</v>
      </c>
      <c r="B31" s="88">
        <v>31</v>
      </c>
      <c r="C31" s="88"/>
      <c r="D31" s="88" t="s">
        <v>1121</v>
      </c>
      <c r="E31" s="88">
        <v>0</v>
      </c>
      <c r="F31" s="88">
        <v>1153</v>
      </c>
      <c r="G31" s="88">
        <v>1</v>
      </c>
      <c r="H31" s="88">
        <v>2</v>
      </c>
      <c r="I31" s="88">
        <v>2</v>
      </c>
      <c r="J31" s="88">
        <v>0</v>
      </c>
      <c r="K31" s="88">
        <v>0</v>
      </c>
      <c r="L31" s="88">
        <v>1</v>
      </c>
      <c r="M31" s="88">
        <v>16</v>
      </c>
      <c r="N31" s="88">
        <v>34</v>
      </c>
      <c r="O31" s="88">
        <v>1</v>
      </c>
      <c r="P31" s="88">
        <v>1</v>
      </c>
      <c r="Q31" s="88">
        <v>1</v>
      </c>
      <c r="R31" s="88">
        <v>20</v>
      </c>
      <c r="S31" s="88">
        <v>10</v>
      </c>
      <c r="T31" s="88">
        <v>0</v>
      </c>
      <c r="U31" s="88">
        <v>0</v>
      </c>
      <c r="V31" s="88">
        <v>0</v>
      </c>
      <c r="W31" s="88">
        <v>0</v>
      </c>
      <c r="X31" s="88">
        <v>20</v>
      </c>
      <c r="Y31" s="88">
        <v>0</v>
      </c>
      <c r="Z31" s="88">
        <v>10</v>
      </c>
      <c r="AA31" s="88">
        <v>0</v>
      </c>
      <c r="AB31" s="88">
        <v>1</v>
      </c>
      <c r="AC31" s="88">
        <v>0</v>
      </c>
      <c r="AD31" s="88">
        <v>0</v>
      </c>
      <c r="AE31" s="88" t="s">
        <v>1133</v>
      </c>
      <c r="AF31" s="88">
        <v>0</v>
      </c>
      <c r="AG31" s="88">
        <v>0</v>
      </c>
      <c r="AH31" s="88" t="s">
        <v>1133</v>
      </c>
      <c r="AI31" s="88" t="s">
        <v>1133</v>
      </c>
      <c r="AJ31" s="88" t="s">
        <v>1133</v>
      </c>
      <c r="AK31" s="88">
        <v>2</v>
      </c>
      <c r="AL31" s="88">
        <v>20</v>
      </c>
      <c r="AM31" s="88">
        <v>9</v>
      </c>
      <c r="AN31" s="88">
        <v>0</v>
      </c>
      <c r="AO31" s="88">
        <v>1</v>
      </c>
      <c r="AP31" s="88" t="s">
        <v>1134</v>
      </c>
      <c r="AQ31" s="88" t="s">
        <v>1133</v>
      </c>
      <c r="AR31" s="88">
        <v>0</v>
      </c>
      <c r="AS31" s="88"/>
      <c r="AT31" s="88"/>
      <c r="AU31" s="88">
        <v>0</v>
      </c>
      <c r="AV31" s="88" t="s">
        <v>1133</v>
      </c>
      <c r="AW31" s="88" t="s">
        <v>1133</v>
      </c>
      <c r="AX31" s="88">
        <v>0</v>
      </c>
      <c r="AY31" s="88">
        <v>0</v>
      </c>
      <c r="AZ31" s="88">
        <v>0</v>
      </c>
      <c r="BA31" s="88">
        <v>0</v>
      </c>
      <c r="BB31" s="88" t="s">
        <v>0</v>
      </c>
    </row>
    <row r="32" spans="1:54">
      <c r="A32" s="88">
        <v>32</v>
      </c>
      <c r="B32" s="88">
        <v>32</v>
      </c>
      <c r="C32" s="88"/>
      <c r="D32" s="88" t="s">
        <v>1124</v>
      </c>
      <c r="E32" s="88">
        <v>0</v>
      </c>
      <c r="F32" s="88">
        <v>1153</v>
      </c>
      <c r="G32" s="88">
        <v>1</v>
      </c>
      <c r="H32" s="88">
        <v>2</v>
      </c>
      <c r="I32" s="88">
        <v>2</v>
      </c>
      <c r="J32" s="88">
        <v>0</v>
      </c>
      <c r="K32" s="88">
        <v>0</v>
      </c>
      <c r="L32" s="88">
        <v>1</v>
      </c>
      <c r="M32" s="88">
        <v>20</v>
      </c>
      <c r="N32" s="88">
        <v>34</v>
      </c>
      <c r="O32" s="88">
        <v>1</v>
      </c>
      <c r="P32" s="88">
        <v>1</v>
      </c>
      <c r="Q32" s="88">
        <v>1</v>
      </c>
      <c r="R32" s="88">
        <v>20</v>
      </c>
      <c r="S32" s="88">
        <v>10</v>
      </c>
      <c r="T32" s="88">
        <v>0</v>
      </c>
      <c r="U32" s="88">
        <v>0</v>
      </c>
      <c r="V32" s="88">
        <v>0</v>
      </c>
      <c r="W32" s="88">
        <v>0</v>
      </c>
      <c r="X32" s="88">
        <v>20</v>
      </c>
      <c r="Y32" s="88">
        <v>0</v>
      </c>
      <c r="Z32" s="88">
        <v>10</v>
      </c>
      <c r="AA32" s="88">
        <v>0</v>
      </c>
      <c r="AB32" s="88">
        <v>1</v>
      </c>
      <c r="AC32" s="88">
        <v>0</v>
      </c>
      <c r="AD32" s="88">
        <v>0</v>
      </c>
      <c r="AE32" s="88" t="s">
        <v>1133</v>
      </c>
      <c r="AF32" s="88">
        <v>0</v>
      </c>
      <c r="AG32" s="88">
        <v>0</v>
      </c>
      <c r="AH32" s="88" t="s">
        <v>1133</v>
      </c>
      <c r="AI32" s="88" t="s">
        <v>1133</v>
      </c>
      <c r="AJ32" s="88" t="s">
        <v>1133</v>
      </c>
      <c r="AK32" s="88">
        <v>2</v>
      </c>
      <c r="AL32" s="88">
        <v>20</v>
      </c>
      <c r="AM32" s="88">
        <v>9</v>
      </c>
      <c r="AN32" s="88">
        <v>0</v>
      </c>
      <c r="AO32" s="88">
        <v>1</v>
      </c>
      <c r="AP32" s="88" t="s">
        <v>1134</v>
      </c>
      <c r="AQ32" s="88" t="s">
        <v>1133</v>
      </c>
      <c r="AR32" s="88">
        <v>0</v>
      </c>
      <c r="AS32" s="88"/>
      <c r="AT32" s="88"/>
      <c r="AU32" s="88">
        <v>0</v>
      </c>
      <c r="AV32" s="88" t="s">
        <v>1133</v>
      </c>
      <c r="AW32" s="88" t="s">
        <v>1133</v>
      </c>
      <c r="AX32" s="88">
        <v>0</v>
      </c>
      <c r="AY32" s="88">
        <v>0</v>
      </c>
      <c r="AZ32" s="88">
        <v>0</v>
      </c>
      <c r="BA32" s="88">
        <v>0</v>
      </c>
      <c r="BB32" s="88" t="s">
        <v>0</v>
      </c>
    </row>
    <row r="33" spans="1:54">
      <c r="A33" s="88">
        <v>33</v>
      </c>
      <c r="B33" s="88">
        <v>33</v>
      </c>
      <c r="C33" s="88"/>
      <c r="D33" s="88" t="s">
        <v>1127</v>
      </c>
      <c r="E33" s="88">
        <v>0</v>
      </c>
      <c r="F33" s="88">
        <v>1153</v>
      </c>
      <c r="G33" s="88">
        <v>1</v>
      </c>
      <c r="H33" s="88">
        <v>2</v>
      </c>
      <c r="I33" s="88">
        <v>2</v>
      </c>
      <c r="J33" s="88">
        <v>0</v>
      </c>
      <c r="K33" s="88">
        <v>0</v>
      </c>
      <c r="L33" s="88">
        <v>1</v>
      </c>
      <c r="M33" s="88">
        <v>30</v>
      </c>
      <c r="N33" s="88">
        <v>34</v>
      </c>
      <c r="O33" s="88">
        <v>1</v>
      </c>
      <c r="P33" s="88">
        <v>1</v>
      </c>
      <c r="Q33" s="88">
        <v>1</v>
      </c>
      <c r="R33" s="88">
        <v>20</v>
      </c>
      <c r="S33" s="88">
        <v>10</v>
      </c>
      <c r="T33" s="88">
        <v>0</v>
      </c>
      <c r="U33" s="88">
        <v>0</v>
      </c>
      <c r="V33" s="88">
        <v>0</v>
      </c>
      <c r="W33" s="88">
        <v>0</v>
      </c>
      <c r="X33" s="88">
        <v>20</v>
      </c>
      <c r="Y33" s="88">
        <v>0</v>
      </c>
      <c r="Z33" s="88">
        <v>10</v>
      </c>
      <c r="AA33" s="88">
        <v>0</v>
      </c>
      <c r="AB33" s="88">
        <v>1</v>
      </c>
      <c r="AC33" s="88">
        <v>0</v>
      </c>
      <c r="AD33" s="88">
        <v>0</v>
      </c>
      <c r="AE33" s="88" t="s">
        <v>1133</v>
      </c>
      <c r="AF33" s="88">
        <v>0</v>
      </c>
      <c r="AG33" s="88">
        <v>0</v>
      </c>
      <c r="AH33" s="88" t="s">
        <v>1133</v>
      </c>
      <c r="AI33" s="88" t="s">
        <v>1133</v>
      </c>
      <c r="AJ33" s="88" t="s">
        <v>1133</v>
      </c>
      <c r="AK33" s="88">
        <v>2</v>
      </c>
      <c r="AL33" s="88">
        <v>20</v>
      </c>
      <c r="AM33" s="88">
        <v>9</v>
      </c>
      <c r="AN33" s="88">
        <v>0</v>
      </c>
      <c r="AO33" s="88">
        <v>1</v>
      </c>
      <c r="AP33" s="88" t="s">
        <v>1134</v>
      </c>
      <c r="AQ33" s="88" t="s">
        <v>1133</v>
      </c>
      <c r="AR33" s="88">
        <v>0</v>
      </c>
      <c r="AS33" s="88"/>
      <c r="AT33" s="88"/>
      <c r="AU33" s="88">
        <v>0</v>
      </c>
      <c r="AV33" s="88" t="s">
        <v>1133</v>
      </c>
      <c r="AW33" s="88" t="s">
        <v>1133</v>
      </c>
      <c r="AX33" s="88">
        <v>0</v>
      </c>
      <c r="AY33" s="88">
        <v>0</v>
      </c>
      <c r="AZ33" s="88">
        <v>0</v>
      </c>
      <c r="BA33" s="88">
        <v>0</v>
      </c>
      <c r="BB33" s="88" t="s">
        <v>0</v>
      </c>
    </row>
    <row r="34" spans="1:54">
      <c r="A34" s="88">
        <v>34</v>
      </c>
      <c r="B34" s="88">
        <v>34</v>
      </c>
      <c r="C34" s="88"/>
      <c r="D34" s="88" t="s">
        <v>453</v>
      </c>
      <c r="E34" s="88">
        <v>0</v>
      </c>
      <c r="F34" s="88">
        <v>1153</v>
      </c>
      <c r="G34" s="88">
        <v>1</v>
      </c>
      <c r="H34" s="88">
        <v>2</v>
      </c>
      <c r="I34" s="88">
        <v>2</v>
      </c>
      <c r="J34" s="88">
        <v>0</v>
      </c>
      <c r="K34" s="88">
        <v>0</v>
      </c>
      <c r="L34" s="88">
        <v>1</v>
      </c>
      <c r="M34" s="88">
        <v>40</v>
      </c>
      <c r="N34" s="88">
        <v>34</v>
      </c>
      <c r="O34" s="88">
        <v>1</v>
      </c>
      <c r="P34" s="88">
        <v>1</v>
      </c>
      <c r="Q34" s="88">
        <v>1</v>
      </c>
      <c r="R34" s="88">
        <v>20</v>
      </c>
      <c r="S34" s="88">
        <v>10</v>
      </c>
      <c r="T34" s="88">
        <v>0</v>
      </c>
      <c r="U34" s="88">
        <v>0</v>
      </c>
      <c r="V34" s="88">
        <v>0</v>
      </c>
      <c r="W34" s="88">
        <v>0</v>
      </c>
      <c r="X34" s="88">
        <v>20</v>
      </c>
      <c r="Y34" s="88">
        <v>0</v>
      </c>
      <c r="Z34" s="88">
        <v>10</v>
      </c>
      <c r="AA34" s="88">
        <v>0</v>
      </c>
      <c r="AB34" s="88">
        <v>1</v>
      </c>
      <c r="AC34" s="88">
        <v>0</v>
      </c>
      <c r="AD34" s="88">
        <v>0</v>
      </c>
      <c r="AE34" s="88" t="s">
        <v>1133</v>
      </c>
      <c r="AF34" s="88">
        <v>0</v>
      </c>
      <c r="AG34" s="88">
        <v>0</v>
      </c>
      <c r="AH34" s="88" t="s">
        <v>1133</v>
      </c>
      <c r="AI34" s="88" t="s">
        <v>1133</v>
      </c>
      <c r="AJ34" s="88" t="s">
        <v>1133</v>
      </c>
      <c r="AK34" s="88">
        <v>2</v>
      </c>
      <c r="AL34" s="88">
        <v>20</v>
      </c>
      <c r="AM34" s="88">
        <v>9</v>
      </c>
      <c r="AN34" s="88">
        <v>0</v>
      </c>
      <c r="AO34" s="88">
        <v>1</v>
      </c>
      <c r="AP34" s="88" t="s">
        <v>1134</v>
      </c>
      <c r="AQ34" s="88" t="s">
        <v>1133</v>
      </c>
      <c r="AR34" s="88">
        <v>0</v>
      </c>
      <c r="AS34" s="88"/>
      <c r="AT34" s="88"/>
      <c r="AU34" s="88">
        <v>0</v>
      </c>
      <c r="AV34" s="88" t="s">
        <v>1133</v>
      </c>
      <c r="AW34" s="88" t="s">
        <v>1133</v>
      </c>
      <c r="AX34" s="88">
        <v>0</v>
      </c>
      <c r="AY34" s="88">
        <v>0</v>
      </c>
      <c r="AZ34" s="88">
        <v>0</v>
      </c>
      <c r="BA34" s="88">
        <v>0</v>
      </c>
      <c r="BB34" s="88" t="s">
        <v>0</v>
      </c>
    </row>
    <row r="35" spans="1:54">
      <c r="A35" s="88">
        <v>35</v>
      </c>
      <c r="B35" s="88">
        <v>35</v>
      </c>
      <c r="C35" s="88"/>
      <c r="D35" s="88" t="s">
        <v>454</v>
      </c>
      <c r="E35" s="88">
        <v>0</v>
      </c>
      <c r="F35" s="88">
        <v>1153</v>
      </c>
      <c r="G35" s="88">
        <v>1</v>
      </c>
      <c r="H35" s="88">
        <v>2</v>
      </c>
      <c r="I35" s="88">
        <v>2</v>
      </c>
      <c r="J35" s="88">
        <v>0</v>
      </c>
      <c r="K35" s="88">
        <v>0</v>
      </c>
      <c r="L35" s="88">
        <v>1</v>
      </c>
      <c r="M35" s="88">
        <v>50</v>
      </c>
      <c r="N35" s="88">
        <v>34</v>
      </c>
      <c r="O35" s="88">
        <v>1</v>
      </c>
      <c r="P35" s="88">
        <v>1</v>
      </c>
      <c r="Q35" s="88">
        <v>1</v>
      </c>
      <c r="R35" s="88">
        <v>20</v>
      </c>
      <c r="S35" s="88">
        <v>10</v>
      </c>
      <c r="T35" s="88">
        <v>0</v>
      </c>
      <c r="U35" s="88">
        <v>0</v>
      </c>
      <c r="V35" s="88">
        <v>0</v>
      </c>
      <c r="W35" s="88">
        <v>0</v>
      </c>
      <c r="X35" s="88">
        <v>20</v>
      </c>
      <c r="Y35" s="88">
        <v>0</v>
      </c>
      <c r="Z35" s="88">
        <v>10</v>
      </c>
      <c r="AA35" s="88">
        <v>0</v>
      </c>
      <c r="AB35" s="88">
        <v>1</v>
      </c>
      <c r="AC35" s="88">
        <v>0</v>
      </c>
      <c r="AD35" s="88">
        <v>0</v>
      </c>
      <c r="AE35" s="88" t="s">
        <v>1133</v>
      </c>
      <c r="AF35" s="88">
        <v>0</v>
      </c>
      <c r="AG35" s="88">
        <v>0</v>
      </c>
      <c r="AH35" s="88" t="s">
        <v>1133</v>
      </c>
      <c r="AI35" s="88" t="s">
        <v>1133</v>
      </c>
      <c r="AJ35" s="88" t="s">
        <v>1133</v>
      </c>
      <c r="AK35" s="88">
        <v>2</v>
      </c>
      <c r="AL35" s="88">
        <v>20</v>
      </c>
      <c r="AM35" s="88">
        <v>9</v>
      </c>
      <c r="AN35" s="88">
        <v>0</v>
      </c>
      <c r="AO35" s="88">
        <v>1</v>
      </c>
      <c r="AP35" s="88" t="s">
        <v>1134</v>
      </c>
      <c r="AQ35" s="88" t="s">
        <v>1133</v>
      </c>
      <c r="AR35" s="88">
        <v>0</v>
      </c>
      <c r="AS35" s="88"/>
      <c r="AT35" s="88"/>
      <c r="AU35" s="88">
        <v>0</v>
      </c>
      <c r="AV35" s="88" t="s">
        <v>1133</v>
      </c>
      <c r="AW35" s="88" t="s">
        <v>1133</v>
      </c>
      <c r="AX35" s="88">
        <v>0</v>
      </c>
      <c r="AY35" s="88">
        <v>0</v>
      </c>
      <c r="AZ35" s="88">
        <v>0</v>
      </c>
      <c r="BA35" s="88">
        <v>0</v>
      </c>
      <c r="BB35" s="88" t="s">
        <v>0</v>
      </c>
    </row>
    <row r="36" spans="1:54">
      <c r="A36" s="88">
        <v>36</v>
      </c>
      <c r="B36" s="88">
        <v>36</v>
      </c>
      <c r="C36" s="88"/>
      <c r="D36" s="88" t="s">
        <v>455</v>
      </c>
      <c r="E36" s="88">
        <v>0</v>
      </c>
      <c r="F36" s="88">
        <v>1153</v>
      </c>
      <c r="G36" s="88">
        <v>1</v>
      </c>
      <c r="H36" s="88">
        <v>2</v>
      </c>
      <c r="I36" s="88">
        <v>2</v>
      </c>
      <c r="J36" s="88">
        <v>0</v>
      </c>
      <c r="K36" s="88">
        <v>0</v>
      </c>
      <c r="L36" s="88">
        <v>1</v>
      </c>
      <c r="M36" s="88">
        <v>80</v>
      </c>
      <c r="N36" s="88">
        <v>34</v>
      </c>
      <c r="O36" s="88">
        <v>1</v>
      </c>
      <c r="P36" s="88">
        <v>1</v>
      </c>
      <c r="Q36" s="88">
        <v>1</v>
      </c>
      <c r="R36" s="88">
        <v>20</v>
      </c>
      <c r="S36" s="88">
        <v>10</v>
      </c>
      <c r="T36" s="88">
        <v>0</v>
      </c>
      <c r="U36" s="88">
        <v>0</v>
      </c>
      <c r="V36" s="88">
        <v>0</v>
      </c>
      <c r="W36" s="88">
        <v>0</v>
      </c>
      <c r="X36" s="88">
        <v>20</v>
      </c>
      <c r="Y36" s="88">
        <v>0</v>
      </c>
      <c r="Z36" s="88">
        <v>10</v>
      </c>
      <c r="AA36" s="88">
        <v>0</v>
      </c>
      <c r="AB36" s="88">
        <v>1</v>
      </c>
      <c r="AC36" s="88">
        <v>0</v>
      </c>
      <c r="AD36" s="88">
        <v>0</v>
      </c>
      <c r="AE36" s="88" t="s">
        <v>1133</v>
      </c>
      <c r="AF36" s="88">
        <v>0</v>
      </c>
      <c r="AG36" s="88">
        <v>0</v>
      </c>
      <c r="AH36" s="88" t="s">
        <v>1133</v>
      </c>
      <c r="AI36" s="88" t="s">
        <v>1133</v>
      </c>
      <c r="AJ36" s="88" t="s">
        <v>1133</v>
      </c>
      <c r="AK36" s="88">
        <v>2</v>
      </c>
      <c r="AL36" s="88">
        <v>20</v>
      </c>
      <c r="AM36" s="88">
        <v>9</v>
      </c>
      <c r="AN36" s="88">
        <v>0</v>
      </c>
      <c r="AO36" s="88">
        <v>1</v>
      </c>
      <c r="AP36" s="88" t="s">
        <v>1134</v>
      </c>
      <c r="AQ36" s="88" t="s">
        <v>1133</v>
      </c>
      <c r="AR36" s="88">
        <v>0</v>
      </c>
      <c r="AS36" s="88"/>
      <c r="AT36" s="88"/>
      <c r="AU36" s="88">
        <v>0</v>
      </c>
      <c r="AV36" s="88" t="s">
        <v>1133</v>
      </c>
      <c r="AW36" s="88" t="s">
        <v>1133</v>
      </c>
      <c r="AX36" s="88">
        <v>0</v>
      </c>
      <c r="AY36" s="88">
        <v>0</v>
      </c>
      <c r="AZ36" s="88">
        <v>0</v>
      </c>
      <c r="BA36" s="88">
        <v>0</v>
      </c>
      <c r="BB36" s="88" t="s">
        <v>0</v>
      </c>
    </row>
    <row r="37" spans="1:54">
      <c r="A37" s="88">
        <v>37</v>
      </c>
      <c r="B37" s="88">
        <v>37</v>
      </c>
      <c r="C37" s="88"/>
      <c r="D37" s="88" t="s">
        <v>456</v>
      </c>
      <c r="E37" s="88">
        <v>0</v>
      </c>
      <c r="F37" s="88">
        <v>1153</v>
      </c>
      <c r="G37" s="88">
        <v>1</v>
      </c>
      <c r="H37" s="88">
        <v>2</v>
      </c>
      <c r="I37" s="88">
        <v>2</v>
      </c>
      <c r="J37" s="88">
        <v>0</v>
      </c>
      <c r="K37" s="88">
        <v>0</v>
      </c>
      <c r="L37" s="88">
        <v>1</v>
      </c>
      <c r="M37" s="88">
        <v>600</v>
      </c>
      <c r="N37" s="88">
        <v>34</v>
      </c>
      <c r="O37" s="88">
        <v>1</v>
      </c>
      <c r="P37" s="88">
        <v>1</v>
      </c>
      <c r="Q37" s="88">
        <v>1</v>
      </c>
      <c r="R37" s="88">
        <v>20</v>
      </c>
      <c r="S37" s="88">
        <v>10</v>
      </c>
      <c r="T37" s="88">
        <v>0</v>
      </c>
      <c r="U37" s="88">
        <v>0</v>
      </c>
      <c r="V37" s="88">
        <v>0</v>
      </c>
      <c r="W37" s="88">
        <v>0</v>
      </c>
      <c r="X37" s="88">
        <v>20</v>
      </c>
      <c r="Y37" s="88">
        <v>0</v>
      </c>
      <c r="Z37" s="88">
        <v>10</v>
      </c>
      <c r="AA37" s="88">
        <v>0</v>
      </c>
      <c r="AB37" s="88">
        <v>1</v>
      </c>
      <c r="AC37" s="88">
        <v>0</v>
      </c>
      <c r="AD37" s="88">
        <v>0</v>
      </c>
      <c r="AE37" s="88" t="s">
        <v>1133</v>
      </c>
      <c r="AF37" s="88">
        <v>0</v>
      </c>
      <c r="AG37" s="88">
        <v>0</v>
      </c>
      <c r="AH37" s="88" t="s">
        <v>1133</v>
      </c>
      <c r="AI37" s="88" t="s">
        <v>1133</v>
      </c>
      <c r="AJ37" s="88" t="s">
        <v>1133</v>
      </c>
      <c r="AK37" s="88">
        <v>2</v>
      </c>
      <c r="AL37" s="88">
        <v>20</v>
      </c>
      <c r="AM37" s="88">
        <v>9</v>
      </c>
      <c r="AN37" s="88">
        <v>0</v>
      </c>
      <c r="AO37" s="88">
        <v>1</v>
      </c>
      <c r="AP37" s="88" t="s">
        <v>1134</v>
      </c>
      <c r="AQ37" s="88" t="s">
        <v>1133</v>
      </c>
      <c r="AR37" s="88">
        <v>0</v>
      </c>
      <c r="AS37" s="88"/>
      <c r="AT37" s="88"/>
      <c r="AU37" s="88">
        <v>0</v>
      </c>
      <c r="AV37" s="88" t="s">
        <v>1133</v>
      </c>
      <c r="AW37" s="88" t="s">
        <v>1133</v>
      </c>
      <c r="AX37" s="88">
        <v>0</v>
      </c>
      <c r="AY37" s="88">
        <v>0</v>
      </c>
      <c r="AZ37" s="88">
        <v>0</v>
      </c>
      <c r="BA37" s="88">
        <v>0</v>
      </c>
      <c r="BB37" s="88" t="s">
        <v>0</v>
      </c>
    </row>
    <row r="38" spans="1:54">
      <c r="A38" s="88">
        <v>38</v>
      </c>
      <c r="B38" s="88">
        <v>38</v>
      </c>
      <c r="C38" s="88"/>
      <c r="D38" s="88" t="s">
        <v>457</v>
      </c>
      <c r="E38" s="88">
        <v>0</v>
      </c>
      <c r="F38" s="88">
        <v>1153</v>
      </c>
      <c r="G38" s="88">
        <v>1</v>
      </c>
      <c r="H38" s="88">
        <v>2</v>
      </c>
      <c r="I38" s="88">
        <v>2</v>
      </c>
      <c r="J38" s="88">
        <v>0</v>
      </c>
      <c r="K38" s="88">
        <v>0</v>
      </c>
      <c r="L38" s="88">
        <v>1</v>
      </c>
      <c r="M38" s="88">
        <v>800</v>
      </c>
      <c r="N38" s="88">
        <v>34</v>
      </c>
      <c r="O38" s="88">
        <v>1</v>
      </c>
      <c r="P38" s="88">
        <v>1</v>
      </c>
      <c r="Q38" s="88">
        <v>1</v>
      </c>
      <c r="R38" s="88">
        <v>20</v>
      </c>
      <c r="S38" s="88">
        <v>10</v>
      </c>
      <c r="T38" s="88">
        <v>0</v>
      </c>
      <c r="U38" s="88">
        <v>0</v>
      </c>
      <c r="V38" s="88">
        <v>0</v>
      </c>
      <c r="W38" s="88">
        <v>0</v>
      </c>
      <c r="X38" s="88">
        <v>20</v>
      </c>
      <c r="Y38" s="88">
        <v>0</v>
      </c>
      <c r="Z38" s="88">
        <v>10</v>
      </c>
      <c r="AA38" s="88">
        <v>0</v>
      </c>
      <c r="AB38" s="88">
        <v>1</v>
      </c>
      <c r="AC38" s="88">
        <v>0</v>
      </c>
      <c r="AD38" s="88">
        <v>0</v>
      </c>
      <c r="AE38" s="88" t="s">
        <v>1133</v>
      </c>
      <c r="AF38" s="88">
        <v>0</v>
      </c>
      <c r="AG38" s="88">
        <v>0</v>
      </c>
      <c r="AH38" s="88" t="s">
        <v>1133</v>
      </c>
      <c r="AI38" s="88" t="s">
        <v>1133</v>
      </c>
      <c r="AJ38" s="88" t="s">
        <v>1133</v>
      </c>
      <c r="AK38" s="88">
        <v>2</v>
      </c>
      <c r="AL38" s="88">
        <v>20</v>
      </c>
      <c r="AM38" s="88">
        <v>9</v>
      </c>
      <c r="AN38" s="88">
        <v>0</v>
      </c>
      <c r="AO38" s="88">
        <v>1</v>
      </c>
      <c r="AP38" s="88" t="s">
        <v>1134</v>
      </c>
      <c r="AQ38" s="88" t="s">
        <v>1133</v>
      </c>
      <c r="AR38" s="88">
        <v>0</v>
      </c>
      <c r="AS38" s="88"/>
      <c r="AT38" s="88"/>
      <c r="AU38" s="88">
        <v>0</v>
      </c>
      <c r="AV38" s="88" t="s">
        <v>1133</v>
      </c>
      <c r="AW38" s="88" t="s">
        <v>1133</v>
      </c>
      <c r="AX38" s="88">
        <v>0</v>
      </c>
      <c r="AY38" s="88">
        <v>0</v>
      </c>
      <c r="AZ38" s="88">
        <v>0</v>
      </c>
      <c r="BA38" s="88">
        <v>0</v>
      </c>
      <c r="BB38" s="88" t="s">
        <v>0</v>
      </c>
    </row>
    <row r="39" spans="1:54">
      <c r="A39" s="88">
        <v>39</v>
      </c>
      <c r="B39" s="88">
        <v>39</v>
      </c>
      <c r="C39" s="88"/>
      <c r="D39" s="88" t="s">
        <v>458</v>
      </c>
      <c r="E39" s="88">
        <v>0</v>
      </c>
      <c r="F39" s="88">
        <v>1153</v>
      </c>
      <c r="G39" s="88">
        <v>1</v>
      </c>
      <c r="H39" s="88">
        <v>2</v>
      </c>
      <c r="I39" s="88">
        <v>2</v>
      </c>
      <c r="J39" s="88">
        <v>0</v>
      </c>
      <c r="K39" s="88">
        <v>0</v>
      </c>
      <c r="L39" s="88">
        <v>1</v>
      </c>
      <c r="M39" s="88">
        <v>960</v>
      </c>
      <c r="N39" s="88">
        <v>34</v>
      </c>
      <c r="O39" s="88">
        <v>1</v>
      </c>
      <c r="P39" s="88">
        <v>1</v>
      </c>
      <c r="Q39" s="88">
        <v>1</v>
      </c>
      <c r="R39" s="88">
        <v>20</v>
      </c>
      <c r="S39" s="88">
        <v>10</v>
      </c>
      <c r="T39" s="88">
        <v>0</v>
      </c>
      <c r="U39" s="88">
        <v>0</v>
      </c>
      <c r="V39" s="88">
        <v>0</v>
      </c>
      <c r="W39" s="88">
        <v>0</v>
      </c>
      <c r="X39" s="88">
        <v>20</v>
      </c>
      <c r="Y39" s="88">
        <v>0</v>
      </c>
      <c r="Z39" s="88">
        <v>10</v>
      </c>
      <c r="AA39" s="88">
        <v>0</v>
      </c>
      <c r="AB39" s="88">
        <v>1</v>
      </c>
      <c r="AC39" s="88">
        <v>0</v>
      </c>
      <c r="AD39" s="88">
        <v>0</v>
      </c>
      <c r="AE39" s="88" t="s">
        <v>1133</v>
      </c>
      <c r="AF39" s="88">
        <v>0</v>
      </c>
      <c r="AG39" s="88">
        <v>0</v>
      </c>
      <c r="AH39" s="88" t="s">
        <v>1133</v>
      </c>
      <c r="AI39" s="88" t="s">
        <v>1133</v>
      </c>
      <c r="AJ39" s="88" t="s">
        <v>1133</v>
      </c>
      <c r="AK39" s="88">
        <v>2</v>
      </c>
      <c r="AL39" s="88">
        <v>20</v>
      </c>
      <c r="AM39" s="88">
        <v>9</v>
      </c>
      <c r="AN39" s="88">
        <v>0</v>
      </c>
      <c r="AO39" s="88">
        <v>1</v>
      </c>
      <c r="AP39" s="88" t="s">
        <v>1134</v>
      </c>
      <c r="AQ39" s="88" t="s">
        <v>1133</v>
      </c>
      <c r="AR39" s="88">
        <v>0</v>
      </c>
      <c r="AS39" s="88"/>
      <c r="AT39" s="88"/>
      <c r="AU39" s="88">
        <v>0</v>
      </c>
      <c r="AV39" s="88" t="s">
        <v>1133</v>
      </c>
      <c r="AW39" s="88" t="s">
        <v>1133</v>
      </c>
      <c r="AX39" s="88">
        <v>0</v>
      </c>
      <c r="AY39" s="88">
        <v>0</v>
      </c>
      <c r="AZ39" s="88">
        <v>0</v>
      </c>
      <c r="BA39" s="88">
        <v>0</v>
      </c>
      <c r="BB39" s="88" t="s">
        <v>0</v>
      </c>
    </row>
    <row r="40" spans="1:54">
      <c r="A40" s="88">
        <v>40</v>
      </c>
      <c r="B40" s="88">
        <v>40</v>
      </c>
      <c r="C40" s="88"/>
      <c r="D40" s="88" t="s">
        <v>459</v>
      </c>
      <c r="E40" s="88">
        <v>0</v>
      </c>
      <c r="F40" s="88">
        <v>1153</v>
      </c>
      <c r="G40" s="88">
        <v>1</v>
      </c>
      <c r="H40" s="88">
        <v>2</v>
      </c>
      <c r="I40" s="88">
        <v>2</v>
      </c>
      <c r="J40" s="88">
        <v>0</v>
      </c>
      <c r="K40" s="88">
        <v>0</v>
      </c>
      <c r="L40" s="88">
        <v>1</v>
      </c>
      <c r="M40" s="88">
        <v>1280</v>
      </c>
      <c r="N40" s="88">
        <v>34</v>
      </c>
      <c r="O40" s="88">
        <v>1</v>
      </c>
      <c r="P40" s="88">
        <v>1</v>
      </c>
      <c r="Q40" s="88">
        <v>1</v>
      </c>
      <c r="R40" s="88">
        <v>20</v>
      </c>
      <c r="S40" s="88">
        <v>10</v>
      </c>
      <c r="T40" s="88">
        <v>0</v>
      </c>
      <c r="U40" s="88">
        <v>0</v>
      </c>
      <c r="V40" s="88">
        <v>0</v>
      </c>
      <c r="W40" s="88">
        <v>0</v>
      </c>
      <c r="X40" s="88">
        <v>20</v>
      </c>
      <c r="Y40" s="88">
        <v>0</v>
      </c>
      <c r="Z40" s="88">
        <v>10</v>
      </c>
      <c r="AA40" s="88">
        <v>0</v>
      </c>
      <c r="AB40" s="88">
        <v>1</v>
      </c>
      <c r="AC40" s="88">
        <v>0</v>
      </c>
      <c r="AD40" s="88">
        <v>0</v>
      </c>
      <c r="AE40" s="88" t="s">
        <v>1133</v>
      </c>
      <c r="AF40" s="88">
        <v>0</v>
      </c>
      <c r="AG40" s="88">
        <v>0</v>
      </c>
      <c r="AH40" s="88" t="s">
        <v>1133</v>
      </c>
      <c r="AI40" s="88" t="s">
        <v>1133</v>
      </c>
      <c r="AJ40" s="88" t="s">
        <v>1133</v>
      </c>
      <c r="AK40" s="88">
        <v>2</v>
      </c>
      <c r="AL40" s="88">
        <v>20</v>
      </c>
      <c r="AM40" s="88">
        <v>9</v>
      </c>
      <c r="AN40" s="88">
        <v>0</v>
      </c>
      <c r="AO40" s="88">
        <v>1</v>
      </c>
      <c r="AP40" s="88" t="s">
        <v>1134</v>
      </c>
      <c r="AQ40" s="88" t="s">
        <v>1133</v>
      </c>
      <c r="AR40" s="88">
        <v>0</v>
      </c>
      <c r="AS40" s="88"/>
      <c r="AT40" s="88"/>
      <c r="AU40" s="88">
        <v>0</v>
      </c>
      <c r="AV40" s="88" t="s">
        <v>1133</v>
      </c>
      <c r="AW40" s="88" t="s">
        <v>1133</v>
      </c>
      <c r="AX40" s="88">
        <v>0</v>
      </c>
      <c r="AY40" s="88">
        <v>0</v>
      </c>
      <c r="AZ40" s="88">
        <v>0</v>
      </c>
      <c r="BA40" s="88">
        <v>0</v>
      </c>
      <c r="BB40" s="88" t="s">
        <v>0</v>
      </c>
    </row>
    <row r="41" spans="1:54">
      <c r="A41" s="88">
        <v>41</v>
      </c>
      <c r="B41" s="88">
        <v>41</v>
      </c>
      <c r="C41" s="88"/>
      <c r="D41" s="88" t="s">
        <v>412</v>
      </c>
      <c r="E41" s="88">
        <v>0</v>
      </c>
      <c r="F41" s="88">
        <v>1150</v>
      </c>
      <c r="G41" s="88">
        <v>1</v>
      </c>
      <c r="H41" s="88">
        <v>2</v>
      </c>
      <c r="I41" s="88">
        <v>2</v>
      </c>
      <c r="J41" s="88">
        <v>0</v>
      </c>
      <c r="K41" s="88">
        <v>0</v>
      </c>
      <c r="L41" s="88">
        <v>1</v>
      </c>
      <c r="M41" s="88">
        <v>2</v>
      </c>
      <c r="N41" s="88">
        <v>34</v>
      </c>
      <c r="O41" s="88">
        <v>1</v>
      </c>
      <c r="P41" s="88">
        <v>1</v>
      </c>
      <c r="Q41" s="88">
        <v>1</v>
      </c>
      <c r="R41" s="88">
        <v>20</v>
      </c>
      <c r="S41" s="88">
        <v>10</v>
      </c>
      <c r="T41" s="88">
        <v>0</v>
      </c>
      <c r="U41" s="88">
        <v>0</v>
      </c>
      <c r="V41" s="88">
        <v>0</v>
      </c>
      <c r="W41" s="88">
        <v>0</v>
      </c>
      <c r="X41" s="88">
        <v>20</v>
      </c>
      <c r="Y41" s="88">
        <v>0</v>
      </c>
      <c r="Z41" s="88">
        <v>10</v>
      </c>
      <c r="AA41" s="88">
        <v>0</v>
      </c>
      <c r="AB41" s="88">
        <v>1</v>
      </c>
      <c r="AC41" s="88">
        <v>0</v>
      </c>
      <c r="AD41" s="88">
        <v>0</v>
      </c>
      <c r="AE41" s="88" t="s">
        <v>1133</v>
      </c>
      <c r="AF41" s="88">
        <v>0</v>
      </c>
      <c r="AG41" s="88">
        <v>0</v>
      </c>
      <c r="AH41" s="88" t="s">
        <v>1133</v>
      </c>
      <c r="AI41" s="88" t="s">
        <v>1133</v>
      </c>
      <c r="AJ41" s="88" t="s">
        <v>1133</v>
      </c>
      <c r="AK41" s="88">
        <v>2</v>
      </c>
      <c r="AL41" s="88">
        <v>20</v>
      </c>
      <c r="AM41" s="88">
        <v>9</v>
      </c>
      <c r="AN41" s="88">
        <v>0</v>
      </c>
      <c r="AO41" s="88">
        <v>1</v>
      </c>
      <c r="AP41" s="88" t="s">
        <v>1134</v>
      </c>
      <c r="AQ41" s="88" t="s">
        <v>1133</v>
      </c>
      <c r="AR41" s="88">
        <v>0</v>
      </c>
      <c r="AS41" s="88"/>
      <c r="AT41" s="88"/>
      <c r="AU41" s="88">
        <v>0</v>
      </c>
      <c r="AV41" s="88" t="s">
        <v>1133</v>
      </c>
      <c r="AW41" s="88" t="s">
        <v>1133</v>
      </c>
      <c r="AX41" s="88">
        <v>0</v>
      </c>
      <c r="AY41" s="88">
        <v>0</v>
      </c>
      <c r="AZ41" s="88">
        <v>0</v>
      </c>
      <c r="BA41" s="88">
        <v>0</v>
      </c>
      <c r="BB41" s="88" t="s">
        <v>0</v>
      </c>
    </row>
    <row r="42" spans="1:54">
      <c r="A42" s="88">
        <v>42</v>
      </c>
      <c r="B42" s="88">
        <v>42</v>
      </c>
      <c r="C42" s="88"/>
      <c r="D42" s="88" t="s">
        <v>413</v>
      </c>
      <c r="E42" s="88">
        <v>0</v>
      </c>
      <c r="F42" s="88">
        <v>1150</v>
      </c>
      <c r="G42" s="88">
        <v>1</v>
      </c>
      <c r="H42" s="88">
        <v>2</v>
      </c>
      <c r="I42" s="88">
        <v>2</v>
      </c>
      <c r="J42" s="88">
        <v>0</v>
      </c>
      <c r="K42" s="88">
        <v>0</v>
      </c>
      <c r="L42" s="88">
        <v>1</v>
      </c>
      <c r="M42" s="88">
        <v>5</v>
      </c>
      <c r="N42" s="88">
        <v>34</v>
      </c>
      <c r="O42" s="88">
        <v>1</v>
      </c>
      <c r="P42" s="88">
        <v>1</v>
      </c>
      <c r="Q42" s="88">
        <v>1</v>
      </c>
      <c r="R42" s="88">
        <v>20</v>
      </c>
      <c r="S42" s="88">
        <v>10</v>
      </c>
      <c r="T42" s="88">
        <v>0</v>
      </c>
      <c r="U42" s="88">
        <v>0</v>
      </c>
      <c r="V42" s="88">
        <v>0</v>
      </c>
      <c r="W42" s="88">
        <v>0</v>
      </c>
      <c r="X42" s="88">
        <v>20</v>
      </c>
      <c r="Y42" s="88">
        <v>0</v>
      </c>
      <c r="Z42" s="88">
        <v>10</v>
      </c>
      <c r="AA42" s="88">
        <v>0</v>
      </c>
      <c r="AB42" s="88">
        <v>1</v>
      </c>
      <c r="AC42" s="88">
        <v>0</v>
      </c>
      <c r="AD42" s="88">
        <v>0</v>
      </c>
      <c r="AE42" s="88" t="s">
        <v>1133</v>
      </c>
      <c r="AF42" s="88">
        <v>0</v>
      </c>
      <c r="AG42" s="88">
        <v>0</v>
      </c>
      <c r="AH42" s="88" t="s">
        <v>1133</v>
      </c>
      <c r="AI42" s="88" t="s">
        <v>1133</v>
      </c>
      <c r="AJ42" s="88" t="s">
        <v>1133</v>
      </c>
      <c r="AK42" s="88">
        <v>2</v>
      </c>
      <c r="AL42" s="88">
        <v>20</v>
      </c>
      <c r="AM42" s="88">
        <v>9</v>
      </c>
      <c r="AN42" s="88">
        <v>0</v>
      </c>
      <c r="AO42" s="88">
        <v>1</v>
      </c>
      <c r="AP42" s="88" t="s">
        <v>1134</v>
      </c>
      <c r="AQ42" s="88" t="s">
        <v>1133</v>
      </c>
      <c r="AR42" s="88">
        <v>0</v>
      </c>
      <c r="AS42" s="88"/>
      <c r="AT42" s="88"/>
      <c r="AU42" s="88">
        <v>0</v>
      </c>
      <c r="AV42" s="88" t="s">
        <v>1133</v>
      </c>
      <c r="AW42" s="88" t="s">
        <v>1133</v>
      </c>
      <c r="AX42" s="88">
        <v>0</v>
      </c>
      <c r="AY42" s="88">
        <v>0</v>
      </c>
      <c r="AZ42" s="88">
        <v>0</v>
      </c>
      <c r="BA42" s="88">
        <v>0</v>
      </c>
      <c r="BB42" s="88" t="s">
        <v>0</v>
      </c>
    </row>
    <row r="43" spans="1:54">
      <c r="A43" s="88">
        <v>43</v>
      </c>
      <c r="B43" s="88">
        <v>43</v>
      </c>
      <c r="C43" s="88"/>
      <c r="D43" s="88" t="s">
        <v>414</v>
      </c>
      <c r="E43" s="88">
        <v>0</v>
      </c>
      <c r="F43" s="88">
        <v>1150</v>
      </c>
      <c r="G43" s="88">
        <v>1</v>
      </c>
      <c r="H43" s="88">
        <v>2</v>
      </c>
      <c r="I43" s="88">
        <v>2</v>
      </c>
      <c r="J43" s="88">
        <v>0</v>
      </c>
      <c r="K43" s="88">
        <v>0</v>
      </c>
      <c r="L43" s="88">
        <v>1</v>
      </c>
      <c r="M43" s="88">
        <v>7</v>
      </c>
      <c r="N43" s="88">
        <v>34</v>
      </c>
      <c r="O43" s="88">
        <v>1</v>
      </c>
      <c r="P43" s="88">
        <v>1</v>
      </c>
      <c r="Q43" s="88">
        <v>1</v>
      </c>
      <c r="R43" s="88">
        <v>20</v>
      </c>
      <c r="S43" s="88">
        <v>10</v>
      </c>
      <c r="T43" s="88">
        <v>0</v>
      </c>
      <c r="U43" s="88">
        <v>0</v>
      </c>
      <c r="V43" s="88">
        <v>0</v>
      </c>
      <c r="W43" s="88">
        <v>0</v>
      </c>
      <c r="X43" s="88">
        <v>20</v>
      </c>
      <c r="Y43" s="88">
        <v>0</v>
      </c>
      <c r="Z43" s="88">
        <v>10</v>
      </c>
      <c r="AA43" s="88">
        <v>0</v>
      </c>
      <c r="AB43" s="88">
        <v>1</v>
      </c>
      <c r="AC43" s="88">
        <v>0</v>
      </c>
      <c r="AD43" s="88">
        <v>0</v>
      </c>
      <c r="AE43" s="88" t="s">
        <v>1133</v>
      </c>
      <c r="AF43" s="88">
        <v>0</v>
      </c>
      <c r="AG43" s="88">
        <v>0</v>
      </c>
      <c r="AH43" s="88" t="s">
        <v>1133</v>
      </c>
      <c r="AI43" s="88" t="s">
        <v>1133</v>
      </c>
      <c r="AJ43" s="88" t="s">
        <v>1133</v>
      </c>
      <c r="AK43" s="88">
        <v>2</v>
      </c>
      <c r="AL43" s="88">
        <v>20</v>
      </c>
      <c r="AM43" s="88">
        <v>9</v>
      </c>
      <c r="AN43" s="88">
        <v>0</v>
      </c>
      <c r="AO43" s="88">
        <v>1</v>
      </c>
      <c r="AP43" s="88" t="s">
        <v>1134</v>
      </c>
      <c r="AQ43" s="88" t="s">
        <v>1133</v>
      </c>
      <c r="AR43" s="88">
        <v>0</v>
      </c>
      <c r="AS43" s="88"/>
      <c r="AT43" s="88"/>
      <c r="AU43" s="88">
        <v>0</v>
      </c>
      <c r="AV43" s="88" t="s">
        <v>1133</v>
      </c>
      <c r="AW43" s="88" t="s">
        <v>1133</v>
      </c>
      <c r="AX43" s="88">
        <v>0</v>
      </c>
      <c r="AY43" s="88">
        <v>0</v>
      </c>
      <c r="AZ43" s="88">
        <v>0</v>
      </c>
      <c r="BA43" s="88">
        <v>0</v>
      </c>
      <c r="BB43" s="88" t="s">
        <v>0</v>
      </c>
    </row>
    <row r="44" spans="1:54">
      <c r="A44" s="88">
        <v>44</v>
      </c>
      <c r="B44" s="88">
        <v>44</v>
      </c>
      <c r="C44" s="88"/>
      <c r="D44" s="88" t="s">
        <v>415</v>
      </c>
      <c r="E44" s="88">
        <v>0</v>
      </c>
      <c r="F44" s="88">
        <v>1150</v>
      </c>
      <c r="G44" s="88">
        <v>1</v>
      </c>
      <c r="H44" s="88">
        <v>2</v>
      </c>
      <c r="I44" s="88">
        <v>2</v>
      </c>
      <c r="J44" s="88">
        <v>0</v>
      </c>
      <c r="K44" s="88">
        <v>0</v>
      </c>
      <c r="L44" s="88">
        <v>1</v>
      </c>
      <c r="M44" s="88">
        <v>10</v>
      </c>
      <c r="N44" s="88">
        <v>34</v>
      </c>
      <c r="O44" s="88">
        <v>1</v>
      </c>
      <c r="P44" s="88">
        <v>1</v>
      </c>
      <c r="Q44" s="88">
        <v>1</v>
      </c>
      <c r="R44" s="88">
        <v>20</v>
      </c>
      <c r="S44" s="88">
        <v>10</v>
      </c>
      <c r="T44" s="88">
        <v>0</v>
      </c>
      <c r="U44" s="88">
        <v>0</v>
      </c>
      <c r="V44" s="88">
        <v>0</v>
      </c>
      <c r="W44" s="88">
        <v>0</v>
      </c>
      <c r="X44" s="88">
        <v>20</v>
      </c>
      <c r="Y44" s="88">
        <v>0</v>
      </c>
      <c r="Z44" s="88">
        <v>10</v>
      </c>
      <c r="AA44" s="88">
        <v>0</v>
      </c>
      <c r="AB44" s="88">
        <v>1</v>
      </c>
      <c r="AC44" s="88">
        <v>0</v>
      </c>
      <c r="AD44" s="88">
        <v>0</v>
      </c>
      <c r="AE44" s="88" t="s">
        <v>1133</v>
      </c>
      <c r="AF44" s="88">
        <v>0</v>
      </c>
      <c r="AG44" s="88">
        <v>0</v>
      </c>
      <c r="AH44" s="88" t="s">
        <v>1133</v>
      </c>
      <c r="AI44" s="88" t="s">
        <v>1133</v>
      </c>
      <c r="AJ44" s="88" t="s">
        <v>1133</v>
      </c>
      <c r="AK44" s="88">
        <v>2</v>
      </c>
      <c r="AL44" s="88">
        <v>20</v>
      </c>
      <c r="AM44" s="88">
        <v>9</v>
      </c>
      <c r="AN44" s="88">
        <v>0</v>
      </c>
      <c r="AO44" s="88">
        <v>1</v>
      </c>
      <c r="AP44" s="88" t="s">
        <v>1134</v>
      </c>
      <c r="AQ44" s="88" t="s">
        <v>1133</v>
      </c>
      <c r="AR44" s="88">
        <v>0</v>
      </c>
      <c r="AS44" s="88"/>
      <c r="AT44" s="88"/>
      <c r="AU44" s="88">
        <v>0</v>
      </c>
      <c r="AV44" s="88" t="s">
        <v>1133</v>
      </c>
      <c r="AW44" s="88" t="s">
        <v>1133</v>
      </c>
      <c r="AX44" s="88">
        <v>0</v>
      </c>
      <c r="AY44" s="88">
        <v>0</v>
      </c>
      <c r="AZ44" s="88">
        <v>0</v>
      </c>
      <c r="BA44" s="88">
        <v>0</v>
      </c>
      <c r="BB44" s="88" t="s">
        <v>0</v>
      </c>
    </row>
    <row r="45" spans="1:54">
      <c r="A45" s="88">
        <v>45</v>
      </c>
      <c r="B45" s="88">
        <v>45</v>
      </c>
      <c r="C45" s="88"/>
      <c r="D45" s="88" t="s">
        <v>416</v>
      </c>
      <c r="E45" s="88">
        <v>0</v>
      </c>
      <c r="F45" s="88">
        <v>1150</v>
      </c>
      <c r="G45" s="88">
        <v>1</v>
      </c>
      <c r="H45" s="88">
        <v>2</v>
      </c>
      <c r="I45" s="88">
        <v>2</v>
      </c>
      <c r="J45" s="88">
        <v>0</v>
      </c>
      <c r="K45" s="88">
        <v>0</v>
      </c>
      <c r="L45" s="88">
        <v>1</v>
      </c>
      <c r="M45" s="88">
        <v>14</v>
      </c>
      <c r="N45" s="88">
        <v>34</v>
      </c>
      <c r="O45" s="88">
        <v>1</v>
      </c>
      <c r="P45" s="88">
        <v>1</v>
      </c>
      <c r="Q45" s="88">
        <v>1</v>
      </c>
      <c r="R45" s="88">
        <v>20</v>
      </c>
      <c r="S45" s="88">
        <v>10</v>
      </c>
      <c r="T45" s="88">
        <v>0</v>
      </c>
      <c r="U45" s="88">
        <v>0</v>
      </c>
      <c r="V45" s="88">
        <v>0</v>
      </c>
      <c r="W45" s="88">
        <v>0</v>
      </c>
      <c r="X45" s="88">
        <v>20</v>
      </c>
      <c r="Y45" s="88">
        <v>0</v>
      </c>
      <c r="Z45" s="88">
        <v>10</v>
      </c>
      <c r="AA45" s="88">
        <v>0</v>
      </c>
      <c r="AB45" s="88">
        <v>1</v>
      </c>
      <c r="AC45" s="88">
        <v>0</v>
      </c>
      <c r="AD45" s="88">
        <v>0</v>
      </c>
      <c r="AE45" s="88" t="s">
        <v>1133</v>
      </c>
      <c r="AF45" s="88">
        <v>0</v>
      </c>
      <c r="AG45" s="88">
        <v>0</v>
      </c>
      <c r="AH45" s="88" t="s">
        <v>1133</v>
      </c>
      <c r="AI45" s="88" t="s">
        <v>1133</v>
      </c>
      <c r="AJ45" s="88" t="s">
        <v>1133</v>
      </c>
      <c r="AK45" s="88">
        <v>2</v>
      </c>
      <c r="AL45" s="88">
        <v>20</v>
      </c>
      <c r="AM45" s="88">
        <v>9</v>
      </c>
      <c r="AN45" s="88">
        <v>0</v>
      </c>
      <c r="AO45" s="88">
        <v>1</v>
      </c>
      <c r="AP45" s="88" t="s">
        <v>1134</v>
      </c>
      <c r="AQ45" s="88" t="s">
        <v>1133</v>
      </c>
      <c r="AR45" s="88">
        <v>0</v>
      </c>
      <c r="AS45" s="88"/>
      <c r="AT45" s="88"/>
      <c r="AU45" s="88">
        <v>0</v>
      </c>
      <c r="AV45" s="88" t="s">
        <v>1133</v>
      </c>
      <c r="AW45" s="88" t="s">
        <v>1133</v>
      </c>
      <c r="AX45" s="88">
        <v>0</v>
      </c>
      <c r="AY45" s="88">
        <v>0</v>
      </c>
      <c r="AZ45" s="88">
        <v>0</v>
      </c>
      <c r="BA45" s="88">
        <v>0</v>
      </c>
      <c r="BB45" s="88" t="s">
        <v>0</v>
      </c>
    </row>
    <row r="46" spans="1:54">
      <c r="A46" s="88">
        <v>46</v>
      </c>
      <c r="B46" s="88">
        <v>46</v>
      </c>
      <c r="C46" s="88"/>
      <c r="D46" s="88" t="s">
        <v>417</v>
      </c>
      <c r="E46" s="88">
        <v>0</v>
      </c>
      <c r="F46" s="88">
        <v>1150</v>
      </c>
      <c r="G46" s="88">
        <v>1</v>
      </c>
      <c r="H46" s="88">
        <v>2</v>
      </c>
      <c r="I46" s="88">
        <v>2</v>
      </c>
      <c r="J46" s="88">
        <v>0</v>
      </c>
      <c r="K46" s="88">
        <v>0</v>
      </c>
      <c r="L46" s="88">
        <v>1</v>
      </c>
      <c r="M46" s="88">
        <v>16</v>
      </c>
      <c r="N46" s="88">
        <v>34</v>
      </c>
      <c r="O46" s="88">
        <v>1</v>
      </c>
      <c r="P46" s="88">
        <v>1</v>
      </c>
      <c r="Q46" s="88">
        <v>1</v>
      </c>
      <c r="R46" s="88">
        <v>20</v>
      </c>
      <c r="S46" s="88">
        <v>10</v>
      </c>
      <c r="T46" s="88">
        <v>0</v>
      </c>
      <c r="U46" s="88">
        <v>0</v>
      </c>
      <c r="V46" s="88">
        <v>0</v>
      </c>
      <c r="W46" s="88">
        <v>0</v>
      </c>
      <c r="X46" s="88">
        <v>20</v>
      </c>
      <c r="Y46" s="88">
        <v>0</v>
      </c>
      <c r="Z46" s="88">
        <v>10</v>
      </c>
      <c r="AA46" s="88">
        <v>0</v>
      </c>
      <c r="AB46" s="88">
        <v>1</v>
      </c>
      <c r="AC46" s="88">
        <v>0</v>
      </c>
      <c r="AD46" s="88">
        <v>0</v>
      </c>
      <c r="AE46" s="88" t="s">
        <v>1133</v>
      </c>
      <c r="AF46" s="88">
        <v>0</v>
      </c>
      <c r="AG46" s="88">
        <v>0</v>
      </c>
      <c r="AH46" s="88" t="s">
        <v>1133</v>
      </c>
      <c r="AI46" s="88" t="s">
        <v>1133</v>
      </c>
      <c r="AJ46" s="88" t="s">
        <v>1133</v>
      </c>
      <c r="AK46" s="88">
        <v>2</v>
      </c>
      <c r="AL46" s="88">
        <v>20</v>
      </c>
      <c r="AM46" s="88">
        <v>9</v>
      </c>
      <c r="AN46" s="88">
        <v>0</v>
      </c>
      <c r="AO46" s="88">
        <v>1</v>
      </c>
      <c r="AP46" s="88" t="s">
        <v>1134</v>
      </c>
      <c r="AQ46" s="88" t="s">
        <v>1133</v>
      </c>
      <c r="AR46" s="88">
        <v>0</v>
      </c>
      <c r="AS46" s="88"/>
      <c r="AT46" s="88"/>
      <c r="AU46" s="88">
        <v>0</v>
      </c>
      <c r="AV46" s="88" t="s">
        <v>1133</v>
      </c>
      <c r="AW46" s="88" t="s">
        <v>1133</v>
      </c>
      <c r="AX46" s="88">
        <v>0</v>
      </c>
      <c r="AY46" s="88">
        <v>0</v>
      </c>
      <c r="AZ46" s="88">
        <v>0</v>
      </c>
      <c r="BA46" s="88">
        <v>0</v>
      </c>
      <c r="BB46" s="88" t="s">
        <v>0</v>
      </c>
    </row>
    <row r="47" spans="1:54">
      <c r="A47" s="88">
        <v>47</v>
      </c>
      <c r="B47" s="88">
        <v>47</v>
      </c>
      <c r="C47" s="88"/>
      <c r="D47" s="88" t="s">
        <v>418</v>
      </c>
      <c r="E47" s="88">
        <v>0</v>
      </c>
      <c r="F47" s="88">
        <v>1150</v>
      </c>
      <c r="G47" s="88">
        <v>1</v>
      </c>
      <c r="H47" s="88">
        <v>2</v>
      </c>
      <c r="I47" s="88">
        <v>2</v>
      </c>
      <c r="J47" s="88">
        <v>0</v>
      </c>
      <c r="K47" s="88">
        <v>0</v>
      </c>
      <c r="L47" s="88">
        <v>1</v>
      </c>
      <c r="M47" s="88">
        <v>20</v>
      </c>
      <c r="N47" s="88">
        <v>34</v>
      </c>
      <c r="O47" s="88">
        <v>1</v>
      </c>
      <c r="P47" s="88">
        <v>1</v>
      </c>
      <c r="Q47" s="88">
        <v>1</v>
      </c>
      <c r="R47" s="88">
        <v>20</v>
      </c>
      <c r="S47" s="88">
        <v>10</v>
      </c>
      <c r="T47" s="88">
        <v>0</v>
      </c>
      <c r="U47" s="88">
        <v>0</v>
      </c>
      <c r="V47" s="88">
        <v>0</v>
      </c>
      <c r="W47" s="88">
        <v>0</v>
      </c>
      <c r="X47" s="88">
        <v>20</v>
      </c>
      <c r="Y47" s="88">
        <v>0</v>
      </c>
      <c r="Z47" s="88">
        <v>10</v>
      </c>
      <c r="AA47" s="88">
        <v>0</v>
      </c>
      <c r="AB47" s="88">
        <v>1</v>
      </c>
      <c r="AC47" s="88">
        <v>0</v>
      </c>
      <c r="AD47" s="88">
        <v>0</v>
      </c>
      <c r="AE47" s="88" t="s">
        <v>1133</v>
      </c>
      <c r="AF47" s="88">
        <v>0</v>
      </c>
      <c r="AG47" s="88">
        <v>0</v>
      </c>
      <c r="AH47" s="88" t="s">
        <v>1133</v>
      </c>
      <c r="AI47" s="88" t="s">
        <v>1133</v>
      </c>
      <c r="AJ47" s="88" t="s">
        <v>1133</v>
      </c>
      <c r="AK47" s="88">
        <v>2</v>
      </c>
      <c r="AL47" s="88">
        <v>20</v>
      </c>
      <c r="AM47" s="88">
        <v>9</v>
      </c>
      <c r="AN47" s="88">
        <v>0</v>
      </c>
      <c r="AO47" s="88">
        <v>1</v>
      </c>
      <c r="AP47" s="88" t="s">
        <v>1134</v>
      </c>
      <c r="AQ47" s="88" t="s">
        <v>1133</v>
      </c>
      <c r="AR47" s="88">
        <v>0</v>
      </c>
      <c r="AS47" s="88"/>
      <c r="AT47" s="88"/>
      <c r="AU47" s="88">
        <v>0</v>
      </c>
      <c r="AV47" s="88" t="s">
        <v>1133</v>
      </c>
      <c r="AW47" s="88" t="s">
        <v>1133</v>
      </c>
      <c r="AX47" s="88">
        <v>0</v>
      </c>
      <c r="AY47" s="88">
        <v>0</v>
      </c>
      <c r="AZ47" s="88">
        <v>0</v>
      </c>
      <c r="BA47" s="88">
        <v>0</v>
      </c>
      <c r="BB47" s="88" t="s">
        <v>0</v>
      </c>
    </row>
    <row r="48" spans="1:54">
      <c r="A48" s="88">
        <v>48</v>
      </c>
      <c r="B48" s="88">
        <v>48</v>
      </c>
      <c r="C48" s="88"/>
      <c r="D48" s="88" t="s">
        <v>419</v>
      </c>
      <c r="E48" s="88">
        <v>0</v>
      </c>
      <c r="F48" s="88">
        <v>1150</v>
      </c>
      <c r="G48" s="88">
        <v>1</v>
      </c>
      <c r="H48" s="88">
        <v>2</v>
      </c>
      <c r="I48" s="88">
        <v>2</v>
      </c>
      <c r="J48" s="88">
        <v>0</v>
      </c>
      <c r="K48" s="88">
        <v>0</v>
      </c>
      <c r="L48" s="88">
        <v>1</v>
      </c>
      <c r="M48" s="88">
        <v>25</v>
      </c>
      <c r="N48" s="88">
        <v>34</v>
      </c>
      <c r="O48" s="88">
        <v>1</v>
      </c>
      <c r="P48" s="88">
        <v>1</v>
      </c>
      <c r="Q48" s="88">
        <v>1</v>
      </c>
      <c r="R48" s="88">
        <v>20</v>
      </c>
      <c r="S48" s="88">
        <v>10</v>
      </c>
      <c r="T48" s="88">
        <v>0</v>
      </c>
      <c r="U48" s="88">
        <v>0</v>
      </c>
      <c r="V48" s="88">
        <v>0</v>
      </c>
      <c r="W48" s="88">
        <v>0</v>
      </c>
      <c r="X48" s="88">
        <v>20</v>
      </c>
      <c r="Y48" s="88">
        <v>0</v>
      </c>
      <c r="Z48" s="88">
        <v>10</v>
      </c>
      <c r="AA48" s="88">
        <v>0</v>
      </c>
      <c r="AB48" s="88">
        <v>1</v>
      </c>
      <c r="AC48" s="88">
        <v>0</v>
      </c>
      <c r="AD48" s="88">
        <v>0</v>
      </c>
      <c r="AE48" s="88" t="s">
        <v>1133</v>
      </c>
      <c r="AF48" s="88">
        <v>0</v>
      </c>
      <c r="AG48" s="88">
        <v>0</v>
      </c>
      <c r="AH48" s="88" t="s">
        <v>1133</v>
      </c>
      <c r="AI48" s="88" t="s">
        <v>1133</v>
      </c>
      <c r="AJ48" s="88" t="s">
        <v>1133</v>
      </c>
      <c r="AK48" s="88">
        <v>2</v>
      </c>
      <c r="AL48" s="88">
        <v>20</v>
      </c>
      <c r="AM48" s="88">
        <v>9</v>
      </c>
      <c r="AN48" s="88">
        <v>0</v>
      </c>
      <c r="AO48" s="88">
        <v>1</v>
      </c>
      <c r="AP48" s="88" t="s">
        <v>1134</v>
      </c>
      <c r="AQ48" s="88" t="s">
        <v>1133</v>
      </c>
      <c r="AR48" s="88">
        <v>0</v>
      </c>
      <c r="AS48" s="88"/>
      <c r="AT48" s="88"/>
      <c r="AU48" s="88">
        <v>0</v>
      </c>
      <c r="AV48" s="88" t="s">
        <v>1133</v>
      </c>
      <c r="AW48" s="88" t="s">
        <v>1133</v>
      </c>
      <c r="AX48" s="88">
        <v>0</v>
      </c>
      <c r="AY48" s="88">
        <v>0</v>
      </c>
      <c r="AZ48" s="88">
        <v>0</v>
      </c>
      <c r="BA48" s="88">
        <v>0</v>
      </c>
      <c r="BB48" s="88" t="s">
        <v>0</v>
      </c>
    </row>
    <row r="49" spans="1:54">
      <c r="A49" s="88">
        <v>49</v>
      </c>
      <c r="B49" s="88">
        <v>49</v>
      </c>
      <c r="C49" s="88"/>
      <c r="D49" s="88" t="s">
        <v>420</v>
      </c>
      <c r="E49" s="88">
        <v>0</v>
      </c>
      <c r="F49" s="88">
        <v>1150</v>
      </c>
      <c r="G49" s="88">
        <v>1</v>
      </c>
      <c r="H49" s="88">
        <v>2</v>
      </c>
      <c r="I49" s="88">
        <v>2</v>
      </c>
      <c r="J49" s="88">
        <v>0</v>
      </c>
      <c r="K49" s="88">
        <v>0</v>
      </c>
      <c r="L49" s="88">
        <v>1</v>
      </c>
      <c r="M49" s="88">
        <v>30</v>
      </c>
      <c r="N49" s="88">
        <v>34</v>
      </c>
      <c r="O49" s="88">
        <v>1</v>
      </c>
      <c r="P49" s="88">
        <v>1</v>
      </c>
      <c r="Q49" s="88">
        <v>1</v>
      </c>
      <c r="R49" s="88">
        <v>20</v>
      </c>
      <c r="S49" s="88">
        <v>10</v>
      </c>
      <c r="T49" s="88">
        <v>0</v>
      </c>
      <c r="U49" s="88">
        <v>0</v>
      </c>
      <c r="V49" s="88">
        <v>0</v>
      </c>
      <c r="W49" s="88">
        <v>0</v>
      </c>
      <c r="X49" s="88">
        <v>20</v>
      </c>
      <c r="Y49" s="88">
        <v>0</v>
      </c>
      <c r="Z49" s="88">
        <v>10</v>
      </c>
      <c r="AA49" s="88">
        <v>0</v>
      </c>
      <c r="AB49" s="88">
        <v>1</v>
      </c>
      <c r="AC49" s="88">
        <v>0</v>
      </c>
      <c r="AD49" s="88">
        <v>0</v>
      </c>
      <c r="AE49" s="88" t="s">
        <v>1133</v>
      </c>
      <c r="AF49" s="88">
        <v>0</v>
      </c>
      <c r="AG49" s="88">
        <v>0</v>
      </c>
      <c r="AH49" s="88" t="s">
        <v>1133</v>
      </c>
      <c r="AI49" s="88" t="s">
        <v>1133</v>
      </c>
      <c r="AJ49" s="88" t="s">
        <v>1133</v>
      </c>
      <c r="AK49" s="88">
        <v>2</v>
      </c>
      <c r="AL49" s="88">
        <v>20</v>
      </c>
      <c r="AM49" s="88">
        <v>9</v>
      </c>
      <c r="AN49" s="88">
        <v>0</v>
      </c>
      <c r="AO49" s="88">
        <v>1</v>
      </c>
      <c r="AP49" s="88" t="s">
        <v>1134</v>
      </c>
      <c r="AQ49" s="88" t="s">
        <v>1133</v>
      </c>
      <c r="AR49" s="88">
        <v>0</v>
      </c>
      <c r="AS49" s="88"/>
      <c r="AT49" s="88"/>
      <c r="AU49" s="88">
        <v>0</v>
      </c>
      <c r="AV49" s="88" t="s">
        <v>1133</v>
      </c>
      <c r="AW49" s="88" t="s">
        <v>1133</v>
      </c>
      <c r="AX49" s="88">
        <v>0</v>
      </c>
      <c r="AY49" s="88">
        <v>0</v>
      </c>
      <c r="AZ49" s="88">
        <v>0</v>
      </c>
      <c r="BA49" s="88">
        <v>0</v>
      </c>
      <c r="BB49" s="88" t="s">
        <v>0</v>
      </c>
    </row>
    <row r="50" spans="1:54">
      <c r="A50" s="88">
        <v>50</v>
      </c>
      <c r="B50" s="88">
        <v>50</v>
      </c>
      <c r="C50" s="88"/>
      <c r="D50" s="88" t="s">
        <v>421</v>
      </c>
      <c r="E50" s="88">
        <v>0</v>
      </c>
      <c r="F50" s="88">
        <v>1150</v>
      </c>
      <c r="G50" s="88">
        <v>1</v>
      </c>
      <c r="H50" s="88">
        <v>2</v>
      </c>
      <c r="I50" s="88">
        <v>2</v>
      </c>
      <c r="J50" s="88">
        <v>0</v>
      </c>
      <c r="K50" s="88">
        <v>0</v>
      </c>
      <c r="L50" s="88">
        <v>1</v>
      </c>
      <c r="M50" s="88">
        <v>40</v>
      </c>
      <c r="N50" s="88">
        <v>34</v>
      </c>
      <c r="O50" s="88">
        <v>1</v>
      </c>
      <c r="P50" s="88">
        <v>1</v>
      </c>
      <c r="Q50" s="88">
        <v>1</v>
      </c>
      <c r="R50" s="88">
        <v>20</v>
      </c>
      <c r="S50" s="88">
        <v>10</v>
      </c>
      <c r="T50" s="88">
        <v>0</v>
      </c>
      <c r="U50" s="88">
        <v>0</v>
      </c>
      <c r="V50" s="88">
        <v>0</v>
      </c>
      <c r="W50" s="88">
        <v>0</v>
      </c>
      <c r="X50" s="88">
        <v>20</v>
      </c>
      <c r="Y50" s="88">
        <v>0</v>
      </c>
      <c r="Z50" s="88">
        <v>10</v>
      </c>
      <c r="AA50" s="88">
        <v>0</v>
      </c>
      <c r="AB50" s="88">
        <v>1</v>
      </c>
      <c r="AC50" s="88">
        <v>0</v>
      </c>
      <c r="AD50" s="88">
        <v>0</v>
      </c>
      <c r="AE50" s="88" t="s">
        <v>1133</v>
      </c>
      <c r="AF50" s="88">
        <v>0</v>
      </c>
      <c r="AG50" s="88">
        <v>0</v>
      </c>
      <c r="AH50" s="88" t="s">
        <v>1133</v>
      </c>
      <c r="AI50" s="88" t="s">
        <v>1133</v>
      </c>
      <c r="AJ50" s="88" t="s">
        <v>1133</v>
      </c>
      <c r="AK50" s="88">
        <v>2</v>
      </c>
      <c r="AL50" s="88">
        <v>20</v>
      </c>
      <c r="AM50" s="88">
        <v>9</v>
      </c>
      <c r="AN50" s="88">
        <v>0</v>
      </c>
      <c r="AO50" s="88">
        <v>1</v>
      </c>
      <c r="AP50" s="88" t="s">
        <v>1134</v>
      </c>
      <c r="AQ50" s="88" t="s">
        <v>1133</v>
      </c>
      <c r="AR50" s="88">
        <v>0</v>
      </c>
      <c r="AS50" s="88"/>
      <c r="AT50" s="88"/>
      <c r="AU50" s="88">
        <v>0</v>
      </c>
      <c r="AV50" s="88" t="s">
        <v>1133</v>
      </c>
      <c r="AW50" s="88" t="s">
        <v>1133</v>
      </c>
      <c r="AX50" s="88">
        <v>0</v>
      </c>
      <c r="AY50" s="88">
        <v>0</v>
      </c>
      <c r="AZ50" s="88">
        <v>0</v>
      </c>
      <c r="BA50" s="88">
        <v>0</v>
      </c>
      <c r="BB50" s="88" t="s">
        <v>0</v>
      </c>
    </row>
    <row r="51" spans="1:54">
      <c r="A51" s="88">
        <v>51</v>
      </c>
      <c r="B51" s="88">
        <v>51</v>
      </c>
      <c r="C51" s="88"/>
      <c r="D51" s="88" t="s">
        <v>422</v>
      </c>
      <c r="E51" s="88">
        <v>0</v>
      </c>
      <c r="F51" s="88">
        <v>1150</v>
      </c>
      <c r="G51" s="88">
        <v>1</v>
      </c>
      <c r="H51" s="88">
        <v>2</v>
      </c>
      <c r="I51" s="88">
        <v>2</v>
      </c>
      <c r="J51" s="88">
        <v>0</v>
      </c>
      <c r="K51" s="88">
        <v>0</v>
      </c>
      <c r="L51" s="88">
        <v>1</v>
      </c>
      <c r="M51" s="88">
        <v>50</v>
      </c>
      <c r="N51" s="88">
        <v>34</v>
      </c>
      <c r="O51" s="88">
        <v>1</v>
      </c>
      <c r="P51" s="88">
        <v>1</v>
      </c>
      <c r="Q51" s="88">
        <v>1</v>
      </c>
      <c r="R51" s="88">
        <v>20</v>
      </c>
      <c r="S51" s="88">
        <v>10</v>
      </c>
      <c r="T51" s="88">
        <v>0</v>
      </c>
      <c r="U51" s="88">
        <v>0</v>
      </c>
      <c r="V51" s="88">
        <v>0</v>
      </c>
      <c r="W51" s="88">
        <v>0</v>
      </c>
      <c r="X51" s="88">
        <v>20</v>
      </c>
      <c r="Y51" s="88">
        <v>0</v>
      </c>
      <c r="Z51" s="88">
        <v>10</v>
      </c>
      <c r="AA51" s="88">
        <v>0</v>
      </c>
      <c r="AB51" s="88">
        <v>1</v>
      </c>
      <c r="AC51" s="88">
        <v>0</v>
      </c>
      <c r="AD51" s="88">
        <v>0</v>
      </c>
      <c r="AE51" s="88" t="s">
        <v>1133</v>
      </c>
      <c r="AF51" s="88">
        <v>0</v>
      </c>
      <c r="AG51" s="88">
        <v>0</v>
      </c>
      <c r="AH51" s="88" t="s">
        <v>1133</v>
      </c>
      <c r="AI51" s="88" t="s">
        <v>1133</v>
      </c>
      <c r="AJ51" s="88" t="s">
        <v>1133</v>
      </c>
      <c r="AK51" s="88">
        <v>2</v>
      </c>
      <c r="AL51" s="88">
        <v>20</v>
      </c>
      <c r="AM51" s="88">
        <v>9</v>
      </c>
      <c r="AN51" s="88">
        <v>0</v>
      </c>
      <c r="AO51" s="88">
        <v>1</v>
      </c>
      <c r="AP51" s="88" t="s">
        <v>1134</v>
      </c>
      <c r="AQ51" s="88" t="s">
        <v>1133</v>
      </c>
      <c r="AR51" s="88">
        <v>0</v>
      </c>
      <c r="AS51" s="88"/>
      <c r="AT51" s="88"/>
      <c r="AU51" s="88">
        <v>0</v>
      </c>
      <c r="AV51" s="88" t="s">
        <v>1133</v>
      </c>
      <c r="AW51" s="88" t="s">
        <v>1133</v>
      </c>
      <c r="AX51" s="88">
        <v>0</v>
      </c>
      <c r="AY51" s="88">
        <v>0</v>
      </c>
      <c r="AZ51" s="88">
        <v>0</v>
      </c>
      <c r="BA51" s="88">
        <v>0</v>
      </c>
      <c r="BB51" s="88" t="s">
        <v>0</v>
      </c>
    </row>
    <row r="52" spans="1:54">
      <c r="A52" s="88">
        <v>52</v>
      </c>
      <c r="B52" s="88">
        <v>52</v>
      </c>
      <c r="C52" s="88"/>
      <c r="D52" s="88" t="s">
        <v>423</v>
      </c>
      <c r="E52" s="88">
        <v>0</v>
      </c>
      <c r="F52" s="88">
        <v>1150</v>
      </c>
      <c r="G52" s="88">
        <v>1</v>
      </c>
      <c r="H52" s="88">
        <v>2</v>
      </c>
      <c r="I52" s="88">
        <v>2</v>
      </c>
      <c r="J52" s="88">
        <v>0</v>
      </c>
      <c r="K52" s="88">
        <v>0</v>
      </c>
      <c r="L52" s="88">
        <v>1</v>
      </c>
      <c r="M52" s="88">
        <v>80</v>
      </c>
      <c r="N52" s="88">
        <v>34</v>
      </c>
      <c r="O52" s="88">
        <v>1</v>
      </c>
      <c r="P52" s="88">
        <v>1</v>
      </c>
      <c r="Q52" s="88">
        <v>1</v>
      </c>
      <c r="R52" s="88">
        <v>20</v>
      </c>
      <c r="S52" s="88">
        <v>10</v>
      </c>
      <c r="T52" s="88">
        <v>0</v>
      </c>
      <c r="U52" s="88">
        <v>0</v>
      </c>
      <c r="V52" s="88">
        <v>0</v>
      </c>
      <c r="W52" s="88">
        <v>0</v>
      </c>
      <c r="X52" s="88">
        <v>20</v>
      </c>
      <c r="Y52" s="88">
        <v>0</v>
      </c>
      <c r="Z52" s="88">
        <v>10</v>
      </c>
      <c r="AA52" s="88">
        <v>0</v>
      </c>
      <c r="AB52" s="88">
        <v>1</v>
      </c>
      <c r="AC52" s="88">
        <v>0</v>
      </c>
      <c r="AD52" s="88">
        <v>0</v>
      </c>
      <c r="AE52" s="88" t="s">
        <v>1133</v>
      </c>
      <c r="AF52" s="88">
        <v>0</v>
      </c>
      <c r="AG52" s="88">
        <v>0</v>
      </c>
      <c r="AH52" s="88" t="s">
        <v>1133</v>
      </c>
      <c r="AI52" s="88" t="s">
        <v>1133</v>
      </c>
      <c r="AJ52" s="88" t="s">
        <v>1133</v>
      </c>
      <c r="AK52" s="88">
        <v>2</v>
      </c>
      <c r="AL52" s="88">
        <v>20</v>
      </c>
      <c r="AM52" s="88">
        <v>9</v>
      </c>
      <c r="AN52" s="88">
        <v>0</v>
      </c>
      <c r="AO52" s="88">
        <v>1</v>
      </c>
      <c r="AP52" s="88" t="s">
        <v>1134</v>
      </c>
      <c r="AQ52" s="88" t="s">
        <v>1133</v>
      </c>
      <c r="AR52" s="88">
        <v>0</v>
      </c>
      <c r="AS52" s="88"/>
      <c r="AT52" s="88"/>
      <c r="AU52" s="88">
        <v>0</v>
      </c>
      <c r="AV52" s="88" t="s">
        <v>1133</v>
      </c>
      <c r="AW52" s="88" t="s">
        <v>1133</v>
      </c>
      <c r="AX52" s="88">
        <v>0</v>
      </c>
      <c r="AY52" s="88">
        <v>0</v>
      </c>
      <c r="AZ52" s="88">
        <v>0</v>
      </c>
      <c r="BA52" s="88">
        <v>0</v>
      </c>
      <c r="BB52" s="88" t="s">
        <v>0</v>
      </c>
    </row>
    <row r="53" spans="1:54">
      <c r="A53" s="88">
        <v>53</v>
      </c>
      <c r="B53" s="88">
        <v>53</v>
      </c>
      <c r="C53" s="88"/>
      <c r="D53" s="88" t="s">
        <v>460</v>
      </c>
      <c r="E53" s="88">
        <v>0</v>
      </c>
      <c r="F53" s="88">
        <v>1150</v>
      </c>
      <c r="G53" s="88">
        <v>1</v>
      </c>
      <c r="H53" s="88">
        <v>2</v>
      </c>
      <c r="I53" s="88">
        <v>2</v>
      </c>
      <c r="J53" s="88">
        <v>0</v>
      </c>
      <c r="K53" s="88">
        <v>0</v>
      </c>
      <c r="L53" s="88">
        <v>1</v>
      </c>
      <c r="M53" s="88">
        <v>600</v>
      </c>
      <c r="N53" s="88">
        <v>34</v>
      </c>
      <c r="O53" s="88">
        <v>1</v>
      </c>
      <c r="P53" s="88">
        <v>1</v>
      </c>
      <c r="Q53" s="88">
        <v>1</v>
      </c>
      <c r="R53" s="88">
        <v>20</v>
      </c>
      <c r="S53" s="88">
        <v>10</v>
      </c>
      <c r="T53" s="88">
        <v>0</v>
      </c>
      <c r="U53" s="88">
        <v>0</v>
      </c>
      <c r="V53" s="88">
        <v>0</v>
      </c>
      <c r="W53" s="88">
        <v>0</v>
      </c>
      <c r="X53" s="88">
        <v>20</v>
      </c>
      <c r="Y53" s="88">
        <v>0</v>
      </c>
      <c r="Z53" s="88">
        <v>10</v>
      </c>
      <c r="AA53" s="88">
        <v>0</v>
      </c>
      <c r="AB53" s="88">
        <v>1</v>
      </c>
      <c r="AC53" s="88">
        <v>0</v>
      </c>
      <c r="AD53" s="88">
        <v>0</v>
      </c>
      <c r="AE53" s="88" t="s">
        <v>1133</v>
      </c>
      <c r="AF53" s="88">
        <v>0</v>
      </c>
      <c r="AG53" s="88">
        <v>0</v>
      </c>
      <c r="AH53" s="88" t="s">
        <v>1133</v>
      </c>
      <c r="AI53" s="88" t="s">
        <v>1133</v>
      </c>
      <c r="AJ53" s="88" t="s">
        <v>1133</v>
      </c>
      <c r="AK53" s="88">
        <v>2</v>
      </c>
      <c r="AL53" s="88">
        <v>20</v>
      </c>
      <c r="AM53" s="88">
        <v>9</v>
      </c>
      <c r="AN53" s="88">
        <v>0</v>
      </c>
      <c r="AO53" s="88">
        <v>1</v>
      </c>
      <c r="AP53" s="88" t="s">
        <v>1134</v>
      </c>
      <c r="AQ53" s="88" t="s">
        <v>1133</v>
      </c>
      <c r="AR53" s="88">
        <v>0</v>
      </c>
      <c r="AS53" s="88"/>
      <c r="AT53" s="88"/>
      <c r="AU53" s="88">
        <v>0</v>
      </c>
      <c r="AV53" s="88" t="s">
        <v>1133</v>
      </c>
      <c r="AW53" s="88" t="s">
        <v>1133</v>
      </c>
      <c r="AX53" s="88">
        <v>0</v>
      </c>
      <c r="AY53" s="88">
        <v>0</v>
      </c>
      <c r="AZ53" s="88">
        <v>0</v>
      </c>
      <c r="BA53" s="88">
        <v>0</v>
      </c>
      <c r="BB53" s="88" t="s">
        <v>0</v>
      </c>
    </row>
    <row r="54" spans="1:54">
      <c r="A54" s="88">
        <v>54</v>
      </c>
      <c r="B54" s="88">
        <v>54</v>
      </c>
      <c r="C54" s="88"/>
      <c r="D54" s="88" t="s">
        <v>461</v>
      </c>
      <c r="E54" s="88">
        <v>0</v>
      </c>
      <c r="F54" s="88">
        <v>1150</v>
      </c>
      <c r="G54" s="88">
        <v>1</v>
      </c>
      <c r="H54" s="88">
        <v>2</v>
      </c>
      <c r="I54" s="88">
        <v>2</v>
      </c>
      <c r="J54" s="88">
        <v>0</v>
      </c>
      <c r="K54" s="88">
        <v>0</v>
      </c>
      <c r="L54" s="88">
        <v>1</v>
      </c>
      <c r="M54" s="88">
        <v>800</v>
      </c>
      <c r="N54" s="88">
        <v>34</v>
      </c>
      <c r="O54" s="88">
        <v>1</v>
      </c>
      <c r="P54" s="88">
        <v>1</v>
      </c>
      <c r="Q54" s="88">
        <v>1</v>
      </c>
      <c r="R54" s="88">
        <v>20</v>
      </c>
      <c r="S54" s="88">
        <v>10</v>
      </c>
      <c r="T54" s="88">
        <v>0</v>
      </c>
      <c r="U54" s="88">
        <v>0</v>
      </c>
      <c r="V54" s="88">
        <v>0</v>
      </c>
      <c r="W54" s="88">
        <v>0</v>
      </c>
      <c r="X54" s="88">
        <v>20</v>
      </c>
      <c r="Y54" s="88">
        <v>0</v>
      </c>
      <c r="Z54" s="88">
        <v>10</v>
      </c>
      <c r="AA54" s="88">
        <v>0</v>
      </c>
      <c r="AB54" s="88">
        <v>1</v>
      </c>
      <c r="AC54" s="88">
        <v>0</v>
      </c>
      <c r="AD54" s="88">
        <v>0</v>
      </c>
      <c r="AE54" s="88" t="s">
        <v>1133</v>
      </c>
      <c r="AF54" s="88">
        <v>0</v>
      </c>
      <c r="AG54" s="88">
        <v>0</v>
      </c>
      <c r="AH54" s="88" t="s">
        <v>1133</v>
      </c>
      <c r="AI54" s="88" t="s">
        <v>1133</v>
      </c>
      <c r="AJ54" s="88" t="s">
        <v>1133</v>
      </c>
      <c r="AK54" s="88">
        <v>2</v>
      </c>
      <c r="AL54" s="88">
        <v>20</v>
      </c>
      <c r="AM54" s="88">
        <v>9</v>
      </c>
      <c r="AN54" s="88">
        <v>0</v>
      </c>
      <c r="AO54" s="88">
        <v>1</v>
      </c>
      <c r="AP54" s="88" t="s">
        <v>1134</v>
      </c>
      <c r="AQ54" s="88" t="s">
        <v>1133</v>
      </c>
      <c r="AR54" s="88">
        <v>0</v>
      </c>
      <c r="AS54" s="88"/>
      <c r="AT54" s="88"/>
      <c r="AU54" s="88">
        <v>0</v>
      </c>
      <c r="AV54" s="88" t="s">
        <v>1133</v>
      </c>
      <c r="AW54" s="88" t="s">
        <v>1133</v>
      </c>
      <c r="AX54" s="88">
        <v>0</v>
      </c>
      <c r="AY54" s="88">
        <v>0</v>
      </c>
      <c r="AZ54" s="88">
        <v>0</v>
      </c>
      <c r="BA54" s="88">
        <v>0</v>
      </c>
      <c r="BB54" s="88" t="s">
        <v>0</v>
      </c>
    </row>
    <row r="55" spans="1:54">
      <c r="A55" s="88">
        <v>55</v>
      </c>
      <c r="B55" s="88">
        <v>55</v>
      </c>
      <c r="C55" s="88"/>
      <c r="D55" s="88" t="s">
        <v>463</v>
      </c>
      <c r="E55" s="88">
        <v>0</v>
      </c>
      <c r="F55" s="88">
        <v>1150</v>
      </c>
      <c r="G55" s="88">
        <v>1</v>
      </c>
      <c r="H55" s="88">
        <v>2</v>
      </c>
      <c r="I55" s="88">
        <v>2</v>
      </c>
      <c r="J55" s="88">
        <v>0</v>
      </c>
      <c r="K55" s="88">
        <v>0</v>
      </c>
      <c r="L55" s="88">
        <v>1</v>
      </c>
      <c r="M55" s="88">
        <v>960</v>
      </c>
      <c r="N55" s="88">
        <v>34</v>
      </c>
      <c r="O55" s="88">
        <v>1</v>
      </c>
      <c r="P55" s="88">
        <v>1</v>
      </c>
      <c r="Q55" s="88">
        <v>1</v>
      </c>
      <c r="R55" s="88">
        <v>20</v>
      </c>
      <c r="S55" s="88">
        <v>10</v>
      </c>
      <c r="T55" s="88">
        <v>0</v>
      </c>
      <c r="U55" s="88">
        <v>0</v>
      </c>
      <c r="V55" s="88">
        <v>0</v>
      </c>
      <c r="W55" s="88">
        <v>0</v>
      </c>
      <c r="X55" s="88">
        <v>20</v>
      </c>
      <c r="Y55" s="88">
        <v>0</v>
      </c>
      <c r="Z55" s="88">
        <v>10</v>
      </c>
      <c r="AA55" s="88">
        <v>0</v>
      </c>
      <c r="AB55" s="88">
        <v>1</v>
      </c>
      <c r="AC55" s="88">
        <v>0</v>
      </c>
      <c r="AD55" s="88">
        <v>0</v>
      </c>
      <c r="AE55" s="88" t="s">
        <v>1133</v>
      </c>
      <c r="AF55" s="88">
        <v>0</v>
      </c>
      <c r="AG55" s="88">
        <v>0</v>
      </c>
      <c r="AH55" s="88" t="s">
        <v>1133</v>
      </c>
      <c r="AI55" s="88" t="s">
        <v>1133</v>
      </c>
      <c r="AJ55" s="88" t="s">
        <v>1133</v>
      </c>
      <c r="AK55" s="88">
        <v>2</v>
      </c>
      <c r="AL55" s="88">
        <v>20</v>
      </c>
      <c r="AM55" s="88">
        <v>9</v>
      </c>
      <c r="AN55" s="88">
        <v>0</v>
      </c>
      <c r="AO55" s="88">
        <v>1</v>
      </c>
      <c r="AP55" s="88" t="s">
        <v>1134</v>
      </c>
      <c r="AQ55" s="88" t="s">
        <v>1133</v>
      </c>
      <c r="AR55" s="88">
        <v>0</v>
      </c>
      <c r="AS55" s="88"/>
      <c r="AT55" s="88"/>
      <c r="AU55" s="88">
        <v>0</v>
      </c>
      <c r="AV55" s="88" t="s">
        <v>1133</v>
      </c>
      <c r="AW55" s="88" t="s">
        <v>1133</v>
      </c>
      <c r="AX55" s="88">
        <v>0</v>
      </c>
      <c r="AY55" s="88">
        <v>0</v>
      </c>
      <c r="AZ55" s="88">
        <v>0</v>
      </c>
      <c r="BA55" s="88">
        <v>0</v>
      </c>
      <c r="BB55" s="88" t="s">
        <v>0</v>
      </c>
    </row>
    <row r="56" spans="1:54">
      <c r="A56" s="88">
        <v>56</v>
      </c>
      <c r="B56" s="88">
        <v>56</v>
      </c>
      <c r="C56" s="88"/>
      <c r="D56" s="88" t="s">
        <v>465</v>
      </c>
      <c r="E56" s="88">
        <v>0</v>
      </c>
      <c r="F56" s="88">
        <v>1150</v>
      </c>
      <c r="G56" s="88">
        <v>1</v>
      </c>
      <c r="H56" s="88">
        <v>2</v>
      </c>
      <c r="I56" s="88">
        <v>2</v>
      </c>
      <c r="J56" s="88">
        <v>0</v>
      </c>
      <c r="K56" s="88">
        <v>0</v>
      </c>
      <c r="L56" s="88">
        <v>1</v>
      </c>
      <c r="M56" s="88">
        <v>1280</v>
      </c>
      <c r="N56" s="88">
        <v>34</v>
      </c>
      <c r="O56" s="88">
        <v>1</v>
      </c>
      <c r="P56" s="88">
        <v>1</v>
      </c>
      <c r="Q56" s="88">
        <v>1</v>
      </c>
      <c r="R56" s="88">
        <v>20</v>
      </c>
      <c r="S56" s="88">
        <v>10</v>
      </c>
      <c r="T56" s="88">
        <v>0</v>
      </c>
      <c r="U56" s="88">
        <v>0</v>
      </c>
      <c r="V56" s="88">
        <v>0</v>
      </c>
      <c r="W56" s="88">
        <v>0</v>
      </c>
      <c r="X56" s="88">
        <v>20</v>
      </c>
      <c r="Y56" s="88">
        <v>0</v>
      </c>
      <c r="Z56" s="88">
        <v>10</v>
      </c>
      <c r="AA56" s="88">
        <v>0</v>
      </c>
      <c r="AB56" s="88">
        <v>1</v>
      </c>
      <c r="AC56" s="88">
        <v>0</v>
      </c>
      <c r="AD56" s="88">
        <v>0</v>
      </c>
      <c r="AE56" s="88" t="s">
        <v>1133</v>
      </c>
      <c r="AF56" s="88">
        <v>0</v>
      </c>
      <c r="AG56" s="88">
        <v>0</v>
      </c>
      <c r="AH56" s="88" t="s">
        <v>1133</v>
      </c>
      <c r="AI56" s="88" t="s">
        <v>1133</v>
      </c>
      <c r="AJ56" s="88" t="s">
        <v>1133</v>
      </c>
      <c r="AK56" s="88">
        <v>2</v>
      </c>
      <c r="AL56" s="88">
        <v>20</v>
      </c>
      <c r="AM56" s="88">
        <v>9</v>
      </c>
      <c r="AN56" s="88">
        <v>0</v>
      </c>
      <c r="AO56" s="88">
        <v>1</v>
      </c>
      <c r="AP56" s="88" t="s">
        <v>1134</v>
      </c>
      <c r="AQ56" s="88" t="s">
        <v>1133</v>
      </c>
      <c r="AR56" s="88">
        <v>0</v>
      </c>
      <c r="AS56" s="88"/>
      <c r="AT56" s="88"/>
      <c r="AU56" s="88">
        <v>0</v>
      </c>
      <c r="AV56" s="88" t="s">
        <v>1133</v>
      </c>
      <c r="AW56" s="88" t="s">
        <v>1133</v>
      </c>
      <c r="AX56" s="88">
        <v>0</v>
      </c>
      <c r="AY56" s="88">
        <v>0</v>
      </c>
      <c r="AZ56" s="88">
        <v>0</v>
      </c>
      <c r="BA56" s="88">
        <v>0</v>
      </c>
      <c r="BB56" s="88" t="s">
        <v>0</v>
      </c>
    </row>
    <row r="57" spans="1:54">
      <c r="A57" s="88">
        <v>57</v>
      </c>
      <c r="B57" s="88">
        <v>57</v>
      </c>
      <c r="C57" s="88"/>
      <c r="D57" s="88" t="s">
        <v>424</v>
      </c>
      <c r="E57" s="88">
        <v>0</v>
      </c>
      <c r="F57" s="88">
        <v>1150</v>
      </c>
      <c r="G57" s="88">
        <v>1</v>
      </c>
      <c r="H57" s="88">
        <v>2</v>
      </c>
      <c r="I57" s="88">
        <v>2</v>
      </c>
      <c r="J57" s="88">
        <v>0</v>
      </c>
      <c r="K57" s="88">
        <v>0</v>
      </c>
      <c r="L57" s="88">
        <v>1</v>
      </c>
      <c r="M57" s="88">
        <v>2</v>
      </c>
      <c r="N57" s="88">
        <v>34</v>
      </c>
      <c r="O57" s="88">
        <v>1</v>
      </c>
      <c r="P57" s="88">
        <v>1</v>
      </c>
      <c r="Q57" s="88">
        <v>1</v>
      </c>
      <c r="R57" s="88">
        <v>20</v>
      </c>
      <c r="S57" s="88">
        <v>10</v>
      </c>
      <c r="T57" s="88">
        <v>0</v>
      </c>
      <c r="U57" s="88">
        <v>0</v>
      </c>
      <c r="V57" s="88">
        <v>0</v>
      </c>
      <c r="W57" s="88">
        <v>0</v>
      </c>
      <c r="X57" s="88">
        <v>20</v>
      </c>
      <c r="Y57" s="88">
        <v>0</v>
      </c>
      <c r="Z57" s="88">
        <v>10</v>
      </c>
      <c r="AA57" s="88">
        <v>0</v>
      </c>
      <c r="AB57" s="88">
        <v>1</v>
      </c>
      <c r="AC57" s="88">
        <v>0</v>
      </c>
      <c r="AD57" s="88">
        <v>0</v>
      </c>
      <c r="AE57" s="88" t="s">
        <v>1133</v>
      </c>
      <c r="AF57" s="88">
        <v>0</v>
      </c>
      <c r="AG57" s="88">
        <v>0</v>
      </c>
      <c r="AH57" s="88" t="s">
        <v>1133</v>
      </c>
      <c r="AI57" s="88" t="s">
        <v>1133</v>
      </c>
      <c r="AJ57" s="88" t="s">
        <v>1133</v>
      </c>
      <c r="AK57" s="88">
        <v>2</v>
      </c>
      <c r="AL57" s="88">
        <v>20</v>
      </c>
      <c r="AM57" s="88">
        <v>9</v>
      </c>
      <c r="AN57" s="88">
        <v>0</v>
      </c>
      <c r="AO57" s="88">
        <v>1</v>
      </c>
      <c r="AP57" s="88" t="s">
        <v>1134</v>
      </c>
      <c r="AQ57" s="88" t="s">
        <v>1133</v>
      </c>
      <c r="AR57" s="88">
        <v>0</v>
      </c>
      <c r="AS57" s="88"/>
      <c r="AT57" s="88"/>
      <c r="AU57" s="88">
        <v>0</v>
      </c>
      <c r="AV57" s="88" t="s">
        <v>1133</v>
      </c>
      <c r="AW57" s="88" t="s">
        <v>1133</v>
      </c>
      <c r="AX57" s="88">
        <v>0</v>
      </c>
      <c r="AY57" s="88">
        <v>0</v>
      </c>
      <c r="AZ57" s="88">
        <v>0</v>
      </c>
      <c r="BA57" s="88">
        <v>0</v>
      </c>
      <c r="BB57" s="88" t="s">
        <v>0</v>
      </c>
    </row>
    <row r="58" spans="1:54">
      <c r="A58" s="88">
        <v>58</v>
      </c>
      <c r="B58" s="88">
        <v>58</v>
      </c>
      <c r="C58" s="88"/>
      <c r="D58" s="88" t="s">
        <v>425</v>
      </c>
      <c r="E58" s="88">
        <v>0</v>
      </c>
      <c r="F58" s="88">
        <v>1150</v>
      </c>
      <c r="G58" s="88">
        <v>1</v>
      </c>
      <c r="H58" s="88">
        <v>2</v>
      </c>
      <c r="I58" s="88">
        <v>2</v>
      </c>
      <c r="J58" s="88">
        <v>0</v>
      </c>
      <c r="K58" s="88">
        <v>0</v>
      </c>
      <c r="L58" s="88">
        <v>1</v>
      </c>
      <c r="M58" s="88">
        <v>5</v>
      </c>
      <c r="N58" s="88">
        <v>34</v>
      </c>
      <c r="O58" s="88">
        <v>1</v>
      </c>
      <c r="P58" s="88">
        <v>1</v>
      </c>
      <c r="Q58" s="88">
        <v>1</v>
      </c>
      <c r="R58" s="88">
        <v>20</v>
      </c>
      <c r="S58" s="88">
        <v>10</v>
      </c>
      <c r="T58" s="88">
        <v>0</v>
      </c>
      <c r="U58" s="88">
        <v>0</v>
      </c>
      <c r="V58" s="88">
        <v>0</v>
      </c>
      <c r="W58" s="88">
        <v>0</v>
      </c>
      <c r="X58" s="88">
        <v>20</v>
      </c>
      <c r="Y58" s="88">
        <v>0</v>
      </c>
      <c r="Z58" s="88">
        <v>10</v>
      </c>
      <c r="AA58" s="88">
        <v>0</v>
      </c>
      <c r="AB58" s="88">
        <v>1</v>
      </c>
      <c r="AC58" s="88">
        <v>0</v>
      </c>
      <c r="AD58" s="88">
        <v>0</v>
      </c>
      <c r="AE58" s="88" t="s">
        <v>1133</v>
      </c>
      <c r="AF58" s="88">
        <v>0</v>
      </c>
      <c r="AG58" s="88">
        <v>0</v>
      </c>
      <c r="AH58" s="88" t="s">
        <v>1133</v>
      </c>
      <c r="AI58" s="88" t="s">
        <v>1133</v>
      </c>
      <c r="AJ58" s="88" t="s">
        <v>1133</v>
      </c>
      <c r="AK58" s="88">
        <v>2</v>
      </c>
      <c r="AL58" s="88">
        <v>20</v>
      </c>
      <c r="AM58" s="88">
        <v>9</v>
      </c>
      <c r="AN58" s="88">
        <v>0</v>
      </c>
      <c r="AO58" s="88">
        <v>1</v>
      </c>
      <c r="AP58" s="88" t="s">
        <v>1134</v>
      </c>
      <c r="AQ58" s="88" t="s">
        <v>1133</v>
      </c>
      <c r="AR58" s="88">
        <v>0</v>
      </c>
      <c r="AS58" s="88"/>
      <c r="AT58" s="88"/>
      <c r="AU58" s="88">
        <v>0</v>
      </c>
      <c r="AV58" s="88" t="s">
        <v>1133</v>
      </c>
      <c r="AW58" s="88" t="s">
        <v>1133</v>
      </c>
      <c r="AX58" s="88">
        <v>0</v>
      </c>
      <c r="AY58" s="88">
        <v>0</v>
      </c>
      <c r="AZ58" s="88">
        <v>0</v>
      </c>
      <c r="BA58" s="88">
        <v>0</v>
      </c>
      <c r="BB58" s="88" t="s">
        <v>0</v>
      </c>
    </row>
    <row r="59" spans="1:54">
      <c r="A59" s="88">
        <v>59</v>
      </c>
      <c r="B59" s="88">
        <v>59</v>
      </c>
      <c r="C59" s="88"/>
      <c r="D59" s="88" t="s">
        <v>426</v>
      </c>
      <c r="E59" s="88">
        <v>0</v>
      </c>
      <c r="F59" s="88">
        <v>1150</v>
      </c>
      <c r="G59" s="88">
        <v>1</v>
      </c>
      <c r="H59" s="88">
        <v>2</v>
      </c>
      <c r="I59" s="88">
        <v>2</v>
      </c>
      <c r="J59" s="88">
        <v>0</v>
      </c>
      <c r="K59" s="88">
        <v>0</v>
      </c>
      <c r="L59" s="88">
        <v>1</v>
      </c>
      <c r="M59" s="88">
        <v>7</v>
      </c>
      <c r="N59" s="88">
        <v>34</v>
      </c>
      <c r="O59" s="88">
        <v>1</v>
      </c>
      <c r="P59" s="88">
        <v>1</v>
      </c>
      <c r="Q59" s="88">
        <v>1</v>
      </c>
      <c r="R59" s="88">
        <v>20</v>
      </c>
      <c r="S59" s="88">
        <v>10</v>
      </c>
      <c r="T59" s="88">
        <v>0</v>
      </c>
      <c r="U59" s="88">
        <v>0</v>
      </c>
      <c r="V59" s="88">
        <v>0</v>
      </c>
      <c r="W59" s="88">
        <v>0</v>
      </c>
      <c r="X59" s="88">
        <v>20</v>
      </c>
      <c r="Y59" s="88">
        <v>0</v>
      </c>
      <c r="Z59" s="88">
        <v>10</v>
      </c>
      <c r="AA59" s="88">
        <v>0</v>
      </c>
      <c r="AB59" s="88">
        <v>1</v>
      </c>
      <c r="AC59" s="88">
        <v>0</v>
      </c>
      <c r="AD59" s="88">
        <v>0</v>
      </c>
      <c r="AE59" s="88" t="s">
        <v>1133</v>
      </c>
      <c r="AF59" s="88">
        <v>0</v>
      </c>
      <c r="AG59" s="88">
        <v>0</v>
      </c>
      <c r="AH59" s="88" t="s">
        <v>1133</v>
      </c>
      <c r="AI59" s="88" t="s">
        <v>1133</v>
      </c>
      <c r="AJ59" s="88" t="s">
        <v>1133</v>
      </c>
      <c r="AK59" s="88">
        <v>2</v>
      </c>
      <c r="AL59" s="88">
        <v>20</v>
      </c>
      <c r="AM59" s="88">
        <v>9</v>
      </c>
      <c r="AN59" s="88">
        <v>0</v>
      </c>
      <c r="AO59" s="88">
        <v>1</v>
      </c>
      <c r="AP59" s="88" t="s">
        <v>1134</v>
      </c>
      <c r="AQ59" s="88" t="s">
        <v>1133</v>
      </c>
      <c r="AR59" s="88">
        <v>0</v>
      </c>
      <c r="AS59" s="88"/>
      <c r="AT59" s="88"/>
      <c r="AU59" s="88">
        <v>0</v>
      </c>
      <c r="AV59" s="88" t="s">
        <v>1133</v>
      </c>
      <c r="AW59" s="88" t="s">
        <v>1133</v>
      </c>
      <c r="AX59" s="88">
        <v>0</v>
      </c>
      <c r="AY59" s="88">
        <v>0</v>
      </c>
      <c r="AZ59" s="88">
        <v>0</v>
      </c>
      <c r="BA59" s="88">
        <v>0</v>
      </c>
      <c r="BB59" s="88" t="s">
        <v>0</v>
      </c>
    </row>
    <row r="60" spans="1:54">
      <c r="A60" s="88">
        <v>60</v>
      </c>
      <c r="B60" s="88">
        <v>60</v>
      </c>
      <c r="C60" s="88"/>
      <c r="D60" s="88" t="s">
        <v>427</v>
      </c>
      <c r="E60" s="88">
        <v>0</v>
      </c>
      <c r="F60" s="88">
        <v>1150</v>
      </c>
      <c r="G60" s="88">
        <v>1</v>
      </c>
      <c r="H60" s="88">
        <v>2</v>
      </c>
      <c r="I60" s="88">
        <v>2</v>
      </c>
      <c r="J60" s="88">
        <v>0</v>
      </c>
      <c r="K60" s="88">
        <v>0</v>
      </c>
      <c r="L60" s="88">
        <v>1</v>
      </c>
      <c r="M60" s="88">
        <v>10</v>
      </c>
      <c r="N60" s="88">
        <v>34</v>
      </c>
      <c r="O60" s="88">
        <v>1</v>
      </c>
      <c r="P60" s="88">
        <v>1</v>
      </c>
      <c r="Q60" s="88">
        <v>1</v>
      </c>
      <c r="R60" s="88">
        <v>20</v>
      </c>
      <c r="S60" s="88">
        <v>10</v>
      </c>
      <c r="T60" s="88">
        <v>0</v>
      </c>
      <c r="U60" s="88">
        <v>0</v>
      </c>
      <c r="V60" s="88">
        <v>0</v>
      </c>
      <c r="W60" s="88">
        <v>0</v>
      </c>
      <c r="X60" s="88">
        <v>20</v>
      </c>
      <c r="Y60" s="88">
        <v>0</v>
      </c>
      <c r="Z60" s="88">
        <v>10</v>
      </c>
      <c r="AA60" s="88">
        <v>0</v>
      </c>
      <c r="AB60" s="88">
        <v>1</v>
      </c>
      <c r="AC60" s="88">
        <v>0</v>
      </c>
      <c r="AD60" s="88">
        <v>0</v>
      </c>
      <c r="AE60" s="88" t="s">
        <v>1133</v>
      </c>
      <c r="AF60" s="88">
        <v>0</v>
      </c>
      <c r="AG60" s="88">
        <v>0</v>
      </c>
      <c r="AH60" s="88" t="s">
        <v>1133</v>
      </c>
      <c r="AI60" s="88" t="s">
        <v>1133</v>
      </c>
      <c r="AJ60" s="88" t="s">
        <v>1133</v>
      </c>
      <c r="AK60" s="88">
        <v>2</v>
      </c>
      <c r="AL60" s="88">
        <v>20</v>
      </c>
      <c r="AM60" s="88">
        <v>9</v>
      </c>
      <c r="AN60" s="88">
        <v>0</v>
      </c>
      <c r="AO60" s="88">
        <v>1</v>
      </c>
      <c r="AP60" s="88" t="s">
        <v>1134</v>
      </c>
      <c r="AQ60" s="88" t="s">
        <v>1133</v>
      </c>
      <c r="AR60" s="88">
        <v>0</v>
      </c>
      <c r="AS60" s="88"/>
      <c r="AT60" s="88"/>
      <c r="AU60" s="88">
        <v>0</v>
      </c>
      <c r="AV60" s="88" t="s">
        <v>1133</v>
      </c>
      <c r="AW60" s="88" t="s">
        <v>1133</v>
      </c>
      <c r="AX60" s="88">
        <v>0</v>
      </c>
      <c r="AY60" s="88">
        <v>0</v>
      </c>
      <c r="AZ60" s="88">
        <v>0</v>
      </c>
      <c r="BA60" s="88">
        <v>0</v>
      </c>
      <c r="BB60" s="88" t="s">
        <v>0</v>
      </c>
    </row>
    <row r="61" spans="1:54">
      <c r="A61" s="88">
        <v>61</v>
      </c>
      <c r="B61" s="88">
        <v>61</v>
      </c>
      <c r="C61" s="88"/>
      <c r="D61" s="88" t="s">
        <v>428</v>
      </c>
      <c r="E61" s="88">
        <v>0</v>
      </c>
      <c r="F61" s="88">
        <v>1150</v>
      </c>
      <c r="G61" s="88">
        <v>1</v>
      </c>
      <c r="H61" s="88">
        <v>2</v>
      </c>
      <c r="I61" s="88">
        <v>2</v>
      </c>
      <c r="J61" s="88">
        <v>0</v>
      </c>
      <c r="K61" s="88">
        <v>0</v>
      </c>
      <c r="L61" s="88">
        <v>1</v>
      </c>
      <c r="M61" s="88">
        <v>14</v>
      </c>
      <c r="N61" s="88">
        <v>34</v>
      </c>
      <c r="O61" s="88">
        <v>1</v>
      </c>
      <c r="P61" s="88">
        <v>1</v>
      </c>
      <c r="Q61" s="88">
        <v>1</v>
      </c>
      <c r="R61" s="88">
        <v>20</v>
      </c>
      <c r="S61" s="88">
        <v>10</v>
      </c>
      <c r="T61" s="88">
        <v>0</v>
      </c>
      <c r="U61" s="88">
        <v>0</v>
      </c>
      <c r="V61" s="88">
        <v>0</v>
      </c>
      <c r="W61" s="88">
        <v>0</v>
      </c>
      <c r="X61" s="88">
        <v>20</v>
      </c>
      <c r="Y61" s="88">
        <v>0</v>
      </c>
      <c r="Z61" s="88">
        <v>10</v>
      </c>
      <c r="AA61" s="88">
        <v>0</v>
      </c>
      <c r="AB61" s="88">
        <v>1</v>
      </c>
      <c r="AC61" s="88">
        <v>0</v>
      </c>
      <c r="AD61" s="88">
        <v>0</v>
      </c>
      <c r="AE61" s="88" t="s">
        <v>1133</v>
      </c>
      <c r="AF61" s="88">
        <v>0</v>
      </c>
      <c r="AG61" s="88">
        <v>0</v>
      </c>
      <c r="AH61" s="88" t="s">
        <v>1133</v>
      </c>
      <c r="AI61" s="88" t="s">
        <v>1133</v>
      </c>
      <c r="AJ61" s="88" t="s">
        <v>1133</v>
      </c>
      <c r="AK61" s="88">
        <v>2</v>
      </c>
      <c r="AL61" s="88">
        <v>20</v>
      </c>
      <c r="AM61" s="88">
        <v>9</v>
      </c>
      <c r="AN61" s="88">
        <v>0</v>
      </c>
      <c r="AO61" s="88">
        <v>1</v>
      </c>
      <c r="AP61" s="88" t="s">
        <v>1134</v>
      </c>
      <c r="AQ61" s="88" t="s">
        <v>1133</v>
      </c>
      <c r="AR61" s="88">
        <v>0</v>
      </c>
      <c r="AS61" s="88"/>
      <c r="AT61" s="88"/>
      <c r="AU61" s="88">
        <v>0</v>
      </c>
      <c r="AV61" s="88" t="s">
        <v>1133</v>
      </c>
      <c r="AW61" s="88" t="s">
        <v>1133</v>
      </c>
      <c r="AX61" s="88">
        <v>0</v>
      </c>
      <c r="AY61" s="88">
        <v>0</v>
      </c>
      <c r="AZ61" s="88">
        <v>0</v>
      </c>
      <c r="BA61" s="88">
        <v>0</v>
      </c>
      <c r="BB61" s="88" t="s">
        <v>0</v>
      </c>
    </row>
    <row r="62" spans="1:54">
      <c r="A62" s="88">
        <v>62</v>
      </c>
      <c r="B62" s="88">
        <v>62</v>
      </c>
      <c r="C62" s="88"/>
      <c r="D62" s="88" t="s">
        <v>429</v>
      </c>
      <c r="E62" s="88">
        <v>0</v>
      </c>
      <c r="F62" s="88">
        <v>1150</v>
      </c>
      <c r="G62" s="88">
        <v>1</v>
      </c>
      <c r="H62" s="88">
        <v>2</v>
      </c>
      <c r="I62" s="88">
        <v>2</v>
      </c>
      <c r="J62" s="88">
        <v>0</v>
      </c>
      <c r="K62" s="88">
        <v>0</v>
      </c>
      <c r="L62" s="88">
        <v>1</v>
      </c>
      <c r="M62" s="88">
        <v>16</v>
      </c>
      <c r="N62" s="88">
        <v>34</v>
      </c>
      <c r="O62" s="88">
        <v>1</v>
      </c>
      <c r="P62" s="88">
        <v>1</v>
      </c>
      <c r="Q62" s="88">
        <v>1</v>
      </c>
      <c r="R62" s="88">
        <v>20</v>
      </c>
      <c r="S62" s="88">
        <v>10</v>
      </c>
      <c r="T62" s="88">
        <v>0</v>
      </c>
      <c r="U62" s="88">
        <v>0</v>
      </c>
      <c r="V62" s="88">
        <v>0</v>
      </c>
      <c r="W62" s="88">
        <v>0</v>
      </c>
      <c r="X62" s="88">
        <v>20</v>
      </c>
      <c r="Y62" s="88">
        <v>0</v>
      </c>
      <c r="Z62" s="88">
        <v>10</v>
      </c>
      <c r="AA62" s="88">
        <v>0</v>
      </c>
      <c r="AB62" s="88">
        <v>1</v>
      </c>
      <c r="AC62" s="88">
        <v>0</v>
      </c>
      <c r="AD62" s="88">
        <v>0</v>
      </c>
      <c r="AE62" s="88" t="s">
        <v>1133</v>
      </c>
      <c r="AF62" s="88">
        <v>0</v>
      </c>
      <c r="AG62" s="88">
        <v>0</v>
      </c>
      <c r="AH62" s="88" t="s">
        <v>1133</v>
      </c>
      <c r="AI62" s="88" t="s">
        <v>1133</v>
      </c>
      <c r="AJ62" s="88" t="s">
        <v>1133</v>
      </c>
      <c r="AK62" s="88">
        <v>2</v>
      </c>
      <c r="AL62" s="88">
        <v>20</v>
      </c>
      <c r="AM62" s="88">
        <v>9</v>
      </c>
      <c r="AN62" s="88">
        <v>0</v>
      </c>
      <c r="AO62" s="88">
        <v>1</v>
      </c>
      <c r="AP62" s="88" t="s">
        <v>1134</v>
      </c>
      <c r="AQ62" s="88" t="s">
        <v>1133</v>
      </c>
      <c r="AR62" s="88">
        <v>0</v>
      </c>
      <c r="AS62" s="88"/>
      <c r="AT62" s="88"/>
      <c r="AU62" s="88">
        <v>0</v>
      </c>
      <c r="AV62" s="88" t="s">
        <v>1133</v>
      </c>
      <c r="AW62" s="88" t="s">
        <v>1133</v>
      </c>
      <c r="AX62" s="88">
        <v>0</v>
      </c>
      <c r="AY62" s="88">
        <v>0</v>
      </c>
      <c r="AZ62" s="88">
        <v>0</v>
      </c>
      <c r="BA62" s="88">
        <v>0</v>
      </c>
      <c r="BB62" s="88" t="s">
        <v>0</v>
      </c>
    </row>
    <row r="63" spans="1:54">
      <c r="A63" s="88">
        <v>63</v>
      </c>
      <c r="B63" s="88">
        <v>63</v>
      </c>
      <c r="C63" s="88"/>
      <c r="D63" s="88" t="s">
        <v>430</v>
      </c>
      <c r="E63" s="88">
        <v>0</v>
      </c>
      <c r="F63" s="88">
        <v>1150</v>
      </c>
      <c r="G63" s="88">
        <v>1</v>
      </c>
      <c r="H63" s="88">
        <v>2</v>
      </c>
      <c r="I63" s="88">
        <v>2</v>
      </c>
      <c r="J63" s="88">
        <v>0</v>
      </c>
      <c r="K63" s="88">
        <v>0</v>
      </c>
      <c r="L63" s="88">
        <v>1</v>
      </c>
      <c r="M63" s="88">
        <v>20</v>
      </c>
      <c r="N63" s="88">
        <v>34</v>
      </c>
      <c r="O63" s="88">
        <v>1</v>
      </c>
      <c r="P63" s="88">
        <v>1</v>
      </c>
      <c r="Q63" s="88">
        <v>1</v>
      </c>
      <c r="R63" s="88">
        <v>20</v>
      </c>
      <c r="S63" s="88">
        <v>10</v>
      </c>
      <c r="T63" s="88">
        <v>0</v>
      </c>
      <c r="U63" s="88">
        <v>0</v>
      </c>
      <c r="V63" s="88">
        <v>0</v>
      </c>
      <c r="W63" s="88">
        <v>0</v>
      </c>
      <c r="X63" s="88">
        <v>20</v>
      </c>
      <c r="Y63" s="88">
        <v>0</v>
      </c>
      <c r="Z63" s="88">
        <v>10</v>
      </c>
      <c r="AA63" s="88">
        <v>0</v>
      </c>
      <c r="AB63" s="88">
        <v>1</v>
      </c>
      <c r="AC63" s="88">
        <v>0</v>
      </c>
      <c r="AD63" s="88">
        <v>0</v>
      </c>
      <c r="AE63" s="88" t="s">
        <v>1133</v>
      </c>
      <c r="AF63" s="88">
        <v>0</v>
      </c>
      <c r="AG63" s="88">
        <v>0</v>
      </c>
      <c r="AH63" s="88" t="s">
        <v>1133</v>
      </c>
      <c r="AI63" s="88" t="s">
        <v>1133</v>
      </c>
      <c r="AJ63" s="88" t="s">
        <v>1133</v>
      </c>
      <c r="AK63" s="88">
        <v>2</v>
      </c>
      <c r="AL63" s="88">
        <v>20</v>
      </c>
      <c r="AM63" s="88">
        <v>9</v>
      </c>
      <c r="AN63" s="88">
        <v>0</v>
      </c>
      <c r="AO63" s="88">
        <v>1</v>
      </c>
      <c r="AP63" s="88" t="s">
        <v>1134</v>
      </c>
      <c r="AQ63" s="88" t="s">
        <v>1133</v>
      </c>
      <c r="AR63" s="88">
        <v>0</v>
      </c>
      <c r="AS63" s="88"/>
      <c r="AT63" s="88"/>
      <c r="AU63" s="88">
        <v>0</v>
      </c>
      <c r="AV63" s="88" t="s">
        <v>1133</v>
      </c>
      <c r="AW63" s="88" t="s">
        <v>1133</v>
      </c>
      <c r="AX63" s="88">
        <v>0</v>
      </c>
      <c r="AY63" s="88">
        <v>0</v>
      </c>
      <c r="AZ63" s="88">
        <v>0</v>
      </c>
      <c r="BA63" s="88">
        <v>0</v>
      </c>
      <c r="BB63" s="88" t="s">
        <v>0</v>
      </c>
    </row>
    <row r="64" spans="1:54">
      <c r="A64" s="88">
        <v>64</v>
      </c>
      <c r="B64" s="88">
        <v>64</v>
      </c>
      <c r="C64" s="88"/>
      <c r="D64" s="88" t="s">
        <v>431</v>
      </c>
      <c r="E64" s="88">
        <v>0</v>
      </c>
      <c r="F64" s="88">
        <v>1150</v>
      </c>
      <c r="G64" s="88">
        <v>1</v>
      </c>
      <c r="H64" s="88">
        <v>2</v>
      </c>
      <c r="I64" s="88">
        <v>2</v>
      </c>
      <c r="J64" s="88">
        <v>0</v>
      </c>
      <c r="K64" s="88">
        <v>0</v>
      </c>
      <c r="L64" s="88">
        <v>1</v>
      </c>
      <c r="M64" s="88">
        <v>30</v>
      </c>
      <c r="N64" s="88">
        <v>34</v>
      </c>
      <c r="O64" s="88">
        <v>1</v>
      </c>
      <c r="P64" s="88">
        <v>1</v>
      </c>
      <c r="Q64" s="88">
        <v>1</v>
      </c>
      <c r="R64" s="88">
        <v>20</v>
      </c>
      <c r="S64" s="88">
        <v>10</v>
      </c>
      <c r="T64" s="88">
        <v>0</v>
      </c>
      <c r="U64" s="88">
        <v>0</v>
      </c>
      <c r="V64" s="88">
        <v>0</v>
      </c>
      <c r="W64" s="88">
        <v>0</v>
      </c>
      <c r="X64" s="88">
        <v>20</v>
      </c>
      <c r="Y64" s="88">
        <v>0</v>
      </c>
      <c r="Z64" s="88">
        <v>10</v>
      </c>
      <c r="AA64" s="88">
        <v>0</v>
      </c>
      <c r="AB64" s="88">
        <v>1</v>
      </c>
      <c r="AC64" s="88">
        <v>0</v>
      </c>
      <c r="AD64" s="88">
        <v>0</v>
      </c>
      <c r="AE64" s="88" t="s">
        <v>1133</v>
      </c>
      <c r="AF64" s="88">
        <v>0</v>
      </c>
      <c r="AG64" s="88">
        <v>0</v>
      </c>
      <c r="AH64" s="88" t="s">
        <v>1133</v>
      </c>
      <c r="AI64" s="88" t="s">
        <v>1133</v>
      </c>
      <c r="AJ64" s="88" t="s">
        <v>1133</v>
      </c>
      <c r="AK64" s="88">
        <v>2</v>
      </c>
      <c r="AL64" s="88">
        <v>20</v>
      </c>
      <c r="AM64" s="88">
        <v>9</v>
      </c>
      <c r="AN64" s="88">
        <v>0</v>
      </c>
      <c r="AO64" s="88">
        <v>1</v>
      </c>
      <c r="AP64" s="88" t="s">
        <v>1134</v>
      </c>
      <c r="AQ64" s="88" t="s">
        <v>1133</v>
      </c>
      <c r="AR64" s="88">
        <v>0</v>
      </c>
      <c r="AS64" s="88"/>
      <c r="AT64" s="88"/>
      <c r="AU64" s="88">
        <v>0</v>
      </c>
      <c r="AV64" s="88" t="s">
        <v>1133</v>
      </c>
      <c r="AW64" s="88" t="s">
        <v>1133</v>
      </c>
      <c r="AX64" s="88">
        <v>0</v>
      </c>
      <c r="AY64" s="88">
        <v>0</v>
      </c>
      <c r="AZ64" s="88">
        <v>0</v>
      </c>
      <c r="BA64" s="88">
        <v>0</v>
      </c>
      <c r="BB64" s="88" t="s">
        <v>0</v>
      </c>
    </row>
    <row r="65" spans="1:54">
      <c r="A65" s="88">
        <v>65</v>
      </c>
      <c r="B65" s="88">
        <v>65</v>
      </c>
      <c r="C65" s="88"/>
      <c r="D65" s="88" t="s">
        <v>432</v>
      </c>
      <c r="E65" s="88">
        <v>0</v>
      </c>
      <c r="F65" s="88">
        <v>1150</v>
      </c>
      <c r="G65" s="88">
        <v>1</v>
      </c>
      <c r="H65" s="88">
        <v>2</v>
      </c>
      <c r="I65" s="88">
        <v>2</v>
      </c>
      <c r="J65" s="88">
        <v>0</v>
      </c>
      <c r="K65" s="88">
        <v>0</v>
      </c>
      <c r="L65" s="88">
        <v>1</v>
      </c>
      <c r="M65" s="88">
        <v>40</v>
      </c>
      <c r="N65" s="88">
        <v>34</v>
      </c>
      <c r="O65" s="88">
        <v>1</v>
      </c>
      <c r="P65" s="88">
        <v>1</v>
      </c>
      <c r="Q65" s="88">
        <v>1</v>
      </c>
      <c r="R65" s="88">
        <v>20</v>
      </c>
      <c r="S65" s="88">
        <v>10</v>
      </c>
      <c r="T65" s="88">
        <v>0</v>
      </c>
      <c r="U65" s="88">
        <v>0</v>
      </c>
      <c r="V65" s="88">
        <v>0</v>
      </c>
      <c r="W65" s="88">
        <v>0</v>
      </c>
      <c r="X65" s="88">
        <v>20</v>
      </c>
      <c r="Y65" s="88">
        <v>0</v>
      </c>
      <c r="Z65" s="88">
        <v>10</v>
      </c>
      <c r="AA65" s="88">
        <v>0</v>
      </c>
      <c r="AB65" s="88">
        <v>1</v>
      </c>
      <c r="AC65" s="88">
        <v>0</v>
      </c>
      <c r="AD65" s="88">
        <v>0</v>
      </c>
      <c r="AE65" s="88" t="s">
        <v>1133</v>
      </c>
      <c r="AF65" s="88">
        <v>0</v>
      </c>
      <c r="AG65" s="88">
        <v>0</v>
      </c>
      <c r="AH65" s="88" t="s">
        <v>1133</v>
      </c>
      <c r="AI65" s="88" t="s">
        <v>1133</v>
      </c>
      <c r="AJ65" s="88" t="s">
        <v>1133</v>
      </c>
      <c r="AK65" s="88">
        <v>2</v>
      </c>
      <c r="AL65" s="88">
        <v>20</v>
      </c>
      <c r="AM65" s="88">
        <v>9</v>
      </c>
      <c r="AN65" s="88">
        <v>0</v>
      </c>
      <c r="AO65" s="88">
        <v>1</v>
      </c>
      <c r="AP65" s="88" t="s">
        <v>1134</v>
      </c>
      <c r="AQ65" s="88" t="s">
        <v>1133</v>
      </c>
      <c r="AR65" s="88">
        <v>0</v>
      </c>
      <c r="AS65" s="88"/>
      <c r="AT65" s="88"/>
      <c r="AU65" s="88">
        <v>0</v>
      </c>
      <c r="AV65" s="88" t="s">
        <v>1133</v>
      </c>
      <c r="AW65" s="88" t="s">
        <v>1133</v>
      </c>
      <c r="AX65" s="88">
        <v>0</v>
      </c>
      <c r="AY65" s="88">
        <v>0</v>
      </c>
      <c r="AZ65" s="88">
        <v>0</v>
      </c>
      <c r="BA65" s="88">
        <v>0</v>
      </c>
      <c r="BB65" s="88" t="s">
        <v>0</v>
      </c>
    </row>
    <row r="66" spans="1:54">
      <c r="A66" s="88">
        <v>66</v>
      </c>
      <c r="B66" s="88">
        <v>66</v>
      </c>
      <c r="C66" s="88"/>
      <c r="D66" s="88" t="s">
        <v>433</v>
      </c>
      <c r="E66" s="88">
        <v>0</v>
      </c>
      <c r="F66" s="88">
        <v>1150</v>
      </c>
      <c r="G66" s="88">
        <v>1</v>
      </c>
      <c r="H66" s="88">
        <v>2</v>
      </c>
      <c r="I66" s="88">
        <v>2</v>
      </c>
      <c r="J66" s="88">
        <v>0</v>
      </c>
      <c r="K66" s="88">
        <v>0</v>
      </c>
      <c r="L66" s="88">
        <v>1</v>
      </c>
      <c r="M66" s="88">
        <v>50</v>
      </c>
      <c r="N66" s="88">
        <v>34</v>
      </c>
      <c r="O66" s="88">
        <v>1</v>
      </c>
      <c r="P66" s="88">
        <v>1</v>
      </c>
      <c r="Q66" s="88">
        <v>1</v>
      </c>
      <c r="R66" s="88">
        <v>20</v>
      </c>
      <c r="S66" s="88">
        <v>10</v>
      </c>
      <c r="T66" s="88">
        <v>0</v>
      </c>
      <c r="U66" s="88">
        <v>0</v>
      </c>
      <c r="V66" s="88">
        <v>0</v>
      </c>
      <c r="W66" s="88">
        <v>0</v>
      </c>
      <c r="X66" s="88">
        <v>20</v>
      </c>
      <c r="Y66" s="88">
        <v>0</v>
      </c>
      <c r="Z66" s="88">
        <v>10</v>
      </c>
      <c r="AA66" s="88">
        <v>0</v>
      </c>
      <c r="AB66" s="88">
        <v>1</v>
      </c>
      <c r="AC66" s="88">
        <v>0</v>
      </c>
      <c r="AD66" s="88">
        <v>0</v>
      </c>
      <c r="AE66" s="88" t="s">
        <v>1133</v>
      </c>
      <c r="AF66" s="88">
        <v>0</v>
      </c>
      <c r="AG66" s="88">
        <v>0</v>
      </c>
      <c r="AH66" s="88" t="s">
        <v>1133</v>
      </c>
      <c r="AI66" s="88" t="s">
        <v>1133</v>
      </c>
      <c r="AJ66" s="88" t="s">
        <v>1133</v>
      </c>
      <c r="AK66" s="88">
        <v>2</v>
      </c>
      <c r="AL66" s="88">
        <v>20</v>
      </c>
      <c r="AM66" s="88">
        <v>9</v>
      </c>
      <c r="AN66" s="88">
        <v>0</v>
      </c>
      <c r="AO66" s="88">
        <v>1</v>
      </c>
      <c r="AP66" s="88" t="s">
        <v>1134</v>
      </c>
      <c r="AQ66" s="88" t="s">
        <v>1133</v>
      </c>
      <c r="AR66" s="88">
        <v>0</v>
      </c>
      <c r="AS66" s="88"/>
      <c r="AT66" s="88"/>
      <c r="AU66" s="88">
        <v>0</v>
      </c>
      <c r="AV66" s="88" t="s">
        <v>1133</v>
      </c>
      <c r="AW66" s="88" t="s">
        <v>1133</v>
      </c>
      <c r="AX66" s="88">
        <v>0</v>
      </c>
      <c r="AY66" s="88">
        <v>0</v>
      </c>
      <c r="AZ66" s="88">
        <v>0</v>
      </c>
      <c r="BA66" s="88">
        <v>0</v>
      </c>
      <c r="BB66" s="88" t="s">
        <v>0</v>
      </c>
    </row>
    <row r="67" spans="1:54">
      <c r="A67" s="88">
        <v>67</v>
      </c>
      <c r="B67" s="88">
        <v>67</v>
      </c>
      <c r="C67" s="88"/>
      <c r="D67" s="88" t="s">
        <v>434</v>
      </c>
      <c r="E67" s="88">
        <v>0</v>
      </c>
      <c r="F67" s="88">
        <v>1150</v>
      </c>
      <c r="G67" s="88">
        <v>1</v>
      </c>
      <c r="H67" s="88">
        <v>2</v>
      </c>
      <c r="I67" s="88">
        <v>2</v>
      </c>
      <c r="J67" s="88">
        <v>0</v>
      </c>
      <c r="K67" s="88">
        <v>0</v>
      </c>
      <c r="L67" s="88">
        <v>1</v>
      </c>
      <c r="M67" s="88">
        <v>80</v>
      </c>
      <c r="N67" s="88">
        <v>34</v>
      </c>
      <c r="O67" s="88">
        <v>1</v>
      </c>
      <c r="P67" s="88">
        <v>1</v>
      </c>
      <c r="Q67" s="88">
        <v>1</v>
      </c>
      <c r="R67" s="88">
        <v>20</v>
      </c>
      <c r="S67" s="88">
        <v>10</v>
      </c>
      <c r="T67" s="88">
        <v>0</v>
      </c>
      <c r="U67" s="88">
        <v>0</v>
      </c>
      <c r="V67" s="88">
        <v>0</v>
      </c>
      <c r="W67" s="88">
        <v>0</v>
      </c>
      <c r="X67" s="88">
        <v>20</v>
      </c>
      <c r="Y67" s="88">
        <v>0</v>
      </c>
      <c r="Z67" s="88">
        <v>10</v>
      </c>
      <c r="AA67" s="88">
        <v>0</v>
      </c>
      <c r="AB67" s="88">
        <v>1</v>
      </c>
      <c r="AC67" s="88">
        <v>0</v>
      </c>
      <c r="AD67" s="88">
        <v>0</v>
      </c>
      <c r="AE67" s="88" t="s">
        <v>1133</v>
      </c>
      <c r="AF67" s="88">
        <v>0</v>
      </c>
      <c r="AG67" s="88">
        <v>0</v>
      </c>
      <c r="AH67" s="88" t="s">
        <v>1133</v>
      </c>
      <c r="AI67" s="88" t="s">
        <v>1133</v>
      </c>
      <c r="AJ67" s="88" t="s">
        <v>1133</v>
      </c>
      <c r="AK67" s="88">
        <v>2</v>
      </c>
      <c r="AL67" s="88">
        <v>20</v>
      </c>
      <c r="AM67" s="88">
        <v>9</v>
      </c>
      <c r="AN67" s="88">
        <v>0</v>
      </c>
      <c r="AO67" s="88">
        <v>1</v>
      </c>
      <c r="AP67" s="88" t="s">
        <v>1134</v>
      </c>
      <c r="AQ67" s="88" t="s">
        <v>1133</v>
      </c>
      <c r="AR67" s="88">
        <v>0</v>
      </c>
      <c r="AS67" s="88"/>
      <c r="AT67" s="88"/>
      <c r="AU67" s="88">
        <v>0</v>
      </c>
      <c r="AV67" s="88" t="s">
        <v>1133</v>
      </c>
      <c r="AW67" s="88" t="s">
        <v>1133</v>
      </c>
      <c r="AX67" s="88">
        <v>0</v>
      </c>
      <c r="AY67" s="88">
        <v>0</v>
      </c>
      <c r="AZ67" s="88">
        <v>0</v>
      </c>
      <c r="BA67" s="88">
        <v>0</v>
      </c>
      <c r="BB67" s="88" t="s">
        <v>0</v>
      </c>
    </row>
    <row r="68" spans="1:54">
      <c r="A68" s="88">
        <v>68</v>
      </c>
      <c r="B68" s="88">
        <v>68</v>
      </c>
      <c r="C68" s="88"/>
      <c r="D68" s="88" t="s">
        <v>462</v>
      </c>
      <c r="E68" s="88">
        <v>0</v>
      </c>
      <c r="F68" s="88">
        <v>1150</v>
      </c>
      <c r="G68" s="88">
        <v>1</v>
      </c>
      <c r="H68" s="88">
        <v>2</v>
      </c>
      <c r="I68" s="88">
        <v>2</v>
      </c>
      <c r="J68" s="88">
        <v>0</v>
      </c>
      <c r="K68" s="88">
        <v>0</v>
      </c>
      <c r="L68" s="88">
        <v>1</v>
      </c>
      <c r="M68" s="88">
        <v>600</v>
      </c>
      <c r="N68" s="88">
        <v>34</v>
      </c>
      <c r="O68" s="88">
        <v>1</v>
      </c>
      <c r="P68" s="88">
        <v>1</v>
      </c>
      <c r="Q68" s="88">
        <v>1</v>
      </c>
      <c r="R68" s="88">
        <v>20</v>
      </c>
      <c r="S68" s="88">
        <v>10</v>
      </c>
      <c r="T68" s="88">
        <v>0</v>
      </c>
      <c r="U68" s="88">
        <v>0</v>
      </c>
      <c r="V68" s="88">
        <v>0</v>
      </c>
      <c r="W68" s="88">
        <v>0</v>
      </c>
      <c r="X68" s="88">
        <v>20</v>
      </c>
      <c r="Y68" s="88">
        <v>0</v>
      </c>
      <c r="Z68" s="88">
        <v>10</v>
      </c>
      <c r="AA68" s="88">
        <v>0</v>
      </c>
      <c r="AB68" s="88">
        <v>1</v>
      </c>
      <c r="AC68" s="88">
        <v>0</v>
      </c>
      <c r="AD68" s="88">
        <v>0</v>
      </c>
      <c r="AE68" s="88" t="s">
        <v>1133</v>
      </c>
      <c r="AF68" s="88">
        <v>0</v>
      </c>
      <c r="AG68" s="88">
        <v>0</v>
      </c>
      <c r="AH68" s="88" t="s">
        <v>1133</v>
      </c>
      <c r="AI68" s="88" t="s">
        <v>1133</v>
      </c>
      <c r="AJ68" s="88" t="s">
        <v>1133</v>
      </c>
      <c r="AK68" s="88">
        <v>2</v>
      </c>
      <c r="AL68" s="88">
        <v>20</v>
      </c>
      <c r="AM68" s="88">
        <v>9</v>
      </c>
      <c r="AN68" s="88">
        <v>0</v>
      </c>
      <c r="AO68" s="88">
        <v>1</v>
      </c>
      <c r="AP68" s="88" t="s">
        <v>1134</v>
      </c>
      <c r="AQ68" s="88" t="s">
        <v>1133</v>
      </c>
      <c r="AR68" s="88">
        <v>0</v>
      </c>
      <c r="AS68" s="88"/>
      <c r="AT68" s="88"/>
      <c r="AU68" s="88">
        <v>0</v>
      </c>
      <c r="AV68" s="88" t="s">
        <v>1133</v>
      </c>
      <c r="AW68" s="88" t="s">
        <v>1133</v>
      </c>
      <c r="AX68" s="88">
        <v>0</v>
      </c>
      <c r="AY68" s="88">
        <v>0</v>
      </c>
      <c r="AZ68" s="88">
        <v>0</v>
      </c>
      <c r="BA68" s="88">
        <v>0</v>
      </c>
      <c r="BB68" s="88" t="s">
        <v>0</v>
      </c>
    </row>
    <row r="69" spans="1:54">
      <c r="A69" s="88">
        <v>69</v>
      </c>
      <c r="B69" s="88">
        <v>69</v>
      </c>
      <c r="C69" s="88"/>
      <c r="D69" s="88" t="s">
        <v>464</v>
      </c>
      <c r="E69" s="88">
        <v>0</v>
      </c>
      <c r="F69" s="88">
        <v>1150</v>
      </c>
      <c r="G69" s="88">
        <v>1</v>
      </c>
      <c r="H69" s="88">
        <v>2</v>
      </c>
      <c r="I69" s="88">
        <v>2</v>
      </c>
      <c r="J69" s="88">
        <v>0</v>
      </c>
      <c r="K69" s="88">
        <v>0</v>
      </c>
      <c r="L69" s="88">
        <v>1</v>
      </c>
      <c r="M69" s="88">
        <v>800</v>
      </c>
      <c r="N69" s="88">
        <v>34</v>
      </c>
      <c r="O69" s="88">
        <v>1</v>
      </c>
      <c r="P69" s="88">
        <v>1</v>
      </c>
      <c r="Q69" s="88">
        <v>1</v>
      </c>
      <c r="R69" s="88">
        <v>20</v>
      </c>
      <c r="S69" s="88">
        <v>10</v>
      </c>
      <c r="T69" s="88">
        <v>0</v>
      </c>
      <c r="U69" s="88">
        <v>0</v>
      </c>
      <c r="V69" s="88">
        <v>0</v>
      </c>
      <c r="W69" s="88">
        <v>0</v>
      </c>
      <c r="X69" s="88">
        <v>20</v>
      </c>
      <c r="Y69" s="88">
        <v>0</v>
      </c>
      <c r="Z69" s="88">
        <v>10</v>
      </c>
      <c r="AA69" s="88">
        <v>0</v>
      </c>
      <c r="AB69" s="88">
        <v>1</v>
      </c>
      <c r="AC69" s="88">
        <v>0</v>
      </c>
      <c r="AD69" s="88">
        <v>0</v>
      </c>
      <c r="AE69" s="88" t="s">
        <v>1133</v>
      </c>
      <c r="AF69" s="88">
        <v>0</v>
      </c>
      <c r="AG69" s="88">
        <v>0</v>
      </c>
      <c r="AH69" s="88" t="s">
        <v>1133</v>
      </c>
      <c r="AI69" s="88" t="s">
        <v>1133</v>
      </c>
      <c r="AJ69" s="88" t="s">
        <v>1133</v>
      </c>
      <c r="AK69" s="88">
        <v>2</v>
      </c>
      <c r="AL69" s="88">
        <v>20</v>
      </c>
      <c r="AM69" s="88">
        <v>9</v>
      </c>
      <c r="AN69" s="88">
        <v>0</v>
      </c>
      <c r="AO69" s="88">
        <v>1</v>
      </c>
      <c r="AP69" s="88" t="s">
        <v>1134</v>
      </c>
      <c r="AQ69" s="88" t="s">
        <v>1133</v>
      </c>
      <c r="AR69" s="88">
        <v>0</v>
      </c>
      <c r="AS69" s="88"/>
      <c r="AT69" s="88"/>
      <c r="AU69" s="88">
        <v>0</v>
      </c>
      <c r="AV69" s="88" t="s">
        <v>1133</v>
      </c>
      <c r="AW69" s="88" t="s">
        <v>1133</v>
      </c>
      <c r="AX69" s="88">
        <v>0</v>
      </c>
      <c r="AY69" s="88">
        <v>0</v>
      </c>
      <c r="AZ69" s="88">
        <v>0</v>
      </c>
      <c r="BA69" s="88">
        <v>0</v>
      </c>
      <c r="BB69" s="88" t="s">
        <v>0</v>
      </c>
    </row>
    <row r="70" spans="1:54">
      <c r="A70" s="88">
        <v>70</v>
      </c>
      <c r="B70" s="88">
        <v>70</v>
      </c>
      <c r="C70" s="88"/>
      <c r="D70" s="88" t="s">
        <v>466</v>
      </c>
      <c r="E70" s="88">
        <v>0</v>
      </c>
      <c r="F70" s="88">
        <v>1150</v>
      </c>
      <c r="G70" s="88">
        <v>1</v>
      </c>
      <c r="H70" s="88">
        <v>2</v>
      </c>
      <c r="I70" s="88">
        <v>2</v>
      </c>
      <c r="J70" s="88">
        <v>0</v>
      </c>
      <c r="K70" s="88">
        <v>0</v>
      </c>
      <c r="L70" s="88">
        <v>1</v>
      </c>
      <c r="M70" s="88">
        <v>960</v>
      </c>
      <c r="N70" s="88">
        <v>34</v>
      </c>
      <c r="O70" s="88">
        <v>1</v>
      </c>
      <c r="P70" s="88">
        <v>1</v>
      </c>
      <c r="Q70" s="88">
        <v>1</v>
      </c>
      <c r="R70" s="88">
        <v>20</v>
      </c>
      <c r="S70" s="88">
        <v>10</v>
      </c>
      <c r="T70" s="88">
        <v>0</v>
      </c>
      <c r="U70" s="88">
        <v>0</v>
      </c>
      <c r="V70" s="88">
        <v>0</v>
      </c>
      <c r="W70" s="88">
        <v>0</v>
      </c>
      <c r="X70" s="88">
        <v>20</v>
      </c>
      <c r="Y70" s="88">
        <v>0</v>
      </c>
      <c r="Z70" s="88">
        <v>10</v>
      </c>
      <c r="AA70" s="88">
        <v>0</v>
      </c>
      <c r="AB70" s="88">
        <v>1</v>
      </c>
      <c r="AC70" s="88">
        <v>0</v>
      </c>
      <c r="AD70" s="88">
        <v>0</v>
      </c>
      <c r="AE70" s="88" t="s">
        <v>1133</v>
      </c>
      <c r="AF70" s="88">
        <v>0</v>
      </c>
      <c r="AG70" s="88">
        <v>0</v>
      </c>
      <c r="AH70" s="88" t="s">
        <v>1133</v>
      </c>
      <c r="AI70" s="88" t="s">
        <v>1133</v>
      </c>
      <c r="AJ70" s="88" t="s">
        <v>1133</v>
      </c>
      <c r="AK70" s="88">
        <v>2</v>
      </c>
      <c r="AL70" s="88">
        <v>20</v>
      </c>
      <c r="AM70" s="88">
        <v>9</v>
      </c>
      <c r="AN70" s="88">
        <v>0</v>
      </c>
      <c r="AO70" s="88">
        <v>1</v>
      </c>
      <c r="AP70" s="88" t="s">
        <v>1134</v>
      </c>
      <c r="AQ70" s="88" t="s">
        <v>1133</v>
      </c>
      <c r="AR70" s="88">
        <v>0</v>
      </c>
      <c r="AS70" s="88"/>
      <c r="AT70" s="88"/>
      <c r="AU70" s="88">
        <v>0</v>
      </c>
      <c r="AV70" s="88" t="s">
        <v>1133</v>
      </c>
      <c r="AW70" s="88" t="s">
        <v>1133</v>
      </c>
      <c r="AX70" s="88">
        <v>0</v>
      </c>
      <c r="AY70" s="88">
        <v>0</v>
      </c>
      <c r="AZ70" s="88">
        <v>0</v>
      </c>
      <c r="BA70" s="88">
        <v>0</v>
      </c>
      <c r="BB70" s="88" t="s">
        <v>0</v>
      </c>
    </row>
    <row r="71" spans="1:54">
      <c r="A71" s="88">
        <v>71</v>
      </c>
      <c r="B71" s="88">
        <v>71</v>
      </c>
      <c r="C71" s="88"/>
      <c r="D71" s="88" t="s">
        <v>467</v>
      </c>
      <c r="E71" s="88">
        <v>0</v>
      </c>
      <c r="F71" s="88">
        <v>1150</v>
      </c>
      <c r="G71" s="88">
        <v>1</v>
      </c>
      <c r="H71" s="88">
        <v>2</v>
      </c>
      <c r="I71" s="88">
        <v>2</v>
      </c>
      <c r="J71" s="88">
        <v>0</v>
      </c>
      <c r="K71" s="88">
        <v>0</v>
      </c>
      <c r="L71" s="88">
        <v>1</v>
      </c>
      <c r="M71" s="88">
        <v>1280</v>
      </c>
      <c r="N71" s="88">
        <v>34</v>
      </c>
      <c r="O71" s="88">
        <v>1</v>
      </c>
      <c r="P71" s="88">
        <v>1</v>
      </c>
      <c r="Q71" s="88">
        <v>1</v>
      </c>
      <c r="R71" s="88">
        <v>20</v>
      </c>
      <c r="S71" s="88">
        <v>10</v>
      </c>
      <c r="T71" s="88">
        <v>0</v>
      </c>
      <c r="U71" s="88">
        <v>0</v>
      </c>
      <c r="V71" s="88">
        <v>0</v>
      </c>
      <c r="W71" s="88">
        <v>0</v>
      </c>
      <c r="X71" s="88">
        <v>20</v>
      </c>
      <c r="Y71" s="88">
        <v>0</v>
      </c>
      <c r="Z71" s="88">
        <v>10</v>
      </c>
      <c r="AA71" s="88">
        <v>0</v>
      </c>
      <c r="AB71" s="88">
        <v>1</v>
      </c>
      <c r="AC71" s="88">
        <v>0</v>
      </c>
      <c r="AD71" s="88">
        <v>0</v>
      </c>
      <c r="AE71" s="88" t="s">
        <v>1133</v>
      </c>
      <c r="AF71" s="88">
        <v>0</v>
      </c>
      <c r="AG71" s="88">
        <v>0</v>
      </c>
      <c r="AH71" s="88" t="s">
        <v>1133</v>
      </c>
      <c r="AI71" s="88" t="s">
        <v>1133</v>
      </c>
      <c r="AJ71" s="88" t="s">
        <v>1133</v>
      </c>
      <c r="AK71" s="88">
        <v>2</v>
      </c>
      <c r="AL71" s="88">
        <v>20</v>
      </c>
      <c r="AM71" s="88">
        <v>9</v>
      </c>
      <c r="AN71" s="88">
        <v>0</v>
      </c>
      <c r="AO71" s="88">
        <v>1</v>
      </c>
      <c r="AP71" s="88" t="s">
        <v>1134</v>
      </c>
      <c r="AQ71" s="88" t="s">
        <v>1133</v>
      </c>
      <c r="AR71" s="88">
        <v>0</v>
      </c>
      <c r="AS71" s="88"/>
      <c r="AT71" s="88"/>
      <c r="AU71" s="88">
        <v>0</v>
      </c>
      <c r="AV71" s="88" t="s">
        <v>1133</v>
      </c>
      <c r="AW71" s="88" t="s">
        <v>1133</v>
      </c>
      <c r="AX71" s="88">
        <v>0</v>
      </c>
      <c r="AY71" s="88">
        <v>0</v>
      </c>
      <c r="AZ71" s="88">
        <v>0</v>
      </c>
      <c r="BA71" s="88">
        <v>0</v>
      </c>
      <c r="BB71" s="88" t="s">
        <v>0</v>
      </c>
    </row>
    <row r="72" spans="1:54">
      <c r="A72" s="88">
        <v>72</v>
      </c>
      <c r="B72" s="88">
        <v>72</v>
      </c>
      <c r="C72" s="88"/>
      <c r="D72" s="88" t="s">
        <v>72</v>
      </c>
      <c r="E72" s="88">
        <v>0</v>
      </c>
      <c r="F72" s="88">
        <v>1146</v>
      </c>
      <c r="G72" s="88">
        <v>1</v>
      </c>
      <c r="H72" s="88">
        <v>2</v>
      </c>
      <c r="I72" s="88">
        <v>2</v>
      </c>
      <c r="J72" s="88">
        <v>0</v>
      </c>
      <c r="K72" s="88">
        <v>0</v>
      </c>
      <c r="L72" s="88">
        <v>1</v>
      </c>
      <c r="M72" s="88">
        <v>2</v>
      </c>
      <c r="N72" s="88">
        <v>34</v>
      </c>
      <c r="O72" s="88">
        <v>1</v>
      </c>
      <c r="P72" s="88">
        <v>1</v>
      </c>
      <c r="Q72" s="88">
        <v>1</v>
      </c>
      <c r="R72" s="88">
        <v>20</v>
      </c>
      <c r="S72" s="88">
        <v>10</v>
      </c>
      <c r="T72" s="88">
        <v>0</v>
      </c>
      <c r="U72" s="88">
        <v>0</v>
      </c>
      <c r="V72" s="88">
        <v>0</v>
      </c>
      <c r="W72" s="88">
        <v>0</v>
      </c>
      <c r="X72" s="88">
        <v>20</v>
      </c>
      <c r="Y72" s="88">
        <v>0</v>
      </c>
      <c r="Z72" s="88">
        <v>10</v>
      </c>
      <c r="AA72" s="88">
        <v>0</v>
      </c>
      <c r="AB72" s="88">
        <v>1</v>
      </c>
      <c r="AC72" s="88">
        <v>0</v>
      </c>
      <c r="AD72" s="88">
        <v>0</v>
      </c>
      <c r="AE72" s="88" t="s">
        <v>1133</v>
      </c>
      <c r="AF72" s="88">
        <v>0</v>
      </c>
      <c r="AG72" s="88">
        <v>0</v>
      </c>
      <c r="AH72" s="88" t="s">
        <v>1133</v>
      </c>
      <c r="AI72" s="88" t="s">
        <v>1133</v>
      </c>
      <c r="AJ72" s="88" t="s">
        <v>1133</v>
      </c>
      <c r="AK72" s="88">
        <v>2</v>
      </c>
      <c r="AL72" s="88">
        <v>20</v>
      </c>
      <c r="AM72" s="88">
        <v>9</v>
      </c>
      <c r="AN72" s="88">
        <v>0</v>
      </c>
      <c r="AO72" s="88">
        <v>1</v>
      </c>
      <c r="AP72" s="88" t="s">
        <v>1134</v>
      </c>
      <c r="AQ72" s="88" t="s">
        <v>1133</v>
      </c>
      <c r="AR72" s="88">
        <v>0</v>
      </c>
      <c r="AS72" s="88"/>
      <c r="AT72" s="88"/>
      <c r="AU72" s="88">
        <v>0</v>
      </c>
      <c r="AV72" s="88" t="s">
        <v>1133</v>
      </c>
      <c r="AW72" s="88" t="s">
        <v>1133</v>
      </c>
      <c r="AX72" s="88">
        <v>0</v>
      </c>
      <c r="AY72" s="88">
        <v>0</v>
      </c>
      <c r="AZ72" s="88">
        <v>0</v>
      </c>
      <c r="BA72" s="88">
        <v>0</v>
      </c>
      <c r="BB72" s="88" t="s">
        <v>0</v>
      </c>
    </row>
    <row r="73" spans="1:54">
      <c r="A73" s="88">
        <v>73</v>
      </c>
      <c r="B73" s="88">
        <v>73</v>
      </c>
      <c r="C73" s="88"/>
      <c r="D73" s="88" t="s">
        <v>73</v>
      </c>
      <c r="E73" s="88">
        <v>0</v>
      </c>
      <c r="F73" s="88">
        <v>1146</v>
      </c>
      <c r="G73" s="88">
        <v>1</v>
      </c>
      <c r="H73" s="88">
        <v>2</v>
      </c>
      <c r="I73" s="88">
        <v>2</v>
      </c>
      <c r="J73" s="88">
        <v>0</v>
      </c>
      <c r="K73" s="88">
        <v>0</v>
      </c>
      <c r="L73" s="88">
        <v>1</v>
      </c>
      <c r="M73" s="88">
        <v>5</v>
      </c>
      <c r="N73" s="88">
        <v>34</v>
      </c>
      <c r="O73" s="88">
        <v>1</v>
      </c>
      <c r="P73" s="88">
        <v>1</v>
      </c>
      <c r="Q73" s="88">
        <v>1</v>
      </c>
      <c r="R73" s="88">
        <v>20</v>
      </c>
      <c r="S73" s="88">
        <v>10</v>
      </c>
      <c r="T73" s="88">
        <v>0</v>
      </c>
      <c r="U73" s="88">
        <v>0</v>
      </c>
      <c r="V73" s="88">
        <v>0</v>
      </c>
      <c r="W73" s="88">
        <v>0</v>
      </c>
      <c r="X73" s="88">
        <v>20</v>
      </c>
      <c r="Y73" s="88">
        <v>0</v>
      </c>
      <c r="Z73" s="88">
        <v>10</v>
      </c>
      <c r="AA73" s="88">
        <v>0</v>
      </c>
      <c r="AB73" s="88">
        <v>1</v>
      </c>
      <c r="AC73" s="88">
        <v>0</v>
      </c>
      <c r="AD73" s="88">
        <v>0</v>
      </c>
      <c r="AE73" s="88" t="s">
        <v>1133</v>
      </c>
      <c r="AF73" s="88">
        <v>0</v>
      </c>
      <c r="AG73" s="88">
        <v>0</v>
      </c>
      <c r="AH73" s="88" t="s">
        <v>1133</v>
      </c>
      <c r="AI73" s="88" t="s">
        <v>1133</v>
      </c>
      <c r="AJ73" s="88" t="s">
        <v>1133</v>
      </c>
      <c r="AK73" s="88">
        <v>2</v>
      </c>
      <c r="AL73" s="88">
        <v>20</v>
      </c>
      <c r="AM73" s="88">
        <v>9</v>
      </c>
      <c r="AN73" s="88">
        <v>0</v>
      </c>
      <c r="AO73" s="88">
        <v>1</v>
      </c>
      <c r="AP73" s="88" t="s">
        <v>1134</v>
      </c>
      <c r="AQ73" s="88" t="s">
        <v>1133</v>
      </c>
      <c r="AR73" s="88">
        <v>0</v>
      </c>
      <c r="AS73" s="88"/>
      <c r="AT73" s="88"/>
      <c r="AU73" s="88">
        <v>0</v>
      </c>
      <c r="AV73" s="88" t="s">
        <v>1133</v>
      </c>
      <c r="AW73" s="88" t="s">
        <v>1133</v>
      </c>
      <c r="AX73" s="88">
        <v>0</v>
      </c>
      <c r="AY73" s="88">
        <v>0</v>
      </c>
      <c r="AZ73" s="88">
        <v>0</v>
      </c>
      <c r="BA73" s="88">
        <v>0</v>
      </c>
      <c r="BB73" s="88" t="s">
        <v>0</v>
      </c>
    </row>
    <row r="74" spans="1:54">
      <c r="A74" s="88">
        <v>74</v>
      </c>
      <c r="B74" s="88">
        <v>74</v>
      </c>
      <c r="C74" s="88"/>
      <c r="D74" s="88" t="s">
        <v>74</v>
      </c>
      <c r="E74" s="88">
        <v>0</v>
      </c>
      <c r="F74" s="88">
        <v>1146</v>
      </c>
      <c r="G74" s="88">
        <v>1</v>
      </c>
      <c r="H74" s="88">
        <v>2</v>
      </c>
      <c r="I74" s="88">
        <v>2</v>
      </c>
      <c r="J74" s="88">
        <v>0</v>
      </c>
      <c r="K74" s="88">
        <v>0</v>
      </c>
      <c r="L74" s="88">
        <v>1</v>
      </c>
      <c r="M74" s="88">
        <v>7</v>
      </c>
      <c r="N74" s="88">
        <v>34</v>
      </c>
      <c r="O74" s="88">
        <v>1</v>
      </c>
      <c r="P74" s="88">
        <v>1</v>
      </c>
      <c r="Q74" s="88">
        <v>1</v>
      </c>
      <c r="R74" s="88">
        <v>20</v>
      </c>
      <c r="S74" s="88">
        <v>10</v>
      </c>
      <c r="T74" s="88">
        <v>0</v>
      </c>
      <c r="U74" s="88">
        <v>0</v>
      </c>
      <c r="V74" s="88">
        <v>0</v>
      </c>
      <c r="W74" s="88">
        <v>0</v>
      </c>
      <c r="X74" s="88">
        <v>20</v>
      </c>
      <c r="Y74" s="88">
        <v>0</v>
      </c>
      <c r="Z74" s="88">
        <v>10</v>
      </c>
      <c r="AA74" s="88">
        <v>0</v>
      </c>
      <c r="AB74" s="88">
        <v>1</v>
      </c>
      <c r="AC74" s="88">
        <v>0</v>
      </c>
      <c r="AD74" s="88">
        <v>0</v>
      </c>
      <c r="AE74" s="88" t="s">
        <v>1133</v>
      </c>
      <c r="AF74" s="88">
        <v>0</v>
      </c>
      <c r="AG74" s="88">
        <v>0</v>
      </c>
      <c r="AH74" s="88" t="s">
        <v>1133</v>
      </c>
      <c r="AI74" s="88" t="s">
        <v>1133</v>
      </c>
      <c r="AJ74" s="88" t="s">
        <v>1133</v>
      </c>
      <c r="AK74" s="88">
        <v>2</v>
      </c>
      <c r="AL74" s="88">
        <v>20</v>
      </c>
      <c r="AM74" s="88">
        <v>9</v>
      </c>
      <c r="AN74" s="88">
        <v>0</v>
      </c>
      <c r="AO74" s="88">
        <v>1</v>
      </c>
      <c r="AP74" s="88" t="s">
        <v>1134</v>
      </c>
      <c r="AQ74" s="88" t="s">
        <v>1133</v>
      </c>
      <c r="AR74" s="88">
        <v>0</v>
      </c>
      <c r="AS74" s="88"/>
      <c r="AT74" s="88"/>
      <c r="AU74" s="88">
        <v>0</v>
      </c>
      <c r="AV74" s="88" t="s">
        <v>1133</v>
      </c>
      <c r="AW74" s="88" t="s">
        <v>1133</v>
      </c>
      <c r="AX74" s="88">
        <v>0</v>
      </c>
      <c r="AY74" s="88">
        <v>0</v>
      </c>
      <c r="AZ74" s="88">
        <v>0</v>
      </c>
      <c r="BA74" s="88">
        <v>0</v>
      </c>
      <c r="BB74" s="88" t="s">
        <v>0</v>
      </c>
    </row>
    <row r="75" spans="1:54">
      <c r="A75" s="88">
        <v>75</v>
      </c>
      <c r="B75" s="88">
        <v>75</v>
      </c>
      <c r="C75" s="88"/>
      <c r="D75" s="88" t="s">
        <v>75</v>
      </c>
      <c r="E75" s="88">
        <v>0</v>
      </c>
      <c r="F75" s="88">
        <v>1146</v>
      </c>
      <c r="G75" s="88">
        <v>1</v>
      </c>
      <c r="H75" s="88">
        <v>2</v>
      </c>
      <c r="I75" s="88">
        <v>2</v>
      </c>
      <c r="J75" s="88">
        <v>0</v>
      </c>
      <c r="K75" s="88">
        <v>0</v>
      </c>
      <c r="L75" s="88">
        <v>1</v>
      </c>
      <c r="M75" s="88">
        <v>10</v>
      </c>
      <c r="N75" s="88">
        <v>34</v>
      </c>
      <c r="O75" s="88">
        <v>1</v>
      </c>
      <c r="P75" s="88">
        <v>1</v>
      </c>
      <c r="Q75" s="88">
        <v>1</v>
      </c>
      <c r="R75" s="88">
        <v>20</v>
      </c>
      <c r="S75" s="88">
        <v>10</v>
      </c>
      <c r="T75" s="88">
        <v>0</v>
      </c>
      <c r="U75" s="88">
        <v>0</v>
      </c>
      <c r="V75" s="88">
        <v>0</v>
      </c>
      <c r="W75" s="88">
        <v>0</v>
      </c>
      <c r="X75" s="88">
        <v>20</v>
      </c>
      <c r="Y75" s="88">
        <v>0</v>
      </c>
      <c r="Z75" s="88">
        <v>10</v>
      </c>
      <c r="AA75" s="88">
        <v>0</v>
      </c>
      <c r="AB75" s="88">
        <v>1</v>
      </c>
      <c r="AC75" s="88">
        <v>0</v>
      </c>
      <c r="AD75" s="88">
        <v>0</v>
      </c>
      <c r="AE75" s="88" t="s">
        <v>1133</v>
      </c>
      <c r="AF75" s="88">
        <v>0</v>
      </c>
      <c r="AG75" s="88">
        <v>0</v>
      </c>
      <c r="AH75" s="88" t="s">
        <v>1133</v>
      </c>
      <c r="AI75" s="88" t="s">
        <v>1133</v>
      </c>
      <c r="AJ75" s="88" t="s">
        <v>1133</v>
      </c>
      <c r="AK75" s="88">
        <v>2</v>
      </c>
      <c r="AL75" s="88">
        <v>20</v>
      </c>
      <c r="AM75" s="88">
        <v>9</v>
      </c>
      <c r="AN75" s="88">
        <v>0</v>
      </c>
      <c r="AO75" s="88">
        <v>1</v>
      </c>
      <c r="AP75" s="88" t="s">
        <v>1134</v>
      </c>
      <c r="AQ75" s="88" t="s">
        <v>1133</v>
      </c>
      <c r="AR75" s="88">
        <v>0</v>
      </c>
      <c r="AS75" s="88"/>
      <c r="AT75" s="88"/>
      <c r="AU75" s="88">
        <v>0</v>
      </c>
      <c r="AV75" s="88" t="s">
        <v>1133</v>
      </c>
      <c r="AW75" s="88" t="s">
        <v>1133</v>
      </c>
      <c r="AX75" s="88">
        <v>0</v>
      </c>
      <c r="AY75" s="88">
        <v>0</v>
      </c>
      <c r="AZ75" s="88">
        <v>0</v>
      </c>
      <c r="BA75" s="88">
        <v>0</v>
      </c>
      <c r="BB75" s="88" t="s">
        <v>0</v>
      </c>
    </row>
    <row r="76" spans="1:54">
      <c r="A76" s="88">
        <v>76</v>
      </c>
      <c r="B76" s="88">
        <v>76</v>
      </c>
      <c r="C76" s="88"/>
      <c r="D76" s="88" t="s">
        <v>76</v>
      </c>
      <c r="E76" s="88">
        <v>0</v>
      </c>
      <c r="F76" s="88">
        <v>1146</v>
      </c>
      <c r="G76" s="88">
        <v>1</v>
      </c>
      <c r="H76" s="88">
        <v>2</v>
      </c>
      <c r="I76" s="88">
        <v>2</v>
      </c>
      <c r="J76" s="88">
        <v>0</v>
      </c>
      <c r="K76" s="88">
        <v>0</v>
      </c>
      <c r="L76" s="88">
        <v>1</v>
      </c>
      <c r="M76" s="88">
        <v>14</v>
      </c>
      <c r="N76" s="88">
        <v>34</v>
      </c>
      <c r="O76" s="88">
        <v>1</v>
      </c>
      <c r="P76" s="88">
        <v>1</v>
      </c>
      <c r="Q76" s="88">
        <v>1</v>
      </c>
      <c r="R76" s="88">
        <v>20</v>
      </c>
      <c r="S76" s="88">
        <v>10</v>
      </c>
      <c r="T76" s="88">
        <v>0</v>
      </c>
      <c r="U76" s="88">
        <v>0</v>
      </c>
      <c r="V76" s="88">
        <v>0</v>
      </c>
      <c r="W76" s="88">
        <v>0</v>
      </c>
      <c r="X76" s="88">
        <v>20</v>
      </c>
      <c r="Y76" s="88">
        <v>0</v>
      </c>
      <c r="Z76" s="88">
        <v>10</v>
      </c>
      <c r="AA76" s="88">
        <v>0</v>
      </c>
      <c r="AB76" s="88">
        <v>1</v>
      </c>
      <c r="AC76" s="88">
        <v>0</v>
      </c>
      <c r="AD76" s="88">
        <v>0</v>
      </c>
      <c r="AE76" s="88" t="s">
        <v>1133</v>
      </c>
      <c r="AF76" s="88">
        <v>0</v>
      </c>
      <c r="AG76" s="88">
        <v>0</v>
      </c>
      <c r="AH76" s="88" t="s">
        <v>1133</v>
      </c>
      <c r="AI76" s="88" t="s">
        <v>1133</v>
      </c>
      <c r="AJ76" s="88" t="s">
        <v>1133</v>
      </c>
      <c r="AK76" s="88">
        <v>2</v>
      </c>
      <c r="AL76" s="88">
        <v>20</v>
      </c>
      <c r="AM76" s="88">
        <v>9</v>
      </c>
      <c r="AN76" s="88">
        <v>0</v>
      </c>
      <c r="AO76" s="88">
        <v>1</v>
      </c>
      <c r="AP76" s="88" t="s">
        <v>1134</v>
      </c>
      <c r="AQ76" s="88" t="s">
        <v>1133</v>
      </c>
      <c r="AR76" s="88">
        <v>0</v>
      </c>
      <c r="AS76" s="88"/>
      <c r="AT76" s="88"/>
      <c r="AU76" s="88">
        <v>0</v>
      </c>
      <c r="AV76" s="88" t="s">
        <v>1133</v>
      </c>
      <c r="AW76" s="88" t="s">
        <v>1133</v>
      </c>
      <c r="AX76" s="88">
        <v>0</v>
      </c>
      <c r="AY76" s="88">
        <v>0</v>
      </c>
      <c r="AZ76" s="88">
        <v>0</v>
      </c>
      <c r="BA76" s="88">
        <v>0</v>
      </c>
      <c r="BB76" s="88" t="s">
        <v>0</v>
      </c>
    </row>
    <row r="77" spans="1:54">
      <c r="A77" s="88">
        <v>77</v>
      </c>
      <c r="B77" s="88">
        <v>77</v>
      </c>
      <c r="C77" s="88"/>
      <c r="D77" s="88" t="s">
        <v>77</v>
      </c>
      <c r="E77" s="88">
        <v>0</v>
      </c>
      <c r="F77" s="88">
        <v>1146</v>
      </c>
      <c r="G77" s="88">
        <v>1</v>
      </c>
      <c r="H77" s="88">
        <v>2</v>
      </c>
      <c r="I77" s="88">
        <v>2</v>
      </c>
      <c r="J77" s="88">
        <v>0</v>
      </c>
      <c r="K77" s="88">
        <v>0</v>
      </c>
      <c r="L77" s="88">
        <v>1</v>
      </c>
      <c r="M77" s="88">
        <v>16</v>
      </c>
      <c r="N77" s="88">
        <v>34</v>
      </c>
      <c r="O77" s="88">
        <v>1</v>
      </c>
      <c r="P77" s="88">
        <v>1</v>
      </c>
      <c r="Q77" s="88">
        <v>1</v>
      </c>
      <c r="R77" s="88">
        <v>20</v>
      </c>
      <c r="S77" s="88">
        <v>10</v>
      </c>
      <c r="T77" s="88">
        <v>0</v>
      </c>
      <c r="U77" s="88">
        <v>0</v>
      </c>
      <c r="V77" s="88">
        <v>0</v>
      </c>
      <c r="W77" s="88">
        <v>0</v>
      </c>
      <c r="X77" s="88">
        <v>20</v>
      </c>
      <c r="Y77" s="88">
        <v>0</v>
      </c>
      <c r="Z77" s="88">
        <v>10</v>
      </c>
      <c r="AA77" s="88">
        <v>0</v>
      </c>
      <c r="AB77" s="88">
        <v>1</v>
      </c>
      <c r="AC77" s="88">
        <v>0</v>
      </c>
      <c r="AD77" s="88">
        <v>0</v>
      </c>
      <c r="AE77" s="88" t="s">
        <v>1133</v>
      </c>
      <c r="AF77" s="88">
        <v>0</v>
      </c>
      <c r="AG77" s="88">
        <v>0</v>
      </c>
      <c r="AH77" s="88" t="s">
        <v>1133</v>
      </c>
      <c r="AI77" s="88" t="s">
        <v>1133</v>
      </c>
      <c r="AJ77" s="88" t="s">
        <v>1133</v>
      </c>
      <c r="AK77" s="88">
        <v>2</v>
      </c>
      <c r="AL77" s="88">
        <v>20</v>
      </c>
      <c r="AM77" s="88">
        <v>9</v>
      </c>
      <c r="AN77" s="88">
        <v>0</v>
      </c>
      <c r="AO77" s="88">
        <v>1</v>
      </c>
      <c r="AP77" s="88" t="s">
        <v>1134</v>
      </c>
      <c r="AQ77" s="88" t="s">
        <v>1133</v>
      </c>
      <c r="AR77" s="88">
        <v>0</v>
      </c>
      <c r="AS77" s="88"/>
      <c r="AT77" s="88"/>
      <c r="AU77" s="88">
        <v>0</v>
      </c>
      <c r="AV77" s="88" t="s">
        <v>1133</v>
      </c>
      <c r="AW77" s="88" t="s">
        <v>1133</v>
      </c>
      <c r="AX77" s="88">
        <v>0</v>
      </c>
      <c r="AY77" s="88">
        <v>0</v>
      </c>
      <c r="AZ77" s="88">
        <v>0</v>
      </c>
      <c r="BA77" s="88">
        <v>0</v>
      </c>
      <c r="BB77" s="88" t="s">
        <v>0</v>
      </c>
    </row>
    <row r="78" spans="1:54">
      <c r="A78" s="88">
        <v>78</v>
      </c>
      <c r="B78" s="88">
        <v>78</v>
      </c>
      <c r="C78" s="88"/>
      <c r="D78" s="88" t="s">
        <v>78</v>
      </c>
      <c r="E78" s="88">
        <v>0</v>
      </c>
      <c r="F78" s="88">
        <v>1146</v>
      </c>
      <c r="G78" s="88">
        <v>1</v>
      </c>
      <c r="H78" s="88">
        <v>2</v>
      </c>
      <c r="I78" s="88">
        <v>2</v>
      </c>
      <c r="J78" s="88">
        <v>0</v>
      </c>
      <c r="K78" s="88">
        <v>0</v>
      </c>
      <c r="L78" s="88">
        <v>1</v>
      </c>
      <c r="M78" s="88">
        <v>20</v>
      </c>
      <c r="N78" s="88">
        <v>34</v>
      </c>
      <c r="O78" s="88">
        <v>1</v>
      </c>
      <c r="P78" s="88">
        <v>1</v>
      </c>
      <c r="Q78" s="88">
        <v>1</v>
      </c>
      <c r="R78" s="88">
        <v>20</v>
      </c>
      <c r="S78" s="88">
        <v>10</v>
      </c>
      <c r="T78" s="88">
        <v>0</v>
      </c>
      <c r="U78" s="88">
        <v>0</v>
      </c>
      <c r="V78" s="88">
        <v>0</v>
      </c>
      <c r="W78" s="88">
        <v>0</v>
      </c>
      <c r="X78" s="88">
        <v>20</v>
      </c>
      <c r="Y78" s="88">
        <v>0</v>
      </c>
      <c r="Z78" s="88">
        <v>10</v>
      </c>
      <c r="AA78" s="88">
        <v>0</v>
      </c>
      <c r="AB78" s="88">
        <v>1</v>
      </c>
      <c r="AC78" s="88">
        <v>0</v>
      </c>
      <c r="AD78" s="88">
        <v>0</v>
      </c>
      <c r="AE78" s="88" t="s">
        <v>1133</v>
      </c>
      <c r="AF78" s="88">
        <v>0</v>
      </c>
      <c r="AG78" s="88">
        <v>0</v>
      </c>
      <c r="AH78" s="88" t="s">
        <v>1133</v>
      </c>
      <c r="AI78" s="88" t="s">
        <v>1133</v>
      </c>
      <c r="AJ78" s="88" t="s">
        <v>1133</v>
      </c>
      <c r="AK78" s="88">
        <v>2</v>
      </c>
      <c r="AL78" s="88">
        <v>20</v>
      </c>
      <c r="AM78" s="88">
        <v>9</v>
      </c>
      <c r="AN78" s="88">
        <v>0</v>
      </c>
      <c r="AO78" s="88">
        <v>1</v>
      </c>
      <c r="AP78" s="88" t="s">
        <v>1134</v>
      </c>
      <c r="AQ78" s="88" t="s">
        <v>1133</v>
      </c>
      <c r="AR78" s="88">
        <v>0</v>
      </c>
      <c r="AS78" s="88"/>
      <c r="AT78" s="88"/>
      <c r="AU78" s="88">
        <v>0</v>
      </c>
      <c r="AV78" s="88" t="s">
        <v>1133</v>
      </c>
      <c r="AW78" s="88" t="s">
        <v>1133</v>
      </c>
      <c r="AX78" s="88">
        <v>0</v>
      </c>
      <c r="AY78" s="88">
        <v>0</v>
      </c>
      <c r="AZ78" s="88">
        <v>0</v>
      </c>
      <c r="BA78" s="88">
        <v>0</v>
      </c>
      <c r="BB78" s="88" t="s">
        <v>0</v>
      </c>
    </row>
    <row r="79" spans="1:54">
      <c r="A79" s="88">
        <v>79</v>
      </c>
      <c r="B79" s="88">
        <v>79</v>
      </c>
      <c r="C79" s="88"/>
      <c r="D79" s="88" t="s">
        <v>79</v>
      </c>
      <c r="E79" s="88">
        <v>0</v>
      </c>
      <c r="F79" s="88">
        <v>1146</v>
      </c>
      <c r="G79" s="88">
        <v>1</v>
      </c>
      <c r="H79" s="88">
        <v>2</v>
      </c>
      <c r="I79" s="88">
        <v>2</v>
      </c>
      <c r="J79" s="88">
        <v>0</v>
      </c>
      <c r="K79" s="88">
        <v>0</v>
      </c>
      <c r="L79" s="88">
        <v>1</v>
      </c>
      <c r="M79" s="88">
        <v>30</v>
      </c>
      <c r="N79" s="88">
        <v>34</v>
      </c>
      <c r="O79" s="88">
        <v>1</v>
      </c>
      <c r="P79" s="88">
        <v>1</v>
      </c>
      <c r="Q79" s="88">
        <v>1</v>
      </c>
      <c r="R79" s="88">
        <v>20</v>
      </c>
      <c r="S79" s="88">
        <v>10</v>
      </c>
      <c r="T79" s="88">
        <v>0</v>
      </c>
      <c r="U79" s="88">
        <v>0</v>
      </c>
      <c r="V79" s="88">
        <v>0</v>
      </c>
      <c r="W79" s="88">
        <v>0</v>
      </c>
      <c r="X79" s="88">
        <v>20</v>
      </c>
      <c r="Y79" s="88">
        <v>0</v>
      </c>
      <c r="Z79" s="88">
        <v>10</v>
      </c>
      <c r="AA79" s="88">
        <v>0</v>
      </c>
      <c r="AB79" s="88">
        <v>1</v>
      </c>
      <c r="AC79" s="88">
        <v>0</v>
      </c>
      <c r="AD79" s="88">
        <v>0</v>
      </c>
      <c r="AE79" s="88" t="s">
        <v>1133</v>
      </c>
      <c r="AF79" s="88">
        <v>0</v>
      </c>
      <c r="AG79" s="88">
        <v>0</v>
      </c>
      <c r="AH79" s="88" t="s">
        <v>1133</v>
      </c>
      <c r="AI79" s="88" t="s">
        <v>1133</v>
      </c>
      <c r="AJ79" s="88" t="s">
        <v>1133</v>
      </c>
      <c r="AK79" s="88">
        <v>2</v>
      </c>
      <c r="AL79" s="88">
        <v>20</v>
      </c>
      <c r="AM79" s="88">
        <v>9</v>
      </c>
      <c r="AN79" s="88">
        <v>0</v>
      </c>
      <c r="AO79" s="88">
        <v>1</v>
      </c>
      <c r="AP79" s="88" t="s">
        <v>1134</v>
      </c>
      <c r="AQ79" s="88" t="s">
        <v>1133</v>
      </c>
      <c r="AR79" s="88">
        <v>0</v>
      </c>
      <c r="AS79" s="88"/>
      <c r="AT79" s="88"/>
      <c r="AU79" s="88">
        <v>0</v>
      </c>
      <c r="AV79" s="88" t="s">
        <v>1133</v>
      </c>
      <c r="AW79" s="88" t="s">
        <v>1133</v>
      </c>
      <c r="AX79" s="88">
        <v>0</v>
      </c>
      <c r="AY79" s="88">
        <v>0</v>
      </c>
      <c r="AZ79" s="88">
        <v>0</v>
      </c>
      <c r="BA79" s="88">
        <v>0</v>
      </c>
      <c r="BB79" s="88" t="s">
        <v>0</v>
      </c>
    </row>
    <row r="80" spans="1:54">
      <c r="A80" s="88">
        <v>80</v>
      </c>
      <c r="B80" s="88">
        <v>80</v>
      </c>
      <c r="C80" s="88"/>
      <c r="D80" s="88" t="s">
        <v>80</v>
      </c>
      <c r="E80" s="88">
        <v>0</v>
      </c>
      <c r="F80" s="88">
        <v>1146</v>
      </c>
      <c r="G80" s="88">
        <v>1</v>
      </c>
      <c r="H80" s="88">
        <v>2</v>
      </c>
      <c r="I80" s="88">
        <v>2</v>
      </c>
      <c r="J80" s="88">
        <v>0</v>
      </c>
      <c r="K80" s="88">
        <v>0</v>
      </c>
      <c r="L80" s="88">
        <v>1</v>
      </c>
      <c r="M80" s="88">
        <v>40</v>
      </c>
      <c r="N80" s="88">
        <v>34</v>
      </c>
      <c r="O80" s="88">
        <v>1</v>
      </c>
      <c r="P80" s="88">
        <v>1</v>
      </c>
      <c r="Q80" s="88">
        <v>1</v>
      </c>
      <c r="R80" s="88">
        <v>20</v>
      </c>
      <c r="S80" s="88">
        <v>10</v>
      </c>
      <c r="T80" s="88">
        <v>0</v>
      </c>
      <c r="U80" s="88">
        <v>0</v>
      </c>
      <c r="V80" s="88">
        <v>0</v>
      </c>
      <c r="W80" s="88">
        <v>0</v>
      </c>
      <c r="X80" s="88">
        <v>20</v>
      </c>
      <c r="Y80" s="88">
        <v>0</v>
      </c>
      <c r="Z80" s="88">
        <v>10</v>
      </c>
      <c r="AA80" s="88">
        <v>0</v>
      </c>
      <c r="AB80" s="88">
        <v>1</v>
      </c>
      <c r="AC80" s="88">
        <v>0</v>
      </c>
      <c r="AD80" s="88">
        <v>0</v>
      </c>
      <c r="AE80" s="88" t="s">
        <v>1133</v>
      </c>
      <c r="AF80" s="88">
        <v>0</v>
      </c>
      <c r="AG80" s="88">
        <v>0</v>
      </c>
      <c r="AH80" s="88" t="s">
        <v>1133</v>
      </c>
      <c r="AI80" s="88" t="s">
        <v>1133</v>
      </c>
      <c r="AJ80" s="88" t="s">
        <v>1133</v>
      </c>
      <c r="AK80" s="88">
        <v>2</v>
      </c>
      <c r="AL80" s="88">
        <v>20</v>
      </c>
      <c r="AM80" s="88">
        <v>9</v>
      </c>
      <c r="AN80" s="88">
        <v>0</v>
      </c>
      <c r="AO80" s="88">
        <v>1</v>
      </c>
      <c r="AP80" s="88" t="s">
        <v>1134</v>
      </c>
      <c r="AQ80" s="88" t="s">
        <v>1133</v>
      </c>
      <c r="AR80" s="88">
        <v>0</v>
      </c>
      <c r="AS80" s="88"/>
      <c r="AT80" s="88"/>
      <c r="AU80" s="88">
        <v>0</v>
      </c>
      <c r="AV80" s="88" t="s">
        <v>1133</v>
      </c>
      <c r="AW80" s="88" t="s">
        <v>1133</v>
      </c>
      <c r="AX80" s="88">
        <v>0</v>
      </c>
      <c r="AY80" s="88">
        <v>0</v>
      </c>
      <c r="AZ80" s="88">
        <v>0</v>
      </c>
      <c r="BA80" s="88">
        <v>0</v>
      </c>
      <c r="BB80" s="88" t="s">
        <v>0</v>
      </c>
    </row>
    <row r="81" spans="1:54">
      <c r="A81" s="88">
        <v>81</v>
      </c>
      <c r="B81" s="88">
        <v>81</v>
      </c>
      <c r="C81" s="88"/>
      <c r="D81" s="88" t="s">
        <v>81</v>
      </c>
      <c r="E81" s="88">
        <v>0</v>
      </c>
      <c r="F81" s="88">
        <v>1146</v>
      </c>
      <c r="G81" s="88">
        <v>1</v>
      </c>
      <c r="H81" s="88">
        <v>2</v>
      </c>
      <c r="I81" s="88">
        <v>2</v>
      </c>
      <c r="J81" s="88">
        <v>0</v>
      </c>
      <c r="K81" s="88">
        <v>0</v>
      </c>
      <c r="L81" s="88">
        <v>1</v>
      </c>
      <c r="M81" s="88">
        <v>50</v>
      </c>
      <c r="N81" s="88">
        <v>34</v>
      </c>
      <c r="O81" s="88">
        <v>1</v>
      </c>
      <c r="P81" s="88">
        <v>1</v>
      </c>
      <c r="Q81" s="88">
        <v>1</v>
      </c>
      <c r="R81" s="88">
        <v>20</v>
      </c>
      <c r="S81" s="88">
        <v>10</v>
      </c>
      <c r="T81" s="88">
        <v>0</v>
      </c>
      <c r="U81" s="88">
        <v>0</v>
      </c>
      <c r="V81" s="88">
        <v>0</v>
      </c>
      <c r="W81" s="88">
        <v>0</v>
      </c>
      <c r="X81" s="88">
        <v>20</v>
      </c>
      <c r="Y81" s="88">
        <v>0</v>
      </c>
      <c r="Z81" s="88">
        <v>10</v>
      </c>
      <c r="AA81" s="88">
        <v>0</v>
      </c>
      <c r="AB81" s="88">
        <v>1</v>
      </c>
      <c r="AC81" s="88">
        <v>0</v>
      </c>
      <c r="AD81" s="88">
        <v>0</v>
      </c>
      <c r="AE81" s="88" t="s">
        <v>1133</v>
      </c>
      <c r="AF81" s="88">
        <v>0</v>
      </c>
      <c r="AG81" s="88">
        <v>0</v>
      </c>
      <c r="AH81" s="88" t="s">
        <v>1133</v>
      </c>
      <c r="AI81" s="88" t="s">
        <v>1133</v>
      </c>
      <c r="AJ81" s="88" t="s">
        <v>1133</v>
      </c>
      <c r="AK81" s="88">
        <v>2</v>
      </c>
      <c r="AL81" s="88">
        <v>20</v>
      </c>
      <c r="AM81" s="88">
        <v>9</v>
      </c>
      <c r="AN81" s="88">
        <v>0</v>
      </c>
      <c r="AO81" s="88">
        <v>1</v>
      </c>
      <c r="AP81" s="88" t="s">
        <v>1134</v>
      </c>
      <c r="AQ81" s="88" t="s">
        <v>1133</v>
      </c>
      <c r="AR81" s="88">
        <v>0</v>
      </c>
      <c r="AS81" s="88"/>
      <c r="AT81" s="88"/>
      <c r="AU81" s="88">
        <v>0</v>
      </c>
      <c r="AV81" s="88" t="s">
        <v>1133</v>
      </c>
      <c r="AW81" s="88" t="s">
        <v>1133</v>
      </c>
      <c r="AX81" s="88">
        <v>0</v>
      </c>
      <c r="AY81" s="88">
        <v>0</v>
      </c>
      <c r="AZ81" s="88">
        <v>0</v>
      </c>
      <c r="BA81" s="88">
        <v>0</v>
      </c>
      <c r="BB81" s="88" t="s">
        <v>0</v>
      </c>
    </row>
    <row r="82" spans="1:54">
      <c r="A82" s="88">
        <v>82</v>
      </c>
      <c r="B82" s="88">
        <v>82</v>
      </c>
      <c r="C82" s="88"/>
      <c r="D82" s="88" t="s">
        <v>82</v>
      </c>
      <c r="E82" s="88">
        <v>0</v>
      </c>
      <c r="F82" s="88">
        <v>1146</v>
      </c>
      <c r="G82" s="88">
        <v>1</v>
      </c>
      <c r="H82" s="88">
        <v>2</v>
      </c>
      <c r="I82" s="88">
        <v>2</v>
      </c>
      <c r="J82" s="88">
        <v>0</v>
      </c>
      <c r="K82" s="88">
        <v>0</v>
      </c>
      <c r="L82" s="88">
        <v>1</v>
      </c>
      <c r="M82" s="88">
        <v>80</v>
      </c>
      <c r="N82" s="88">
        <v>34</v>
      </c>
      <c r="O82" s="88">
        <v>1</v>
      </c>
      <c r="P82" s="88">
        <v>1</v>
      </c>
      <c r="Q82" s="88">
        <v>1</v>
      </c>
      <c r="R82" s="88">
        <v>20</v>
      </c>
      <c r="S82" s="88">
        <v>10</v>
      </c>
      <c r="T82" s="88">
        <v>0</v>
      </c>
      <c r="U82" s="88">
        <v>0</v>
      </c>
      <c r="V82" s="88">
        <v>0</v>
      </c>
      <c r="W82" s="88">
        <v>0</v>
      </c>
      <c r="X82" s="88">
        <v>20</v>
      </c>
      <c r="Y82" s="88">
        <v>0</v>
      </c>
      <c r="Z82" s="88">
        <v>10</v>
      </c>
      <c r="AA82" s="88">
        <v>0</v>
      </c>
      <c r="AB82" s="88">
        <v>1</v>
      </c>
      <c r="AC82" s="88">
        <v>0</v>
      </c>
      <c r="AD82" s="88">
        <v>0</v>
      </c>
      <c r="AE82" s="88" t="s">
        <v>1133</v>
      </c>
      <c r="AF82" s="88">
        <v>0</v>
      </c>
      <c r="AG82" s="88">
        <v>0</v>
      </c>
      <c r="AH82" s="88" t="s">
        <v>1133</v>
      </c>
      <c r="AI82" s="88" t="s">
        <v>1133</v>
      </c>
      <c r="AJ82" s="88" t="s">
        <v>1133</v>
      </c>
      <c r="AK82" s="88">
        <v>2</v>
      </c>
      <c r="AL82" s="88">
        <v>20</v>
      </c>
      <c r="AM82" s="88">
        <v>9</v>
      </c>
      <c r="AN82" s="88">
        <v>0</v>
      </c>
      <c r="AO82" s="88">
        <v>1</v>
      </c>
      <c r="AP82" s="88" t="s">
        <v>1134</v>
      </c>
      <c r="AQ82" s="88" t="s">
        <v>1133</v>
      </c>
      <c r="AR82" s="88">
        <v>0</v>
      </c>
      <c r="AS82" s="88"/>
      <c r="AT82" s="88"/>
      <c r="AU82" s="88">
        <v>0</v>
      </c>
      <c r="AV82" s="88" t="s">
        <v>1133</v>
      </c>
      <c r="AW82" s="88" t="s">
        <v>1133</v>
      </c>
      <c r="AX82" s="88">
        <v>0</v>
      </c>
      <c r="AY82" s="88">
        <v>0</v>
      </c>
      <c r="AZ82" s="88">
        <v>0</v>
      </c>
      <c r="BA82" s="88">
        <v>0</v>
      </c>
      <c r="BB82" s="88" t="s">
        <v>0</v>
      </c>
    </row>
    <row r="83" spans="1:54">
      <c r="A83" s="88">
        <v>83</v>
      </c>
      <c r="B83" s="88">
        <v>83</v>
      </c>
      <c r="C83" s="88"/>
      <c r="D83" s="88" t="s">
        <v>83</v>
      </c>
      <c r="E83" s="88">
        <v>0</v>
      </c>
      <c r="F83" s="88">
        <v>1146</v>
      </c>
      <c r="G83" s="88">
        <v>1</v>
      </c>
      <c r="H83" s="88">
        <v>2</v>
      </c>
      <c r="I83" s="88">
        <v>2</v>
      </c>
      <c r="J83" s="88">
        <v>0</v>
      </c>
      <c r="K83" s="88">
        <v>0</v>
      </c>
      <c r="L83" s="88">
        <v>1</v>
      </c>
      <c r="M83" s="88">
        <v>600</v>
      </c>
      <c r="N83" s="88">
        <v>34</v>
      </c>
      <c r="O83" s="88">
        <v>1</v>
      </c>
      <c r="P83" s="88">
        <v>1</v>
      </c>
      <c r="Q83" s="88">
        <v>1</v>
      </c>
      <c r="R83" s="88">
        <v>20</v>
      </c>
      <c r="S83" s="88">
        <v>10</v>
      </c>
      <c r="T83" s="88">
        <v>0</v>
      </c>
      <c r="U83" s="88">
        <v>0</v>
      </c>
      <c r="V83" s="88">
        <v>0</v>
      </c>
      <c r="W83" s="88">
        <v>0</v>
      </c>
      <c r="X83" s="88">
        <v>20</v>
      </c>
      <c r="Y83" s="88">
        <v>0</v>
      </c>
      <c r="Z83" s="88">
        <v>10</v>
      </c>
      <c r="AA83" s="88">
        <v>0</v>
      </c>
      <c r="AB83" s="88">
        <v>1</v>
      </c>
      <c r="AC83" s="88">
        <v>0</v>
      </c>
      <c r="AD83" s="88">
        <v>0</v>
      </c>
      <c r="AE83" s="88" t="s">
        <v>1133</v>
      </c>
      <c r="AF83" s="88">
        <v>0</v>
      </c>
      <c r="AG83" s="88">
        <v>0</v>
      </c>
      <c r="AH83" s="88" t="s">
        <v>1133</v>
      </c>
      <c r="AI83" s="88" t="s">
        <v>1133</v>
      </c>
      <c r="AJ83" s="88" t="s">
        <v>1133</v>
      </c>
      <c r="AK83" s="88">
        <v>2</v>
      </c>
      <c r="AL83" s="88">
        <v>20</v>
      </c>
      <c r="AM83" s="88">
        <v>9</v>
      </c>
      <c r="AN83" s="88">
        <v>0</v>
      </c>
      <c r="AO83" s="88">
        <v>1</v>
      </c>
      <c r="AP83" s="88" t="s">
        <v>1134</v>
      </c>
      <c r="AQ83" s="88" t="s">
        <v>1133</v>
      </c>
      <c r="AR83" s="88">
        <v>0</v>
      </c>
      <c r="AS83" s="88"/>
      <c r="AT83" s="88"/>
      <c r="AU83" s="88">
        <v>0</v>
      </c>
      <c r="AV83" s="88" t="s">
        <v>1133</v>
      </c>
      <c r="AW83" s="88" t="s">
        <v>1133</v>
      </c>
      <c r="AX83" s="88">
        <v>0</v>
      </c>
      <c r="AY83" s="88">
        <v>0</v>
      </c>
      <c r="AZ83" s="88">
        <v>0</v>
      </c>
      <c r="BA83" s="88">
        <v>0</v>
      </c>
      <c r="BB83" s="88" t="s">
        <v>0</v>
      </c>
    </row>
    <row r="84" spans="1:54">
      <c r="A84" s="88">
        <v>84</v>
      </c>
      <c r="B84" s="88">
        <v>84</v>
      </c>
      <c r="C84" s="88"/>
      <c r="D84" s="88" t="s">
        <v>84</v>
      </c>
      <c r="E84" s="88">
        <v>0</v>
      </c>
      <c r="F84" s="88">
        <v>1146</v>
      </c>
      <c r="G84" s="88">
        <v>1</v>
      </c>
      <c r="H84" s="88">
        <v>2</v>
      </c>
      <c r="I84" s="88">
        <v>2</v>
      </c>
      <c r="J84" s="88">
        <v>0</v>
      </c>
      <c r="K84" s="88">
        <v>0</v>
      </c>
      <c r="L84" s="88">
        <v>1</v>
      </c>
      <c r="M84" s="88">
        <v>800</v>
      </c>
      <c r="N84" s="88">
        <v>34</v>
      </c>
      <c r="O84" s="88">
        <v>1</v>
      </c>
      <c r="P84" s="88">
        <v>1</v>
      </c>
      <c r="Q84" s="88">
        <v>1</v>
      </c>
      <c r="R84" s="88">
        <v>20</v>
      </c>
      <c r="S84" s="88">
        <v>10</v>
      </c>
      <c r="T84" s="88">
        <v>0</v>
      </c>
      <c r="U84" s="88">
        <v>0</v>
      </c>
      <c r="V84" s="88">
        <v>0</v>
      </c>
      <c r="W84" s="88">
        <v>0</v>
      </c>
      <c r="X84" s="88">
        <v>20</v>
      </c>
      <c r="Y84" s="88">
        <v>0</v>
      </c>
      <c r="Z84" s="88">
        <v>10</v>
      </c>
      <c r="AA84" s="88">
        <v>0</v>
      </c>
      <c r="AB84" s="88">
        <v>1</v>
      </c>
      <c r="AC84" s="88">
        <v>0</v>
      </c>
      <c r="AD84" s="88">
        <v>0</v>
      </c>
      <c r="AE84" s="88" t="s">
        <v>1133</v>
      </c>
      <c r="AF84" s="88">
        <v>0</v>
      </c>
      <c r="AG84" s="88">
        <v>0</v>
      </c>
      <c r="AH84" s="88" t="s">
        <v>1133</v>
      </c>
      <c r="AI84" s="88" t="s">
        <v>1133</v>
      </c>
      <c r="AJ84" s="88" t="s">
        <v>1133</v>
      </c>
      <c r="AK84" s="88">
        <v>2</v>
      </c>
      <c r="AL84" s="88">
        <v>20</v>
      </c>
      <c r="AM84" s="88">
        <v>9</v>
      </c>
      <c r="AN84" s="88">
        <v>0</v>
      </c>
      <c r="AO84" s="88">
        <v>1</v>
      </c>
      <c r="AP84" s="88" t="s">
        <v>1134</v>
      </c>
      <c r="AQ84" s="88" t="s">
        <v>1133</v>
      </c>
      <c r="AR84" s="88">
        <v>0</v>
      </c>
      <c r="AS84" s="88"/>
      <c r="AT84" s="88"/>
      <c r="AU84" s="88">
        <v>0</v>
      </c>
      <c r="AV84" s="88" t="s">
        <v>1133</v>
      </c>
      <c r="AW84" s="88" t="s">
        <v>1133</v>
      </c>
      <c r="AX84" s="88">
        <v>0</v>
      </c>
      <c r="AY84" s="88">
        <v>0</v>
      </c>
      <c r="AZ84" s="88">
        <v>0</v>
      </c>
      <c r="BA84" s="88">
        <v>0</v>
      </c>
      <c r="BB84" s="88" t="s">
        <v>0</v>
      </c>
    </row>
    <row r="85" spans="1:54">
      <c r="A85" s="88">
        <v>85</v>
      </c>
      <c r="B85" s="88">
        <v>85</v>
      </c>
      <c r="C85" s="88"/>
      <c r="D85" s="88" t="s">
        <v>85</v>
      </c>
      <c r="E85" s="88">
        <v>0</v>
      </c>
      <c r="F85" s="88">
        <v>1146</v>
      </c>
      <c r="G85" s="88">
        <v>1</v>
      </c>
      <c r="H85" s="88">
        <v>2</v>
      </c>
      <c r="I85" s="88">
        <v>2</v>
      </c>
      <c r="J85" s="88">
        <v>0</v>
      </c>
      <c r="K85" s="88">
        <v>0</v>
      </c>
      <c r="L85" s="88">
        <v>1</v>
      </c>
      <c r="M85" s="88">
        <v>960</v>
      </c>
      <c r="N85" s="88">
        <v>34</v>
      </c>
      <c r="O85" s="88">
        <v>1</v>
      </c>
      <c r="P85" s="88">
        <v>1</v>
      </c>
      <c r="Q85" s="88">
        <v>1</v>
      </c>
      <c r="R85" s="88">
        <v>20</v>
      </c>
      <c r="S85" s="88">
        <v>10</v>
      </c>
      <c r="T85" s="88">
        <v>0</v>
      </c>
      <c r="U85" s="88">
        <v>0</v>
      </c>
      <c r="V85" s="88">
        <v>0</v>
      </c>
      <c r="W85" s="88">
        <v>0</v>
      </c>
      <c r="X85" s="88">
        <v>20</v>
      </c>
      <c r="Y85" s="88">
        <v>0</v>
      </c>
      <c r="Z85" s="88">
        <v>10</v>
      </c>
      <c r="AA85" s="88">
        <v>0</v>
      </c>
      <c r="AB85" s="88">
        <v>1</v>
      </c>
      <c r="AC85" s="88">
        <v>0</v>
      </c>
      <c r="AD85" s="88">
        <v>0</v>
      </c>
      <c r="AE85" s="88" t="s">
        <v>1133</v>
      </c>
      <c r="AF85" s="88">
        <v>0</v>
      </c>
      <c r="AG85" s="88">
        <v>0</v>
      </c>
      <c r="AH85" s="88" t="s">
        <v>1133</v>
      </c>
      <c r="AI85" s="88" t="s">
        <v>1133</v>
      </c>
      <c r="AJ85" s="88" t="s">
        <v>1133</v>
      </c>
      <c r="AK85" s="88">
        <v>2</v>
      </c>
      <c r="AL85" s="88">
        <v>20</v>
      </c>
      <c r="AM85" s="88">
        <v>9</v>
      </c>
      <c r="AN85" s="88">
        <v>0</v>
      </c>
      <c r="AO85" s="88">
        <v>1</v>
      </c>
      <c r="AP85" s="88" t="s">
        <v>1134</v>
      </c>
      <c r="AQ85" s="88" t="s">
        <v>1133</v>
      </c>
      <c r="AR85" s="88">
        <v>0</v>
      </c>
      <c r="AS85" s="88"/>
      <c r="AT85" s="88"/>
      <c r="AU85" s="88">
        <v>0</v>
      </c>
      <c r="AV85" s="88" t="s">
        <v>1133</v>
      </c>
      <c r="AW85" s="88" t="s">
        <v>1133</v>
      </c>
      <c r="AX85" s="88">
        <v>0</v>
      </c>
      <c r="AY85" s="88">
        <v>0</v>
      </c>
      <c r="AZ85" s="88">
        <v>0</v>
      </c>
      <c r="BA85" s="88">
        <v>0</v>
      </c>
      <c r="BB85" s="88" t="s">
        <v>0</v>
      </c>
    </row>
    <row r="86" spans="1:54">
      <c r="A86" s="88">
        <v>86</v>
      </c>
      <c r="B86" s="88">
        <v>86</v>
      </c>
      <c r="C86" s="88"/>
      <c r="D86" s="88" t="s">
        <v>86</v>
      </c>
      <c r="E86" s="88">
        <v>0</v>
      </c>
      <c r="F86" s="88">
        <v>1146</v>
      </c>
      <c r="G86" s="88">
        <v>1</v>
      </c>
      <c r="H86" s="88">
        <v>2</v>
      </c>
      <c r="I86" s="88">
        <v>2</v>
      </c>
      <c r="J86" s="88">
        <v>0</v>
      </c>
      <c r="K86" s="88">
        <v>0</v>
      </c>
      <c r="L86" s="88">
        <v>1</v>
      </c>
      <c r="M86" s="88">
        <v>1280</v>
      </c>
      <c r="N86" s="88">
        <v>34</v>
      </c>
      <c r="O86" s="88">
        <v>1</v>
      </c>
      <c r="P86" s="88">
        <v>1</v>
      </c>
      <c r="Q86" s="88">
        <v>1</v>
      </c>
      <c r="R86" s="88">
        <v>20</v>
      </c>
      <c r="S86" s="88">
        <v>10</v>
      </c>
      <c r="T86" s="88">
        <v>0</v>
      </c>
      <c r="U86" s="88">
        <v>0</v>
      </c>
      <c r="V86" s="88">
        <v>0</v>
      </c>
      <c r="W86" s="88">
        <v>0</v>
      </c>
      <c r="X86" s="88">
        <v>20</v>
      </c>
      <c r="Y86" s="88">
        <v>0</v>
      </c>
      <c r="Z86" s="88">
        <v>10</v>
      </c>
      <c r="AA86" s="88">
        <v>0</v>
      </c>
      <c r="AB86" s="88">
        <v>1</v>
      </c>
      <c r="AC86" s="88">
        <v>0</v>
      </c>
      <c r="AD86" s="88">
        <v>0</v>
      </c>
      <c r="AE86" s="88" t="s">
        <v>1133</v>
      </c>
      <c r="AF86" s="88">
        <v>0</v>
      </c>
      <c r="AG86" s="88">
        <v>0</v>
      </c>
      <c r="AH86" s="88" t="s">
        <v>1133</v>
      </c>
      <c r="AI86" s="88" t="s">
        <v>1133</v>
      </c>
      <c r="AJ86" s="88" t="s">
        <v>1133</v>
      </c>
      <c r="AK86" s="88">
        <v>2</v>
      </c>
      <c r="AL86" s="88">
        <v>20</v>
      </c>
      <c r="AM86" s="88">
        <v>9</v>
      </c>
      <c r="AN86" s="88">
        <v>0</v>
      </c>
      <c r="AO86" s="88">
        <v>1</v>
      </c>
      <c r="AP86" s="88" t="s">
        <v>1134</v>
      </c>
      <c r="AQ86" s="88" t="s">
        <v>1133</v>
      </c>
      <c r="AR86" s="88">
        <v>0</v>
      </c>
      <c r="AS86" s="88"/>
      <c r="AT86" s="88"/>
      <c r="AU86" s="88">
        <v>0</v>
      </c>
      <c r="AV86" s="88" t="s">
        <v>1133</v>
      </c>
      <c r="AW86" s="88" t="s">
        <v>1133</v>
      </c>
      <c r="AX86" s="88">
        <v>0</v>
      </c>
      <c r="AY86" s="88">
        <v>0</v>
      </c>
      <c r="AZ86" s="88">
        <v>0</v>
      </c>
      <c r="BA86" s="88">
        <v>0</v>
      </c>
      <c r="BB86" s="88" t="s">
        <v>0</v>
      </c>
    </row>
    <row r="87" spans="1:54">
      <c r="A87" s="88">
        <v>87</v>
      </c>
      <c r="B87" s="88">
        <v>87</v>
      </c>
      <c r="C87" s="88"/>
      <c r="D87" s="88" t="s">
        <v>87</v>
      </c>
      <c r="E87" s="88">
        <v>0</v>
      </c>
      <c r="F87" s="88">
        <v>1146</v>
      </c>
      <c r="G87" s="88">
        <v>1</v>
      </c>
      <c r="H87" s="88">
        <v>2</v>
      </c>
      <c r="I87" s="88">
        <v>2</v>
      </c>
      <c r="J87" s="88">
        <v>0</v>
      </c>
      <c r="K87" s="88">
        <v>0</v>
      </c>
      <c r="L87" s="88">
        <v>1</v>
      </c>
      <c r="M87" s="88">
        <v>2</v>
      </c>
      <c r="N87" s="88">
        <v>34</v>
      </c>
      <c r="O87" s="88">
        <v>1</v>
      </c>
      <c r="P87" s="88">
        <v>1</v>
      </c>
      <c r="Q87" s="88">
        <v>1</v>
      </c>
      <c r="R87" s="88">
        <v>20</v>
      </c>
      <c r="S87" s="88">
        <v>10</v>
      </c>
      <c r="T87" s="88">
        <v>0</v>
      </c>
      <c r="U87" s="88">
        <v>0</v>
      </c>
      <c r="V87" s="88">
        <v>0</v>
      </c>
      <c r="W87" s="88">
        <v>0</v>
      </c>
      <c r="X87" s="88">
        <v>20</v>
      </c>
      <c r="Y87" s="88">
        <v>0</v>
      </c>
      <c r="Z87" s="88">
        <v>10</v>
      </c>
      <c r="AA87" s="88">
        <v>0</v>
      </c>
      <c r="AB87" s="88">
        <v>1</v>
      </c>
      <c r="AC87" s="88">
        <v>0</v>
      </c>
      <c r="AD87" s="88">
        <v>0</v>
      </c>
      <c r="AE87" s="88" t="s">
        <v>1133</v>
      </c>
      <c r="AF87" s="88">
        <v>0</v>
      </c>
      <c r="AG87" s="88">
        <v>0</v>
      </c>
      <c r="AH87" s="88" t="s">
        <v>1133</v>
      </c>
      <c r="AI87" s="88" t="s">
        <v>1133</v>
      </c>
      <c r="AJ87" s="88" t="s">
        <v>1133</v>
      </c>
      <c r="AK87" s="88">
        <v>2</v>
      </c>
      <c r="AL87" s="88">
        <v>20</v>
      </c>
      <c r="AM87" s="88">
        <v>9</v>
      </c>
      <c r="AN87" s="88">
        <v>0</v>
      </c>
      <c r="AO87" s="88">
        <v>1</v>
      </c>
      <c r="AP87" s="88" t="s">
        <v>1134</v>
      </c>
      <c r="AQ87" s="88" t="s">
        <v>1133</v>
      </c>
      <c r="AR87" s="88">
        <v>0</v>
      </c>
      <c r="AS87" s="88"/>
      <c r="AT87" s="88"/>
      <c r="AU87" s="88">
        <v>0</v>
      </c>
      <c r="AV87" s="88" t="s">
        <v>1133</v>
      </c>
      <c r="AW87" s="88" t="s">
        <v>1133</v>
      </c>
      <c r="AX87" s="88">
        <v>0</v>
      </c>
      <c r="AY87" s="88">
        <v>0</v>
      </c>
      <c r="AZ87" s="88">
        <v>0</v>
      </c>
      <c r="BA87" s="88">
        <v>0</v>
      </c>
      <c r="BB87" s="88" t="s">
        <v>0</v>
      </c>
    </row>
    <row r="88" spans="1:54">
      <c r="A88" s="88">
        <v>88</v>
      </c>
      <c r="B88" s="88">
        <v>88</v>
      </c>
      <c r="C88" s="88"/>
      <c r="D88" s="88" t="s">
        <v>88</v>
      </c>
      <c r="E88" s="88">
        <v>0</v>
      </c>
      <c r="F88" s="88">
        <v>1146</v>
      </c>
      <c r="G88" s="88">
        <v>1</v>
      </c>
      <c r="H88" s="88">
        <v>2</v>
      </c>
      <c r="I88" s="88">
        <v>2</v>
      </c>
      <c r="J88" s="88">
        <v>0</v>
      </c>
      <c r="K88" s="88">
        <v>0</v>
      </c>
      <c r="L88" s="88">
        <v>1</v>
      </c>
      <c r="M88" s="88">
        <v>5</v>
      </c>
      <c r="N88" s="88">
        <v>34</v>
      </c>
      <c r="O88" s="88">
        <v>1</v>
      </c>
      <c r="P88" s="88">
        <v>1</v>
      </c>
      <c r="Q88" s="88">
        <v>1</v>
      </c>
      <c r="R88" s="88">
        <v>20</v>
      </c>
      <c r="S88" s="88">
        <v>10</v>
      </c>
      <c r="T88" s="88">
        <v>0</v>
      </c>
      <c r="U88" s="88">
        <v>0</v>
      </c>
      <c r="V88" s="88">
        <v>0</v>
      </c>
      <c r="W88" s="88">
        <v>0</v>
      </c>
      <c r="X88" s="88">
        <v>20</v>
      </c>
      <c r="Y88" s="88">
        <v>0</v>
      </c>
      <c r="Z88" s="88">
        <v>10</v>
      </c>
      <c r="AA88" s="88">
        <v>0</v>
      </c>
      <c r="AB88" s="88">
        <v>1</v>
      </c>
      <c r="AC88" s="88">
        <v>0</v>
      </c>
      <c r="AD88" s="88">
        <v>0</v>
      </c>
      <c r="AE88" s="88" t="s">
        <v>1133</v>
      </c>
      <c r="AF88" s="88">
        <v>0</v>
      </c>
      <c r="AG88" s="88">
        <v>0</v>
      </c>
      <c r="AH88" s="88" t="s">
        <v>1133</v>
      </c>
      <c r="AI88" s="88" t="s">
        <v>1133</v>
      </c>
      <c r="AJ88" s="88" t="s">
        <v>1133</v>
      </c>
      <c r="AK88" s="88">
        <v>2</v>
      </c>
      <c r="AL88" s="88">
        <v>20</v>
      </c>
      <c r="AM88" s="88">
        <v>9</v>
      </c>
      <c r="AN88" s="88">
        <v>0</v>
      </c>
      <c r="AO88" s="88">
        <v>1</v>
      </c>
      <c r="AP88" s="88" t="s">
        <v>1134</v>
      </c>
      <c r="AQ88" s="88" t="s">
        <v>1133</v>
      </c>
      <c r="AR88" s="88">
        <v>0</v>
      </c>
      <c r="AS88" s="88"/>
      <c r="AT88" s="88"/>
      <c r="AU88" s="88">
        <v>0</v>
      </c>
      <c r="AV88" s="88" t="s">
        <v>1133</v>
      </c>
      <c r="AW88" s="88" t="s">
        <v>1133</v>
      </c>
      <c r="AX88" s="88">
        <v>0</v>
      </c>
      <c r="AY88" s="88">
        <v>0</v>
      </c>
      <c r="AZ88" s="88">
        <v>0</v>
      </c>
      <c r="BA88" s="88">
        <v>0</v>
      </c>
      <c r="BB88" s="88" t="s">
        <v>0</v>
      </c>
    </row>
    <row r="89" spans="1:54">
      <c r="A89" s="88">
        <v>89</v>
      </c>
      <c r="B89" s="88">
        <v>89</v>
      </c>
      <c r="C89" s="88"/>
      <c r="D89" s="88" t="s">
        <v>89</v>
      </c>
      <c r="E89" s="88">
        <v>0</v>
      </c>
      <c r="F89" s="88">
        <v>1146</v>
      </c>
      <c r="G89" s="88">
        <v>1</v>
      </c>
      <c r="H89" s="88">
        <v>2</v>
      </c>
      <c r="I89" s="88">
        <v>2</v>
      </c>
      <c r="J89" s="88">
        <v>0</v>
      </c>
      <c r="K89" s="88">
        <v>0</v>
      </c>
      <c r="L89" s="88">
        <v>1</v>
      </c>
      <c r="M89" s="88">
        <v>7</v>
      </c>
      <c r="N89" s="88">
        <v>34</v>
      </c>
      <c r="O89" s="88">
        <v>1</v>
      </c>
      <c r="P89" s="88">
        <v>1</v>
      </c>
      <c r="Q89" s="88">
        <v>1</v>
      </c>
      <c r="R89" s="88">
        <v>20</v>
      </c>
      <c r="S89" s="88">
        <v>10</v>
      </c>
      <c r="T89" s="88">
        <v>0</v>
      </c>
      <c r="U89" s="88">
        <v>0</v>
      </c>
      <c r="V89" s="88">
        <v>0</v>
      </c>
      <c r="W89" s="88">
        <v>0</v>
      </c>
      <c r="X89" s="88">
        <v>20</v>
      </c>
      <c r="Y89" s="88">
        <v>0</v>
      </c>
      <c r="Z89" s="88">
        <v>10</v>
      </c>
      <c r="AA89" s="88">
        <v>0</v>
      </c>
      <c r="AB89" s="88">
        <v>1</v>
      </c>
      <c r="AC89" s="88">
        <v>0</v>
      </c>
      <c r="AD89" s="88">
        <v>0</v>
      </c>
      <c r="AE89" s="88" t="s">
        <v>1133</v>
      </c>
      <c r="AF89" s="88">
        <v>0</v>
      </c>
      <c r="AG89" s="88">
        <v>0</v>
      </c>
      <c r="AH89" s="88" t="s">
        <v>1133</v>
      </c>
      <c r="AI89" s="88" t="s">
        <v>1133</v>
      </c>
      <c r="AJ89" s="88" t="s">
        <v>1133</v>
      </c>
      <c r="AK89" s="88">
        <v>2</v>
      </c>
      <c r="AL89" s="88">
        <v>20</v>
      </c>
      <c r="AM89" s="88">
        <v>9</v>
      </c>
      <c r="AN89" s="88">
        <v>0</v>
      </c>
      <c r="AO89" s="88">
        <v>1</v>
      </c>
      <c r="AP89" s="88" t="s">
        <v>1134</v>
      </c>
      <c r="AQ89" s="88" t="s">
        <v>1133</v>
      </c>
      <c r="AR89" s="88">
        <v>0</v>
      </c>
      <c r="AS89" s="88"/>
      <c r="AT89" s="88"/>
      <c r="AU89" s="88">
        <v>0</v>
      </c>
      <c r="AV89" s="88" t="s">
        <v>1133</v>
      </c>
      <c r="AW89" s="88" t="s">
        <v>1133</v>
      </c>
      <c r="AX89" s="88">
        <v>0</v>
      </c>
      <c r="AY89" s="88">
        <v>0</v>
      </c>
      <c r="AZ89" s="88">
        <v>0</v>
      </c>
      <c r="BA89" s="88">
        <v>0</v>
      </c>
      <c r="BB89" s="88" t="s">
        <v>0</v>
      </c>
    </row>
    <row r="90" spans="1:54">
      <c r="A90" s="88">
        <v>90</v>
      </c>
      <c r="B90" s="88">
        <v>90</v>
      </c>
      <c r="C90" s="88"/>
      <c r="D90" s="88" t="s">
        <v>90</v>
      </c>
      <c r="E90" s="88">
        <v>0</v>
      </c>
      <c r="F90" s="88">
        <v>1146</v>
      </c>
      <c r="G90" s="88">
        <v>1</v>
      </c>
      <c r="H90" s="88">
        <v>2</v>
      </c>
      <c r="I90" s="88">
        <v>2</v>
      </c>
      <c r="J90" s="88">
        <v>0</v>
      </c>
      <c r="K90" s="88">
        <v>0</v>
      </c>
      <c r="L90" s="88">
        <v>1</v>
      </c>
      <c r="M90" s="88">
        <v>10</v>
      </c>
      <c r="N90" s="88">
        <v>34</v>
      </c>
      <c r="O90" s="88">
        <v>1</v>
      </c>
      <c r="P90" s="88">
        <v>1</v>
      </c>
      <c r="Q90" s="88">
        <v>1</v>
      </c>
      <c r="R90" s="88">
        <v>20</v>
      </c>
      <c r="S90" s="88">
        <v>10</v>
      </c>
      <c r="T90" s="88">
        <v>0</v>
      </c>
      <c r="U90" s="88">
        <v>0</v>
      </c>
      <c r="V90" s="88">
        <v>0</v>
      </c>
      <c r="W90" s="88">
        <v>0</v>
      </c>
      <c r="X90" s="88">
        <v>20</v>
      </c>
      <c r="Y90" s="88">
        <v>0</v>
      </c>
      <c r="Z90" s="88">
        <v>10</v>
      </c>
      <c r="AA90" s="88">
        <v>0</v>
      </c>
      <c r="AB90" s="88">
        <v>1</v>
      </c>
      <c r="AC90" s="88">
        <v>0</v>
      </c>
      <c r="AD90" s="88">
        <v>0</v>
      </c>
      <c r="AE90" s="88" t="s">
        <v>1133</v>
      </c>
      <c r="AF90" s="88">
        <v>0</v>
      </c>
      <c r="AG90" s="88">
        <v>0</v>
      </c>
      <c r="AH90" s="88" t="s">
        <v>1133</v>
      </c>
      <c r="AI90" s="88" t="s">
        <v>1133</v>
      </c>
      <c r="AJ90" s="88" t="s">
        <v>1133</v>
      </c>
      <c r="AK90" s="88">
        <v>2</v>
      </c>
      <c r="AL90" s="88">
        <v>20</v>
      </c>
      <c r="AM90" s="88">
        <v>9</v>
      </c>
      <c r="AN90" s="88">
        <v>0</v>
      </c>
      <c r="AO90" s="88">
        <v>1</v>
      </c>
      <c r="AP90" s="88" t="s">
        <v>1134</v>
      </c>
      <c r="AQ90" s="88" t="s">
        <v>1133</v>
      </c>
      <c r="AR90" s="88">
        <v>0</v>
      </c>
      <c r="AS90" s="88"/>
      <c r="AT90" s="88"/>
      <c r="AU90" s="88">
        <v>0</v>
      </c>
      <c r="AV90" s="88" t="s">
        <v>1133</v>
      </c>
      <c r="AW90" s="88" t="s">
        <v>1133</v>
      </c>
      <c r="AX90" s="88">
        <v>0</v>
      </c>
      <c r="AY90" s="88">
        <v>0</v>
      </c>
      <c r="AZ90" s="88">
        <v>0</v>
      </c>
      <c r="BA90" s="88">
        <v>0</v>
      </c>
      <c r="BB90" s="88" t="s">
        <v>0</v>
      </c>
    </row>
    <row r="91" spans="1:54">
      <c r="A91" s="88">
        <v>91</v>
      </c>
      <c r="B91" s="88">
        <v>91</v>
      </c>
      <c r="C91" s="88"/>
      <c r="D91" s="88" t="s">
        <v>91</v>
      </c>
      <c r="E91" s="88">
        <v>0</v>
      </c>
      <c r="F91" s="88">
        <v>1146</v>
      </c>
      <c r="G91" s="88">
        <v>1</v>
      </c>
      <c r="H91" s="88">
        <v>2</v>
      </c>
      <c r="I91" s="88">
        <v>2</v>
      </c>
      <c r="J91" s="88">
        <v>0</v>
      </c>
      <c r="K91" s="88">
        <v>0</v>
      </c>
      <c r="L91" s="88">
        <v>1</v>
      </c>
      <c r="M91" s="88">
        <v>14</v>
      </c>
      <c r="N91" s="88">
        <v>34</v>
      </c>
      <c r="O91" s="88">
        <v>1</v>
      </c>
      <c r="P91" s="88">
        <v>1</v>
      </c>
      <c r="Q91" s="88">
        <v>1</v>
      </c>
      <c r="R91" s="88">
        <v>20</v>
      </c>
      <c r="S91" s="88">
        <v>10</v>
      </c>
      <c r="T91" s="88">
        <v>0</v>
      </c>
      <c r="U91" s="88">
        <v>0</v>
      </c>
      <c r="V91" s="88">
        <v>0</v>
      </c>
      <c r="W91" s="88">
        <v>0</v>
      </c>
      <c r="X91" s="88">
        <v>20</v>
      </c>
      <c r="Y91" s="88">
        <v>0</v>
      </c>
      <c r="Z91" s="88">
        <v>10</v>
      </c>
      <c r="AA91" s="88">
        <v>0</v>
      </c>
      <c r="AB91" s="88">
        <v>1</v>
      </c>
      <c r="AC91" s="88">
        <v>0</v>
      </c>
      <c r="AD91" s="88">
        <v>0</v>
      </c>
      <c r="AE91" s="88" t="s">
        <v>1133</v>
      </c>
      <c r="AF91" s="88">
        <v>0</v>
      </c>
      <c r="AG91" s="88">
        <v>0</v>
      </c>
      <c r="AH91" s="88" t="s">
        <v>1133</v>
      </c>
      <c r="AI91" s="88" t="s">
        <v>1133</v>
      </c>
      <c r="AJ91" s="88" t="s">
        <v>1133</v>
      </c>
      <c r="AK91" s="88">
        <v>2</v>
      </c>
      <c r="AL91" s="88">
        <v>20</v>
      </c>
      <c r="AM91" s="88">
        <v>9</v>
      </c>
      <c r="AN91" s="88">
        <v>0</v>
      </c>
      <c r="AO91" s="88">
        <v>1</v>
      </c>
      <c r="AP91" s="88" t="s">
        <v>1134</v>
      </c>
      <c r="AQ91" s="88" t="s">
        <v>1133</v>
      </c>
      <c r="AR91" s="88">
        <v>0</v>
      </c>
      <c r="AS91" s="88"/>
      <c r="AT91" s="88"/>
      <c r="AU91" s="88">
        <v>0</v>
      </c>
      <c r="AV91" s="88" t="s">
        <v>1133</v>
      </c>
      <c r="AW91" s="88" t="s">
        <v>1133</v>
      </c>
      <c r="AX91" s="88">
        <v>0</v>
      </c>
      <c r="AY91" s="88">
        <v>0</v>
      </c>
      <c r="AZ91" s="88">
        <v>0</v>
      </c>
      <c r="BA91" s="88">
        <v>0</v>
      </c>
      <c r="BB91" s="88" t="s">
        <v>0</v>
      </c>
    </row>
    <row r="92" spans="1:54">
      <c r="A92" s="88">
        <v>92</v>
      </c>
      <c r="B92" s="88">
        <v>92</v>
      </c>
      <c r="C92" s="88"/>
      <c r="D92" s="88" t="s">
        <v>92</v>
      </c>
      <c r="E92" s="88">
        <v>0</v>
      </c>
      <c r="F92" s="88">
        <v>1146</v>
      </c>
      <c r="G92" s="88">
        <v>1</v>
      </c>
      <c r="H92" s="88">
        <v>2</v>
      </c>
      <c r="I92" s="88">
        <v>2</v>
      </c>
      <c r="J92" s="88">
        <v>0</v>
      </c>
      <c r="K92" s="88">
        <v>0</v>
      </c>
      <c r="L92" s="88">
        <v>1</v>
      </c>
      <c r="M92" s="88">
        <v>16</v>
      </c>
      <c r="N92" s="88">
        <v>34</v>
      </c>
      <c r="O92" s="88">
        <v>1</v>
      </c>
      <c r="P92" s="88">
        <v>1</v>
      </c>
      <c r="Q92" s="88">
        <v>1</v>
      </c>
      <c r="R92" s="88">
        <v>20</v>
      </c>
      <c r="S92" s="88">
        <v>10</v>
      </c>
      <c r="T92" s="88">
        <v>0</v>
      </c>
      <c r="U92" s="88">
        <v>0</v>
      </c>
      <c r="V92" s="88">
        <v>0</v>
      </c>
      <c r="W92" s="88">
        <v>0</v>
      </c>
      <c r="X92" s="88">
        <v>20</v>
      </c>
      <c r="Y92" s="88">
        <v>0</v>
      </c>
      <c r="Z92" s="88">
        <v>10</v>
      </c>
      <c r="AA92" s="88">
        <v>0</v>
      </c>
      <c r="AB92" s="88">
        <v>1</v>
      </c>
      <c r="AC92" s="88">
        <v>0</v>
      </c>
      <c r="AD92" s="88">
        <v>0</v>
      </c>
      <c r="AE92" s="88" t="s">
        <v>1133</v>
      </c>
      <c r="AF92" s="88">
        <v>0</v>
      </c>
      <c r="AG92" s="88">
        <v>0</v>
      </c>
      <c r="AH92" s="88" t="s">
        <v>1133</v>
      </c>
      <c r="AI92" s="88" t="s">
        <v>1133</v>
      </c>
      <c r="AJ92" s="88" t="s">
        <v>1133</v>
      </c>
      <c r="AK92" s="88">
        <v>2</v>
      </c>
      <c r="AL92" s="88">
        <v>20</v>
      </c>
      <c r="AM92" s="88">
        <v>9</v>
      </c>
      <c r="AN92" s="88">
        <v>0</v>
      </c>
      <c r="AO92" s="88">
        <v>1</v>
      </c>
      <c r="AP92" s="88" t="s">
        <v>1134</v>
      </c>
      <c r="AQ92" s="88" t="s">
        <v>1133</v>
      </c>
      <c r="AR92" s="88">
        <v>0</v>
      </c>
      <c r="AS92" s="88"/>
      <c r="AT92" s="88"/>
      <c r="AU92" s="88">
        <v>0</v>
      </c>
      <c r="AV92" s="88" t="s">
        <v>1133</v>
      </c>
      <c r="AW92" s="88" t="s">
        <v>1133</v>
      </c>
      <c r="AX92" s="88">
        <v>0</v>
      </c>
      <c r="AY92" s="88">
        <v>0</v>
      </c>
      <c r="AZ92" s="88">
        <v>0</v>
      </c>
      <c r="BA92" s="88">
        <v>0</v>
      </c>
      <c r="BB92" s="88" t="s">
        <v>0</v>
      </c>
    </row>
    <row r="93" spans="1:54">
      <c r="A93" s="88">
        <v>93</v>
      </c>
      <c r="B93" s="88">
        <v>93</v>
      </c>
      <c r="C93" s="88"/>
      <c r="D93" s="88" t="s">
        <v>93</v>
      </c>
      <c r="E93" s="88">
        <v>0</v>
      </c>
      <c r="F93" s="88">
        <v>1146</v>
      </c>
      <c r="G93" s="88">
        <v>1</v>
      </c>
      <c r="H93" s="88">
        <v>2</v>
      </c>
      <c r="I93" s="88">
        <v>2</v>
      </c>
      <c r="J93" s="88">
        <v>0</v>
      </c>
      <c r="K93" s="88">
        <v>0</v>
      </c>
      <c r="L93" s="88">
        <v>1</v>
      </c>
      <c r="M93" s="88">
        <v>20</v>
      </c>
      <c r="N93" s="88">
        <v>34</v>
      </c>
      <c r="O93" s="88">
        <v>1</v>
      </c>
      <c r="P93" s="88">
        <v>1</v>
      </c>
      <c r="Q93" s="88">
        <v>1</v>
      </c>
      <c r="R93" s="88">
        <v>20</v>
      </c>
      <c r="S93" s="88">
        <v>10</v>
      </c>
      <c r="T93" s="88">
        <v>0</v>
      </c>
      <c r="U93" s="88">
        <v>0</v>
      </c>
      <c r="V93" s="88">
        <v>0</v>
      </c>
      <c r="W93" s="88">
        <v>0</v>
      </c>
      <c r="X93" s="88">
        <v>20</v>
      </c>
      <c r="Y93" s="88">
        <v>0</v>
      </c>
      <c r="Z93" s="88">
        <v>10</v>
      </c>
      <c r="AA93" s="88">
        <v>0</v>
      </c>
      <c r="AB93" s="88">
        <v>1</v>
      </c>
      <c r="AC93" s="88">
        <v>0</v>
      </c>
      <c r="AD93" s="88">
        <v>0</v>
      </c>
      <c r="AE93" s="88" t="s">
        <v>1133</v>
      </c>
      <c r="AF93" s="88">
        <v>0</v>
      </c>
      <c r="AG93" s="88">
        <v>0</v>
      </c>
      <c r="AH93" s="88" t="s">
        <v>1133</v>
      </c>
      <c r="AI93" s="88" t="s">
        <v>1133</v>
      </c>
      <c r="AJ93" s="88" t="s">
        <v>1133</v>
      </c>
      <c r="AK93" s="88">
        <v>2</v>
      </c>
      <c r="AL93" s="88">
        <v>20</v>
      </c>
      <c r="AM93" s="88">
        <v>9</v>
      </c>
      <c r="AN93" s="88">
        <v>0</v>
      </c>
      <c r="AO93" s="88">
        <v>1</v>
      </c>
      <c r="AP93" s="88" t="s">
        <v>1134</v>
      </c>
      <c r="AQ93" s="88" t="s">
        <v>1133</v>
      </c>
      <c r="AR93" s="88">
        <v>0</v>
      </c>
      <c r="AS93" s="88"/>
      <c r="AT93" s="88"/>
      <c r="AU93" s="88">
        <v>0</v>
      </c>
      <c r="AV93" s="88" t="s">
        <v>1133</v>
      </c>
      <c r="AW93" s="88" t="s">
        <v>1133</v>
      </c>
      <c r="AX93" s="88">
        <v>0</v>
      </c>
      <c r="AY93" s="88">
        <v>0</v>
      </c>
      <c r="AZ93" s="88">
        <v>0</v>
      </c>
      <c r="BA93" s="88">
        <v>0</v>
      </c>
      <c r="BB93" s="88" t="s">
        <v>0</v>
      </c>
    </row>
    <row r="94" spans="1:54">
      <c r="A94" s="88">
        <v>94</v>
      </c>
      <c r="B94" s="88">
        <v>94</v>
      </c>
      <c r="C94" s="88"/>
      <c r="D94" s="88" t="s">
        <v>94</v>
      </c>
      <c r="E94" s="88">
        <v>0</v>
      </c>
      <c r="F94" s="88">
        <v>1146</v>
      </c>
      <c r="G94" s="88">
        <v>1</v>
      </c>
      <c r="H94" s="88">
        <v>2</v>
      </c>
      <c r="I94" s="88">
        <v>2</v>
      </c>
      <c r="J94" s="88">
        <v>0</v>
      </c>
      <c r="K94" s="88">
        <v>0</v>
      </c>
      <c r="L94" s="88">
        <v>1</v>
      </c>
      <c r="M94" s="88">
        <v>30</v>
      </c>
      <c r="N94" s="88">
        <v>34</v>
      </c>
      <c r="O94" s="88">
        <v>1</v>
      </c>
      <c r="P94" s="88">
        <v>1</v>
      </c>
      <c r="Q94" s="88">
        <v>1</v>
      </c>
      <c r="R94" s="88">
        <v>20</v>
      </c>
      <c r="S94" s="88">
        <v>10</v>
      </c>
      <c r="T94" s="88">
        <v>0</v>
      </c>
      <c r="U94" s="88">
        <v>0</v>
      </c>
      <c r="V94" s="88">
        <v>0</v>
      </c>
      <c r="W94" s="88">
        <v>0</v>
      </c>
      <c r="X94" s="88">
        <v>20</v>
      </c>
      <c r="Y94" s="88">
        <v>0</v>
      </c>
      <c r="Z94" s="88">
        <v>10</v>
      </c>
      <c r="AA94" s="88">
        <v>0</v>
      </c>
      <c r="AB94" s="88">
        <v>1</v>
      </c>
      <c r="AC94" s="88">
        <v>0</v>
      </c>
      <c r="AD94" s="88">
        <v>0</v>
      </c>
      <c r="AE94" s="88" t="s">
        <v>1133</v>
      </c>
      <c r="AF94" s="88">
        <v>0</v>
      </c>
      <c r="AG94" s="88">
        <v>0</v>
      </c>
      <c r="AH94" s="88" t="s">
        <v>1133</v>
      </c>
      <c r="AI94" s="88" t="s">
        <v>1133</v>
      </c>
      <c r="AJ94" s="88" t="s">
        <v>1133</v>
      </c>
      <c r="AK94" s="88">
        <v>2</v>
      </c>
      <c r="AL94" s="88">
        <v>20</v>
      </c>
      <c r="AM94" s="88">
        <v>9</v>
      </c>
      <c r="AN94" s="88">
        <v>0</v>
      </c>
      <c r="AO94" s="88">
        <v>1</v>
      </c>
      <c r="AP94" s="88" t="s">
        <v>1134</v>
      </c>
      <c r="AQ94" s="88" t="s">
        <v>1133</v>
      </c>
      <c r="AR94" s="88">
        <v>0</v>
      </c>
      <c r="AS94" s="88"/>
      <c r="AT94" s="88"/>
      <c r="AU94" s="88">
        <v>0</v>
      </c>
      <c r="AV94" s="88" t="s">
        <v>1133</v>
      </c>
      <c r="AW94" s="88" t="s">
        <v>1133</v>
      </c>
      <c r="AX94" s="88">
        <v>0</v>
      </c>
      <c r="AY94" s="88">
        <v>0</v>
      </c>
      <c r="AZ94" s="88">
        <v>0</v>
      </c>
      <c r="BA94" s="88">
        <v>0</v>
      </c>
      <c r="BB94" s="88" t="s">
        <v>0</v>
      </c>
    </row>
    <row r="95" spans="1:54">
      <c r="A95" s="88">
        <v>95</v>
      </c>
      <c r="B95" s="88">
        <v>95</v>
      </c>
      <c r="C95" s="88"/>
      <c r="D95" s="88" t="s">
        <v>95</v>
      </c>
      <c r="E95" s="88">
        <v>0</v>
      </c>
      <c r="F95" s="88">
        <v>1146</v>
      </c>
      <c r="G95" s="88">
        <v>1</v>
      </c>
      <c r="H95" s="88">
        <v>2</v>
      </c>
      <c r="I95" s="88">
        <v>2</v>
      </c>
      <c r="J95" s="88">
        <v>0</v>
      </c>
      <c r="K95" s="88">
        <v>0</v>
      </c>
      <c r="L95" s="88">
        <v>1</v>
      </c>
      <c r="M95" s="88">
        <v>40</v>
      </c>
      <c r="N95" s="88">
        <v>34</v>
      </c>
      <c r="O95" s="88">
        <v>1</v>
      </c>
      <c r="P95" s="88">
        <v>1</v>
      </c>
      <c r="Q95" s="88">
        <v>1</v>
      </c>
      <c r="R95" s="88">
        <v>20</v>
      </c>
      <c r="S95" s="88">
        <v>10</v>
      </c>
      <c r="T95" s="88">
        <v>0</v>
      </c>
      <c r="U95" s="88">
        <v>0</v>
      </c>
      <c r="V95" s="88">
        <v>0</v>
      </c>
      <c r="W95" s="88">
        <v>0</v>
      </c>
      <c r="X95" s="88">
        <v>20</v>
      </c>
      <c r="Y95" s="88">
        <v>0</v>
      </c>
      <c r="Z95" s="88">
        <v>10</v>
      </c>
      <c r="AA95" s="88">
        <v>0</v>
      </c>
      <c r="AB95" s="88">
        <v>1</v>
      </c>
      <c r="AC95" s="88">
        <v>0</v>
      </c>
      <c r="AD95" s="88">
        <v>0</v>
      </c>
      <c r="AE95" s="88" t="s">
        <v>1133</v>
      </c>
      <c r="AF95" s="88">
        <v>0</v>
      </c>
      <c r="AG95" s="88">
        <v>0</v>
      </c>
      <c r="AH95" s="88" t="s">
        <v>1133</v>
      </c>
      <c r="AI95" s="88" t="s">
        <v>1133</v>
      </c>
      <c r="AJ95" s="88" t="s">
        <v>1133</v>
      </c>
      <c r="AK95" s="88">
        <v>2</v>
      </c>
      <c r="AL95" s="88">
        <v>20</v>
      </c>
      <c r="AM95" s="88">
        <v>9</v>
      </c>
      <c r="AN95" s="88">
        <v>0</v>
      </c>
      <c r="AO95" s="88">
        <v>1</v>
      </c>
      <c r="AP95" s="88" t="s">
        <v>1134</v>
      </c>
      <c r="AQ95" s="88" t="s">
        <v>1133</v>
      </c>
      <c r="AR95" s="88">
        <v>0</v>
      </c>
      <c r="AS95" s="88"/>
      <c r="AT95" s="88"/>
      <c r="AU95" s="88">
        <v>0</v>
      </c>
      <c r="AV95" s="88" t="s">
        <v>1133</v>
      </c>
      <c r="AW95" s="88" t="s">
        <v>1133</v>
      </c>
      <c r="AX95" s="88">
        <v>0</v>
      </c>
      <c r="AY95" s="88">
        <v>0</v>
      </c>
      <c r="AZ95" s="88">
        <v>0</v>
      </c>
      <c r="BA95" s="88">
        <v>0</v>
      </c>
      <c r="BB95" s="88" t="s">
        <v>0</v>
      </c>
    </row>
    <row r="96" spans="1:54">
      <c r="A96" s="88">
        <v>96</v>
      </c>
      <c r="B96" s="88">
        <v>96</v>
      </c>
      <c r="C96" s="88"/>
      <c r="D96" s="88" t="s">
        <v>96</v>
      </c>
      <c r="E96" s="88">
        <v>0</v>
      </c>
      <c r="F96" s="88">
        <v>1146</v>
      </c>
      <c r="G96" s="88">
        <v>1</v>
      </c>
      <c r="H96" s="88">
        <v>2</v>
      </c>
      <c r="I96" s="88">
        <v>2</v>
      </c>
      <c r="J96" s="88">
        <v>0</v>
      </c>
      <c r="K96" s="88">
        <v>0</v>
      </c>
      <c r="L96" s="88">
        <v>1</v>
      </c>
      <c r="M96" s="88">
        <v>50</v>
      </c>
      <c r="N96" s="88">
        <v>34</v>
      </c>
      <c r="O96" s="88">
        <v>1</v>
      </c>
      <c r="P96" s="88">
        <v>1</v>
      </c>
      <c r="Q96" s="88">
        <v>1</v>
      </c>
      <c r="R96" s="88">
        <v>20</v>
      </c>
      <c r="S96" s="88">
        <v>10</v>
      </c>
      <c r="T96" s="88">
        <v>0</v>
      </c>
      <c r="U96" s="88">
        <v>0</v>
      </c>
      <c r="V96" s="88">
        <v>0</v>
      </c>
      <c r="W96" s="88">
        <v>0</v>
      </c>
      <c r="X96" s="88">
        <v>20</v>
      </c>
      <c r="Y96" s="88">
        <v>0</v>
      </c>
      <c r="Z96" s="88">
        <v>10</v>
      </c>
      <c r="AA96" s="88">
        <v>0</v>
      </c>
      <c r="AB96" s="88">
        <v>1</v>
      </c>
      <c r="AC96" s="88">
        <v>0</v>
      </c>
      <c r="AD96" s="88">
        <v>0</v>
      </c>
      <c r="AE96" s="88" t="s">
        <v>1133</v>
      </c>
      <c r="AF96" s="88">
        <v>0</v>
      </c>
      <c r="AG96" s="88">
        <v>0</v>
      </c>
      <c r="AH96" s="88" t="s">
        <v>1133</v>
      </c>
      <c r="AI96" s="88" t="s">
        <v>1133</v>
      </c>
      <c r="AJ96" s="88" t="s">
        <v>1133</v>
      </c>
      <c r="AK96" s="88">
        <v>2</v>
      </c>
      <c r="AL96" s="88">
        <v>20</v>
      </c>
      <c r="AM96" s="88">
        <v>9</v>
      </c>
      <c r="AN96" s="88">
        <v>0</v>
      </c>
      <c r="AO96" s="88">
        <v>1</v>
      </c>
      <c r="AP96" s="88" t="s">
        <v>1134</v>
      </c>
      <c r="AQ96" s="88" t="s">
        <v>1133</v>
      </c>
      <c r="AR96" s="88">
        <v>0</v>
      </c>
      <c r="AS96" s="88"/>
      <c r="AT96" s="88"/>
      <c r="AU96" s="88">
        <v>0</v>
      </c>
      <c r="AV96" s="88" t="s">
        <v>1133</v>
      </c>
      <c r="AW96" s="88" t="s">
        <v>1133</v>
      </c>
      <c r="AX96" s="88">
        <v>0</v>
      </c>
      <c r="AY96" s="88">
        <v>0</v>
      </c>
      <c r="AZ96" s="88">
        <v>0</v>
      </c>
      <c r="BA96" s="88">
        <v>0</v>
      </c>
      <c r="BB96" s="88" t="s">
        <v>0</v>
      </c>
    </row>
    <row r="97" spans="1:54">
      <c r="A97" s="88">
        <v>97</v>
      </c>
      <c r="B97" s="88">
        <v>97</v>
      </c>
      <c r="C97" s="88"/>
      <c r="D97" s="88" t="s">
        <v>97</v>
      </c>
      <c r="E97" s="88">
        <v>0</v>
      </c>
      <c r="F97" s="88">
        <v>1146</v>
      </c>
      <c r="G97" s="88">
        <v>1</v>
      </c>
      <c r="H97" s="88">
        <v>2</v>
      </c>
      <c r="I97" s="88">
        <v>2</v>
      </c>
      <c r="J97" s="88">
        <v>0</v>
      </c>
      <c r="K97" s="88">
        <v>0</v>
      </c>
      <c r="L97" s="88">
        <v>1</v>
      </c>
      <c r="M97" s="88">
        <v>80</v>
      </c>
      <c r="N97" s="88">
        <v>34</v>
      </c>
      <c r="O97" s="88">
        <v>1</v>
      </c>
      <c r="P97" s="88">
        <v>1</v>
      </c>
      <c r="Q97" s="88">
        <v>1</v>
      </c>
      <c r="R97" s="88">
        <v>20</v>
      </c>
      <c r="S97" s="88">
        <v>10</v>
      </c>
      <c r="T97" s="88">
        <v>0</v>
      </c>
      <c r="U97" s="88">
        <v>0</v>
      </c>
      <c r="V97" s="88">
        <v>0</v>
      </c>
      <c r="W97" s="88">
        <v>0</v>
      </c>
      <c r="X97" s="88">
        <v>20</v>
      </c>
      <c r="Y97" s="88">
        <v>0</v>
      </c>
      <c r="Z97" s="88">
        <v>10</v>
      </c>
      <c r="AA97" s="88">
        <v>0</v>
      </c>
      <c r="AB97" s="88">
        <v>1</v>
      </c>
      <c r="AC97" s="88">
        <v>0</v>
      </c>
      <c r="AD97" s="88">
        <v>0</v>
      </c>
      <c r="AE97" s="88" t="s">
        <v>1133</v>
      </c>
      <c r="AF97" s="88">
        <v>0</v>
      </c>
      <c r="AG97" s="88">
        <v>0</v>
      </c>
      <c r="AH97" s="88" t="s">
        <v>1133</v>
      </c>
      <c r="AI97" s="88" t="s">
        <v>1133</v>
      </c>
      <c r="AJ97" s="88" t="s">
        <v>1133</v>
      </c>
      <c r="AK97" s="88">
        <v>2</v>
      </c>
      <c r="AL97" s="88">
        <v>20</v>
      </c>
      <c r="AM97" s="88">
        <v>9</v>
      </c>
      <c r="AN97" s="88">
        <v>0</v>
      </c>
      <c r="AO97" s="88">
        <v>1</v>
      </c>
      <c r="AP97" s="88" t="s">
        <v>1134</v>
      </c>
      <c r="AQ97" s="88" t="s">
        <v>1133</v>
      </c>
      <c r="AR97" s="88">
        <v>0</v>
      </c>
      <c r="AS97" s="88"/>
      <c r="AT97" s="88"/>
      <c r="AU97" s="88">
        <v>0</v>
      </c>
      <c r="AV97" s="88" t="s">
        <v>1133</v>
      </c>
      <c r="AW97" s="88" t="s">
        <v>1133</v>
      </c>
      <c r="AX97" s="88">
        <v>0</v>
      </c>
      <c r="AY97" s="88">
        <v>0</v>
      </c>
      <c r="AZ97" s="88">
        <v>0</v>
      </c>
      <c r="BA97" s="88">
        <v>0</v>
      </c>
      <c r="BB97" s="88" t="s">
        <v>0</v>
      </c>
    </row>
    <row r="98" spans="1:54">
      <c r="A98" s="88">
        <v>98</v>
      </c>
      <c r="B98" s="88">
        <v>98</v>
      </c>
      <c r="C98" s="88"/>
      <c r="D98" s="88" t="s">
        <v>98</v>
      </c>
      <c r="E98" s="88">
        <v>0</v>
      </c>
      <c r="F98" s="88">
        <v>1146</v>
      </c>
      <c r="G98" s="88">
        <v>1</v>
      </c>
      <c r="H98" s="88">
        <v>2</v>
      </c>
      <c r="I98" s="88">
        <v>2</v>
      </c>
      <c r="J98" s="88">
        <v>0</v>
      </c>
      <c r="K98" s="88">
        <v>0</v>
      </c>
      <c r="L98" s="88">
        <v>1</v>
      </c>
      <c r="M98" s="88">
        <v>600</v>
      </c>
      <c r="N98" s="88">
        <v>34</v>
      </c>
      <c r="O98" s="88">
        <v>1</v>
      </c>
      <c r="P98" s="88">
        <v>1</v>
      </c>
      <c r="Q98" s="88">
        <v>1</v>
      </c>
      <c r="R98" s="88">
        <v>20</v>
      </c>
      <c r="S98" s="88">
        <v>10</v>
      </c>
      <c r="T98" s="88">
        <v>0</v>
      </c>
      <c r="U98" s="88">
        <v>0</v>
      </c>
      <c r="V98" s="88">
        <v>0</v>
      </c>
      <c r="W98" s="88">
        <v>0</v>
      </c>
      <c r="X98" s="88">
        <v>20</v>
      </c>
      <c r="Y98" s="88">
        <v>0</v>
      </c>
      <c r="Z98" s="88">
        <v>10</v>
      </c>
      <c r="AA98" s="88">
        <v>0</v>
      </c>
      <c r="AB98" s="88">
        <v>1</v>
      </c>
      <c r="AC98" s="88">
        <v>0</v>
      </c>
      <c r="AD98" s="88">
        <v>0</v>
      </c>
      <c r="AE98" s="88" t="s">
        <v>1133</v>
      </c>
      <c r="AF98" s="88">
        <v>0</v>
      </c>
      <c r="AG98" s="88">
        <v>0</v>
      </c>
      <c r="AH98" s="88" t="s">
        <v>1133</v>
      </c>
      <c r="AI98" s="88" t="s">
        <v>1133</v>
      </c>
      <c r="AJ98" s="88" t="s">
        <v>1133</v>
      </c>
      <c r="AK98" s="88">
        <v>2</v>
      </c>
      <c r="AL98" s="88">
        <v>20</v>
      </c>
      <c r="AM98" s="88">
        <v>9</v>
      </c>
      <c r="AN98" s="88">
        <v>0</v>
      </c>
      <c r="AO98" s="88">
        <v>1</v>
      </c>
      <c r="AP98" s="88" t="s">
        <v>1134</v>
      </c>
      <c r="AQ98" s="88" t="s">
        <v>1133</v>
      </c>
      <c r="AR98" s="88">
        <v>0</v>
      </c>
      <c r="AS98" s="88"/>
      <c r="AT98" s="88"/>
      <c r="AU98" s="88">
        <v>0</v>
      </c>
      <c r="AV98" s="88" t="s">
        <v>1133</v>
      </c>
      <c r="AW98" s="88" t="s">
        <v>1133</v>
      </c>
      <c r="AX98" s="88">
        <v>0</v>
      </c>
      <c r="AY98" s="88">
        <v>0</v>
      </c>
      <c r="AZ98" s="88">
        <v>0</v>
      </c>
      <c r="BA98" s="88">
        <v>0</v>
      </c>
      <c r="BB98" s="88" t="s">
        <v>0</v>
      </c>
    </row>
    <row r="99" spans="1:54">
      <c r="A99" s="88">
        <v>99</v>
      </c>
      <c r="B99" s="88">
        <v>99</v>
      </c>
      <c r="C99" s="88"/>
      <c r="D99" s="88" t="s">
        <v>99</v>
      </c>
      <c r="E99" s="88">
        <v>0</v>
      </c>
      <c r="F99" s="88">
        <v>1146</v>
      </c>
      <c r="G99" s="88">
        <v>1</v>
      </c>
      <c r="H99" s="88">
        <v>2</v>
      </c>
      <c r="I99" s="88">
        <v>2</v>
      </c>
      <c r="J99" s="88">
        <v>0</v>
      </c>
      <c r="K99" s="88">
        <v>0</v>
      </c>
      <c r="L99" s="88">
        <v>1</v>
      </c>
      <c r="M99" s="88">
        <v>800</v>
      </c>
      <c r="N99" s="88">
        <v>34</v>
      </c>
      <c r="O99" s="88">
        <v>1</v>
      </c>
      <c r="P99" s="88">
        <v>1</v>
      </c>
      <c r="Q99" s="88">
        <v>1</v>
      </c>
      <c r="R99" s="88">
        <v>20</v>
      </c>
      <c r="S99" s="88">
        <v>10</v>
      </c>
      <c r="T99" s="88">
        <v>0</v>
      </c>
      <c r="U99" s="88">
        <v>0</v>
      </c>
      <c r="V99" s="88">
        <v>0</v>
      </c>
      <c r="W99" s="88">
        <v>0</v>
      </c>
      <c r="X99" s="88">
        <v>20</v>
      </c>
      <c r="Y99" s="88">
        <v>0</v>
      </c>
      <c r="Z99" s="88">
        <v>10</v>
      </c>
      <c r="AA99" s="88">
        <v>0</v>
      </c>
      <c r="AB99" s="88">
        <v>1</v>
      </c>
      <c r="AC99" s="88">
        <v>0</v>
      </c>
      <c r="AD99" s="88">
        <v>0</v>
      </c>
      <c r="AE99" s="88" t="s">
        <v>1133</v>
      </c>
      <c r="AF99" s="88">
        <v>0</v>
      </c>
      <c r="AG99" s="88">
        <v>0</v>
      </c>
      <c r="AH99" s="88" t="s">
        <v>1133</v>
      </c>
      <c r="AI99" s="88" t="s">
        <v>1133</v>
      </c>
      <c r="AJ99" s="88" t="s">
        <v>1133</v>
      </c>
      <c r="AK99" s="88">
        <v>2</v>
      </c>
      <c r="AL99" s="88">
        <v>20</v>
      </c>
      <c r="AM99" s="88">
        <v>9</v>
      </c>
      <c r="AN99" s="88">
        <v>0</v>
      </c>
      <c r="AO99" s="88">
        <v>1</v>
      </c>
      <c r="AP99" s="88" t="s">
        <v>1134</v>
      </c>
      <c r="AQ99" s="88" t="s">
        <v>1133</v>
      </c>
      <c r="AR99" s="88">
        <v>0</v>
      </c>
      <c r="AS99" s="88"/>
      <c r="AT99" s="88"/>
      <c r="AU99" s="88">
        <v>0</v>
      </c>
      <c r="AV99" s="88" t="s">
        <v>1133</v>
      </c>
      <c r="AW99" s="88" t="s">
        <v>1133</v>
      </c>
      <c r="AX99" s="88">
        <v>0</v>
      </c>
      <c r="AY99" s="88">
        <v>0</v>
      </c>
      <c r="AZ99" s="88">
        <v>0</v>
      </c>
      <c r="BA99" s="88">
        <v>0</v>
      </c>
      <c r="BB99" s="88" t="s">
        <v>0</v>
      </c>
    </row>
    <row r="100" spans="1:54">
      <c r="A100" s="88">
        <v>100</v>
      </c>
      <c r="B100" s="88">
        <v>100</v>
      </c>
      <c r="C100" s="88"/>
      <c r="D100" s="88" t="s">
        <v>100</v>
      </c>
      <c r="E100" s="88">
        <v>0</v>
      </c>
      <c r="F100" s="88">
        <v>1146</v>
      </c>
      <c r="G100" s="88">
        <v>1</v>
      </c>
      <c r="H100" s="88">
        <v>2</v>
      </c>
      <c r="I100" s="88">
        <v>2</v>
      </c>
      <c r="J100" s="88">
        <v>0</v>
      </c>
      <c r="K100" s="88">
        <v>0</v>
      </c>
      <c r="L100" s="88">
        <v>1</v>
      </c>
      <c r="M100" s="88">
        <v>960</v>
      </c>
      <c r="N100" s="88">
        <v>34</v>
      </c>
      <c r="O100" s="88">
        <v>1</v>
      </c>
      <c r="P100" s="88">
        <v>1</v>
      </c>
      <c r="Q100" s="88">
        <v>1</v>
      </c>
      <c r="R100" s="88">
        <v>20</v>
      </c>
      <c r="S100" s="88">
        <v>10</v>
      </c>
      <c r="T100" s="88">
        <v>0</v>
      </c>
      <c r="U100" s="88">
        <v>0</v>
      </c>
      <c r="V100" s="88">
        <v>0</v>
      </c>
      <c r="W100" s="88">
        <v>0</v>
      </c>
      <c r="X100" s="88">
        <v>20</v>
      </c>
      <c r="Y100" s="88">
        <v>0</v>
      </c>
      <c r="Z100" s="88">
        <v>10</v>
      </c>
      <c r="AA100" s="88">
        <v>0</v>
      </c>
      <c r="AB100" s="88">
        <v>1</v>
      </c>
      <c r="AC100" s="88">
        <v>0</v>
      </c>
      <c r="AD100" s="88">
        <v>0</v>
      </c>
      <c r="AE100" s="88" t="s">
        <v>1133</v>
      </c>
      <c r="AF100" s="88">
        <v>0</v>
      </c>
      <c r="AG100" s="88">
        <v>0</v>
      </c>
      <c r="AH100" s="88" t="s">
        <v>1133</v>
      </c>
      <c r="AI100" s="88" t="s">
        <v>1133</v>
      </c>
      <c r="AJ100" s="88" t="s">
        <v>1133</v>
      </c>
      <c r="AK100" s="88">
        <v>2</v>
      </c>
      <c r="AL100" s="88">
        <v>20</v>
      </c>
      <c r="AM100" s="88">
        <v>9</v>
      </c>
      <c r="AN100" s="88">
        <v>0</v>
      </c>
      <c r="AO100" s="88">
        <v>1</v>
      </c>
      <c r="AP100" s="88" t="s">
        <v>1134</v>
      </c>
      <c r="AQ100" s="88" t="s">
        <v>1133</v>
      </c>
      <c r="AR100" s="88">
        <v>0</v>
      </c>
      <c r="AS100" s="88"/>
      <c r="AT100" s="88"/>
      <c r="AU100" s="88">
        <v>0</v>
      </c>
      <c r="AV100" s="88" t="s">
        <v>1133</v>
      </c>
      <c r="AW100" s="88" t="s">
        <v>1133</v>
      </c>
      <c r="AX100" s="88">
        <v>0</v>
      </c>
      <c r="AY100" s="88">
        <v>0</v>
      </c>
      <c r="AZ100" s="88">
        <v>0</v>
      </c>
      <c r="BA100" s="88">
        <v>0</v>
      </c>
      <c r="BB100" s="88" t="s">
        <v>0</v>
      </c>
    </row>
    <row r="101" spans="1:54">
      <c r="A101" s="88">
        <v>101</v>
      </c>
      <c r="B101" s="88">
        <v>101</v>
      </c>
      <c r="C101" s="88"/>
      <c r="D101" s="88" t="s">
        <v>101</v>
      </c>
      <c r="E101" s="88">
        <v>0</v>
      </c>
      <c r="F101" s="88">
        <v>1146</v>
      </c>
      <c r="G101" s="88">
        <v>1</v>
      </c>
      <c r="H101" s="88">
        <v>2</v>
      </c>
      <c r="I101" s="88">
        <v>2</v>
      </c>
      <c r="J101" s="88">
        <v>0</v>
      </c>
      <c r="K101" s="88">
        <v>0</v>
      </c>
      <c r="L101" s="88">
        <v>1</v>
      </c>
      <c r="M101" s="88">
        <v>1280</v>
      </c>
      <c r="N101" s="88">
        <v>34</v>
      </c>
      <c r="O101" s="88">
        <v>1</v>
      </c>
      <c r="P101" s="88">
        <v>1</v>
      </c>
      <c r="Q101" s="88">
        <v>1</v>
      </c>
      <c r="R101" s="88">
        <v>20</v>
      </c>
      <c r="S101" s="88">
        <v>10</v>
      </c>
      <c r="T101" s="88">
        <v>0</v>
      </c>
      <c r="U101" s="88">
        <v>0</v>
      </c>
      <c r="V101" s="88">
        <v>0</v>
      </c>
      <c r="W101" s="88">
        <v>0</v>
      </c>
      <c r="X101" s="88">
        <v>20</v>
      </c>
      <c r="Y101" s="88">
        <v>0</v>
      </c>
      <c r="Z101" s="88">
        <v>10</v>
      </c>
      <c r="AA101" s="88">
        <v>0</v>
      </c>
      <c r="AB101" s="88">
        <v>1</v>
      </c>
      <c r="AC101" s="88">
        <v>0</v>
      </c>
      <c r="AD101" s="88">
        <v>0</v>
      </c>
      <c r="AE101" s="88" t="s">
        <v>1133</v>
      </c>
      <c r="AF101" s="88">
        <v>0</v>
      </c>
      <c r="AG101" s="88">
        <v>0</v>
      </c>
      <c r="AH101" s="88" t="s">
        <v>1133</v>
      </c>
      <c r="AI101" s="88" t="s">
        <v>1133</v>
      </c>
      <c r="AJ101" s="88" t="s">
        <v>1133</v>
      </c>
      <c r="AK101" s="88">
        <v>2</v>
      </c>
      <c r="AL101" s="88">
        <v>20</v>
      </c>
      <c r="AM101" s="88">
        <v>9</v>
      </c>
      <c r="AN101" s="88">
        <v>0</v>
      </c>
      <c r="AO101" s="88">
        <v>1</v>
      </c>
      <c r="AP101" s="88" t="s">
        <v>1134</v>
      </c>
      <c r="AQ101" s="88" t="s">
        <v>1133</v>
      </c>
      <c r="AR101" s="88">
        <v>0</v>
      </c>
      <c r="AS101" s="88"/>
      <c r="AT101" s="88"/>
      <c r="AU101" s="88">
        <v>0</v>
      </c>
      <c r="AV101" s="88" t="s">
        <v>1133</v>
      </c>
      <c r="AW101" s="88" t="s">
        <v>1133</v>
      </c>
      <c r="AX101" s="88">
        <v>0</v>
      </c>
      <c r="AY101" s="88">
        <v>0</v>
      </c>
      <c r="AZ101" s="88">
        <v>0</v>
      </c>
      <c r="BA101" s="88">
        <v>0</v>
      </c>
      <c r="BB101" s="88" t="s">
        <v>0</v>
      </c>
    </row>
    <row r="102" spans="1:54">
      <c r="A102" s="88">
        <v>102</v>
      </c>
      <c r="B102" s="88">
        <v>102</v>
      </c>
      <c r="C102" s="88"/>
      <c r="D102" s="88" t="s">
        <v>102</v>
      </c>
      <c r="E102" s="88">
        <v>0</v>
      </c>
      <c r="F102" s="88">
        <v>1146</v>
      </c>
      <c r="G102" s="88">
        <v>1</v>
      </c>
      <c r="H102" s="88">
        <v>2</v>
      </c>
      <c r="I102" s="88">
        <v>2</v>
      </c>
      <c r="J102" s="88">
        <v>0</v>
      </c>
      <c r="K102" s="88">
        <v>0</v>
      </c>
      <c r="L102" s="88">
        <v>1</v>
      </c>
      <c r="M102" s="88">
        <v>2</v>
      </c>
      <c r="N102" s="88">
        <v>34</v>
      </c>
      <c r="O102" s="88">
        <v>1</v>
      </c>
      <c r="P102" s="88">
        <v>1</v>
      </c>
      <c r="Q102" s="88">
        <v>1</v>
      </c>
      <c r="R102" s="88">
        <v>20</v>
      </c>
      <c r="S102" s="88">
        <v>10</v>
      </c>
      <c r="T102" s="88">
        <v>0</v>
      </c>
      <c r="U102" s="88">
        <v>0</v>
      </c>
      <c r="V102" s="88">
        <v>0</v>
      </c>
      <c r="W102" s="88">
        <v>0</v>
      </c>
      <c r="X102" s="88">
        <v>20</v>
      </c>
      <c r="Y102" s="88">
        <v>0</v>
      </c>
      <c r="Z102" s="88">
        <v>10</v>
      </c>
      <c r="AA102" s="88">
        <v>0</v>
      </c>
      <c r="AB102" s="88">
        <v>1</v>
      </c>
      <c r="AC102" s="88">
        <v>0</v>
      </c>
      <c r="AD102" s="88">
        <v>0</v>
      </c>
      <c r="AE102" s="88" t="s">
        <v>1133</v>
      </c>
      <c r="AF102" s="88">
        <v>0</v>
      </c>
      <c r="AG102" s="88">
        <v>0</v>
      </c>
      <c r="AH102" s="88" t="s">
        <v>1133</v>
      </c>
      <c r="AI102" s="88" t="s">
        <v>1133</v>
      </c>
      <c r="AJ102" s="88" t="s">
        <v>1133</v>
      </c>
      <c r="AK102" s="88">
        <v>2</v>
      </c>
      <c r="AL102" s="88">
        <v>20</v>
      </c>
      <c r="AM102" s="88">
        <v>9</v>
      </c>
      <c r="AN102" s="88">
        <v>0</v>
      </c>
      <c r="AO102" s="88">
        <v>1</v>
      </c>
      <c r="AP102" s="88" t="s">
        <v>1134</v>
      </c>
      <c r="AQ102" s="88" t="s">
        <v>1133</v>
      </c>
      <c r="AR102" s="88">
        <v>0</v>
      </c>
      <c r="AS102" s="88"/>
      <c r="AT102" s="88"/>
      <c r="AU102" s="88">
        <v>0</v>
      </c>
      <c r="AV102" s="88" t="s">
        <v>1133</v>
      </c>
      <c r="AW102" s="88" t="s">
        <v>1133</v>
      </c>
      <c r="AX102" s="88">
        <v>0</v>
      </c>
      <c r="AY102" s="88">
        <v>0</v>
      </c>
      <c r="AZ102" s="88">
        <v>0</v>
      </c>
      <c r="BA102" s="88">
        <v>0</v>
      </c>
      <c r="BB102" s="88" t="s">
        <v>0</v>
      </c>
    </row>
    <row r="103" spans="1:54">
      <c r="A103" s="88">
        <v>103</v>
      </c>
      <c r="B103" s="88">
        <v>103</v>
      </c>
      <c r="C103" s="88"/>
      <c r="D103" s="88" t="s">
        <v>103</v>
      </c>
      <c r="E103" s="88">
        <v>0</v>
      </c>
      <c r="F103" s="88">
        <v>1146</v>
      </c>
      <c r="G103" s="88">
        <v>1</v>
      </c>
      <c r="H103" s="88">
        <v>2</v>
      </c>
      <c r="I103" s="88">
        <v>2</v>
      </c>
      <c r="J103" s="88">
        <v>0</v>
      </c>
      <c r="K103" s="88">
        <v>0</v>
      </c>
      <c r="L103" s="88">
        <v>1</v>
      </c>
      <c r="M103" s="88">
        <v>5</v>
      </c>
      <c r="N103" s="88">
        <v>34</v>
      </c>
      <c r="O103" s="88">
        <v>1</v>
      </c>
      <c r="P103" s="88">
        <v>1</v>
      </c>
      <c r="Q103" s="88">
        <v>1</v>
      </c>
      <c r="R103" s="88">
        <v>20</v>
      </c>
      <c r="S103" s="88">
        <v>10</v>
      </c>
      <c r="T103" s="88">
        <v>0</v>
      </c>
      <c r="U103" s="88">
        <v>0</v>
      </c>
      <c r="V103" s="88">
        <v>0</v>
      </c>
      <c r="W103" s="88">
        <v>0</v>
      </c>
      <c r="X103" s="88">
        <v>20</v>
      </c>
      <c r="Y103" s="88">
        <v>0</v>
      </c>
      <c r="Z103" s="88">
        <v>10</v>
      </c>
      <c r="AA103" s="88">
        <v>0</v>
      </c>
      <c r="AB103" s="88">
        <v>1</v>
      </c>
      <c r="AC103" s="88">
        <v>0</v>
      </c>
      <c r="AD103" s="88">
        <v>0</v>
      </c>
      <c r="AE103" s="88" t="s">
        <v>1133</v>
      </c>
      <c r="AF103" s="88">
        <v>0</v>
      </c>
      <c r="AG103" s="88">
        <v>0</v>
      </c>
      <c r="AH103" s="88" t="s">
        <v>1133</v>
      </c>
      <c r="AI103" s="88" t="s">
        <v>1133</v>
      </c>
      <c r="AJ103" s="88" t="s">
        <v>1133</v>
      </c>
      <c r="AK103" s="88">
        <v>2</v>
      </c>
      <c r="AL103" s="88">
        <v>20</v>
      </c>
      <c r="AM103" s="88">
        <v>9</v>
      </c>
      <c r="AN103" s="88">
        <v>0</v>
      </c>
      <c r="AO103" s="88">
        <v>1</v>
      </c>
      <c r="AP103" s="88" t="s">
        <v>1134</v>
      </c>
      <c r="AQ103" s="88" t="s">
        <v>1133</v>
      </c>
      <c r="AR103" s="88">
        <v>0</v>
      </c>
      <c r="AS103" s="88"/>
      <c r="AT103" s="88"/>
      <c r="AU103" s="88">
        <v>0</v>
      </c>
      <c r="AV103" s="88" t="s">
        <v>1133</v>
      </c>
      <c r="AW103" s="88" t="s">
        <v>1133</v>
      </c>
      <c r="AX103" s="88">
        <v>0</v>
      </c>
      <c r="AY103" s="88">
        <v>0</v>
      </c>
      <c r="AZ103" s="88">
        <v>0</v>
      </c>
      <c r="BA103" s="88">
        <v>0</v>
      </c>
      <c r="BB103" s="88" t="s">
        <v>0</v>
      </c>
    </row>
    <row r="104" spans="1:54">
      <c r="A104" s="88">
        <v>104</v>
      </c>
      <c r="B104" s="88">
        <v>104</v>
      </c>
      <c r="C104" s="88"/>
      <c r="D104" s="88" t="s">
        <v>1135</v>
      </c>
      <c r="E104" s="88">
        <v>0</v>
      </c>
      <c r="F104" s="88">
        <v>1146</v>
      </c>
      <c r="G104" s="88">
        <v>1</v>
      </c>
      <c r="H104" s="88">
        <v>2</v>
      </c>
      <c r="I104" s="88">
        <v>2</v>
      </c>
      <c r="J104" s="88">
        <v>0</v>
      </c>
      <c r="K104" s="88">
        <v>0</v>
      </c>
      <c r="L104" s="88">
        <v>1</v>
      </c>
      <c r="M104" s="88">
        <v>7</v>
      </c>
      <c r="N104" s="88">
        <v>34</v>
      </c>
      <c r="O104" s="88">
        <v>1</v>
      </c>
      <c r="P104" s="88">
        <v>1</v>
      </c>
      <c r="Q104" s="88">
        <v>1</v>
      </c>
      <c r="R104" s="88">
        <v>20</v>
      </c>
      <c r="S104" s="88">
        <v>10</v>
      </c>
      <c r="T104" s="88">
        <v>0</v>
      </c>
      <c r="U104" s="88">
        <v>0</v>
      </c>
      <c r="V104" s="88">
        <v>0</v>
      </c>
      <c r="W104" s="88">
        <v>0</v>
      </c>
      <c r="X104" s="88">
        <v>20</v>
      </c>
      <c r="Y104" s="88">
        <v>0</v>
      </c>
      <c r="Z104" s="88">
        <v>10</v>
      </c>
      <c r="AA104" s="88">
        <v>0</v>
      </c>
      <c r="AB104" s="88">
        <v>1</v>
      </c>
      <c r="AC104" s="88">
        <v>0</v>
      </c>
      <c r="AD104" s="88">
        <v>0</v>
      </c>
      <c r="AE104" s="88" t="s">
        <v>1133</v>
      </c>
      <c r="AF104" s="88">
        <v>0</v>
      </c>
      <c r="AG104" s="88">
        <v>0</v>
      </c>
      <c r="AH104" s="88" t="s">
        <v>1133</v>
      </c>
      <c r="AI104" s="88" t="s">
        <v>1133</v>
      </c>
      <c r="AJ104" s="88" t="s">
        <v>1133</v>
      </c>
      <c r="AK104" s="88">
        <v>2</v>
      </c>
      <c r="AL104" s="88">
        <v>20</v>
      </c>
      <c r="AM104" s="88">
        <v>9</v>
      </c>
      <c r="AN104" s="88">
        <v>0</v>
      </c>
      <c r="AO104" s="88">
        <v>1</v>
      </c>
      <c r="AP104" s="88" t="s">
        <v>1134</v>
      </c>
      <c r="AQ104" s="88" t="s">
        <v>1133</v>
      </c>
      <c r="AR104" s="88">
        <v>0</v>
      </c>
      <c r="AS104" s="88"/>
      <c r="AT104" s="88"/>
      <c r="AU104" s="88">
        <v>0</v>
      </c>
      <c r="AV104" s="88" t="s">
        <v>1133</v>
      </c>
      <c r="AW104" s="88" t="s">
        <v>1133</v>
      </c>
      <c r="AX104" s="88">
        <v>0</v>
      </c>
      <c r="AY104" s="88">
        <v>0</v>
      </c>
      <c r="AZ104" s="88">
        <v>0</v>
      </c>
      <c r="BA104" s="88">
        <v>0</v>
      </c>
      <c r="BB104" s="88" t="s">
        <v>0</v>
      </c>
    </row>
    <row r="105" spans="1:54">
      <c r="A105" s="88">
        <v>105</v>
      </c>
      <c r="B105" s="88">
        <v>105</v>
      </c>
      <c r="C105" s="88"/>
      <c r="D105" s="88" t="s">
        <v>1136</v>
      </c>
      <c r="E105" s="88">
        <v>0</v>
      </c>
      <c r="F105" s="88">
        <v>1146</v>
      </c>
      <c r="G105" s="88">
        <v>1</v>
      </c>
      <c r="H105" s="88">
        <v>2</v>
      </c>
      <c r="I105" s="88">
        <v>2</v>
      </c>
      <c r="J105" s="88">
        <v>0</v>
      </c>
      <c r="K105" s="88">
        <v>0</v>
      </c>
      <c r="L105" s="88">
        <v>1</v>
      </c>
      <c r="M105" s="88">
        <v>10</v>
      </c>
      <c r="N105" s="88">
        <v>34</v>
      </c>
      <c r="O105" s="88">
        <v>1</v>
      </c>
      <c r="P105" s="88">
        <v>1</v>
      </c>
      <c r="Q105" s="88">
        <v>1</v>
      </c>
      <c r="R105" s="88">
        <v>20</v>
      </c>
      <c r="S105" s="88">
        <v>10</v>
      </c>
      <c r="T105" s="88">
        <v>0</v>
      </c>
      <c r="U105" s="88">
        <v>0</v>
      </c>
      <c r="V105" s="88">
        <v>0</v>
      </c>
      <c r="W105" s="88">
        <v>0</v>
      </c>
      <c r="X105" s="88">
        <v>20</v>
      </c>
      <c r="Y105" s="88">
        <v>0</v>
      </c>
      <c r="Z105" s="88">
        <v>10</v>
      </c>
      <c r="AA105" s="88">
        <v>0</v>
      </c>
      <c r="AB105" s="88">
        <v>1</v>
      </c>
      <c r="AC105" s="88">
        <v>0</v>
      </c>
      <c r="AD105" s="88">
        <v>0</v>
      </c>
      <c r="AE105" s="88" t="s">
        <v>1133</v>
      </c>
      <c r="AF105" s="88">
        <v>0</v>
      </c>
      <c r="AG105" s="88">
        <v>0</v>
      </c>
      <c r="AH105" s="88" t="s">
        <v>1133</v>
      </c>
      <c r="AI105" s="88" t="s">
        <v>1133</v>
      </c>
      <c r="AJ105" s="88" t="s">
        <v>1133</v>
      </c>
      <c r="AK105" s="88">
        <v>2</v>
      </c>
      <c r="AL105" s="88">
        <v>20</v>
      </c>
      <c r="AM105" s="88">
        <v>9</v>
      </c>
      <c r="AN105" s="88">
        <v>0</v>
      </c>
      <c r="AO105" s="88">
        <v>1</v>
      </c>
      <c r="AP105" s="88" t="s">
        <v>1134</v>
      </c>
      <c r="AQ105" s="88" t="s">
        <v>1133</v>
      </c>
      <c r="AR105" s="88">
        <v>0</v>
      </c>
      <c r="AS105" s="88"/>
      <c r="AT105" s="88"/>
      <c r="AU105" s="88">
        <v>0</v>
      </c>
      <c r="AV105" s="88" t="s">
        <v>1133</v>
      </c>
      <c r="AW105" s="88" t="s">
        <v>1133</v>
      </c>
      <c r="AX105" s="88">
        <v>0</v>
      </c>
      <c r="AY105" s="88">
        <v>0</v>
      </c>
      <c r="AZ105" s="88">
        <v>0</v>
      </c>
      <c r="BA105" s="88">
        <v>0</v>
      </c>
      <c r="BB105" s="88" t="s">
        <v>0</v>
      </c>
    </row>
    <row r="106" spans="1:54">
      <c r="A106" s="88">
        <v>106</v>
      </c>
      <c r="B106" s="88">
        <v>106</v>
      </c>
      <c r="C106" s="88"/>
      <c r="D106" s="88" t="s">
        <v>1137</v>
      </c>
      <c r="E106" s="88">
        <v>0</v>
      </c>
      <c r="F106" s="88">
        <v>1146</v>
      </c>
      <c r="G106" s="88">
        <v>1</v>
      </c>
      <c r="H106" s="88">
        <v>2</v>
      </c>
      <c r="I106" s="88">
        <v>2</v>
      </c>
      <c r="J106" s="88">
        <v>0</v>
      </c>
      <c r="K106" s="88">
        <v>0</v>
      </c>
      <c r="L106" s="88">
        <v>1</v>
      </c>
      <c r="M106" s="88">
        <v>14</v>
      </c>
      <c r="N106" s="88">
        <v>34</v>
      </c>
      <c r="O106" s="88">
        <v>1</v>
      </c>
      <c r="P106" s="88">
        <v>1</v>
      </c>
      <c r="Q106" s="88">
        <v>1</v>
      </c>
      <c r="R106" s="88">
        <v>20</v>
      </c>
      <c r="S106" s="88">
        <v>10</v>
      </c>
      <c r="T106" s="88">
        <v>0</v>
      </c>
      <c r="U106" s="88">
        <v>0</v>
      </c>
      <c r="V106" s="88">
        <v>0</v>
      </c>
      <c r="W106" s="88">
        <v>0</v>
      </c>
      <c r="X106" s="88">
        <v>20</v>
      </c>
      <c r="Y106" s="88">
        <v>0</v>
      </c>
      <c r="Z106" s="88">
        <v>10</v>
      </c>
      <c r="AA106" s="88">
        <v>0</v>
      </c>
      <c r="AB106" s="88">
        <v>1</v>
      </c>
      <c r="AC106" s="88">
        <v>0</v>
      </c>
      <c r="AD106" s="88">
        <v>0</v>
      </c>
      <c r="AE106" s="88" t="s">
        <v>1133</v>
      </c>
      <c r="AF106" s="88">
        <v>0</v>
      </c>
      <c r="AG106" s="88">
        <v>0</v>
      </c>
      <c r="AH106" s="88" t="s">
        <v>1133</v>
      </c>
      <c r="AI106" s="88" t="s">
        <v>1133</v>
      </c>
      <c r="AJ106" s="88" t="s">
        <v>1133</v>
      </c>
      <c r="AK106" s="88">
        <v>2</v>
      </c>
      <c r="AL106" s="88">
        <v>20</v>
      </c>
      <c r="AM106" s="88">
        <v>9</v>
      </c>
      <c r="AN106" s="88">
        <v>0</v>
      </c>
      <c r="AO106" s="88">
        <v>1</v>
      </c>
      <c r="AP106" s="88" t="s">
        <v>1134</v>
      </c>
      <c r="AQ106" s="88" t="s">
        <v>1133</v>
      </c>
      <c r="AR106" s="88">
        <v>0</v>
      </c>
      <c r="AS106" s="88"/>
      <c r="AT106" s="88"/>
      <c r="AU106" s="88">
        <v>0</v>
      </c>
      <c r="AV106" s="88" t="s">
        <v>1133</v>
      </c>
      <c r="AW106" s="88" t="s">
        <v>1133</v>
      </c>
      <c r="AX106" s="88">
        <v>0</v>
      </c>
      <c r="AY106" s="88">
        <v>0</v>
      </c>
      <c r="AZ106" s="88">
        <v>0</v>
      </c>
      <c r="BA106" s="88">
        <v>0</v>
      </c>
      <c r="BB106" s="88" t="s">
        <v>0</v>
      </c>
    </row>
    <row r="107" spans="1:54">
      <c r="A107" s="88">
        <v>107</v>
      </c>
      <c r="B107" s="88">
        <v>107</v>
      </c>
      <c r="C107" s="88"/>
      <c r="D107" s="88" t="s">
        <v>1138</v>
      </c>
      <c r="E107" s="88">
        <v>0</v>
      </c>
      <c r="F107" s="88">
        <v>1146</v>
      </c>
      <c r="G107" s="88">
        <v>1</v>
      </c>
      <c r="H107" s="88">
        <v>2</v>
      </c>
      <c r="I107" s="88">
        <v>2</v>
      </c>
      <c r="J107" s="88">
        <v>0</v>
      </c>
      <c r="K107" s="88">
        <v>0</v>
      </c>
      <c r="L107" s="88">
        <v>1</v>
      </c>
      <c r="M107" s="88">
        <v>16</v>
      </c>
      <c r="N107" s="88">
        <v>34</v>
      </c>
      <c r="O107" s="88">
        <v>1</v>
      </c>
      <c r="P107" s="88">
        <v>1</v>
      </c>
      <c r="Q107" s="88">
        <v>1</v>
      </c>
      <c r="R107" s="88">
        <v>20</v>
      </c>
      <c r="S107" s="88">
        <v>10</v>
      </c>
      <c r="T107" s="88">
        <v>0</v>
      </c>
      <c r="U107" s="88">
        <v>0</v>
      </c>
      <c r="V107" s="88">
        <v>0</v>
      </c>
      <c r="W107" s="88">
        <v>0</v>
      </c>
      <c r="X107" s="88">
        <v>20</v>
      </c>
      <c r="Y107" s="88">
        <v>0</v>
      </c>
      <c r="Z107" s="88">
        <v>10</v>
      </c>
      <c r="AA107" s="88">
        <v>0</v>
      </c>
      <c r="AB107" s="88">
        <v>1</v>
      </c>
      <c r="AC107" s="88">
        <v>0</v>
      </c>
      <c r="AD107" s="88">
        <v>0</v>
      </c>
      <c r="AE107" s="88" t="s">
        <v>1133</v>
      </c>
      <c r="AF107" s="88">
        <v>0</v>
      </c>
      <c r="AG107" s="88">
        <v>0</v>
      </c>
      <c r="AH107" s="88" t="s">
        <v>1133</v>
      </c>
      <c r="AI107" s="88" t="s">
        <v>1133</v>
      </c>
      <c r="AJ107" s="88" t="s">
        <v>1133</v>
      </c>
      <c r="AK107" s="88">
        <v>2</v>
      </c>
      <c r="AL107" s="88">
        <v>20</v>
      </c>
      <c r="AM107" s="88">
        <v>9</v>
      </c>
      <c r="AN107" s="88">
        <v>0</v>
      </c>
      <c r="AO107" s="88">
        <v>1</v>
      </c>
      <c r="AP107" s="88" t="s">
        <v>1134</v>
      </c>
      <c r="AQ107" s="88" t="s">
        <v>1133</v>
      </c>
      <c r="AR107" s="88">
        <v>0</v>
      </c>
      <c r="AS107" s="88"/>
      <c r="AT107" s="88"/>
      <c r="AU107" s="88">
        <v>0</v>
      </c>
      <c r="AV107" s="88" t="s">
        <v>1133</v>
      </c>
      <c r="AW107" s="88" t="s">
        <v>1133</v>
      </c>
      <c r="AX107" s="88">
        <v>0</v>
      </c>
      <c r="AY107" s="88">
        <v>0</v>
      </c>
      <c r="AZ107" s="88">
        <v>0</v>
      </c>
      <c r="BA107" s="88">
        <v>0</v>
      </c>
      <c r="BB107" s="88" t="s">
        <v>0</v>
      </c>
    </row>
    <row r="108" spans="1:54">
      <c r="A108" s="88">
        <v>108</v>
      </c>
      <c r="B108" s="88">
        <v>108</v>
      </c>
      <c r="C108" s="88"/>
      <c r="D108" s="88" t="s">
        <v>1139</v>
      </c>
      <c r="E108" s="88">
        <v>0</v>
      </c>
      <c r="F108" s="88">
        <v>1146</v>
      </c>
      <c r="G108" s="88">
        <v>1</v>
      </c>
      <c r="H108" s="88">
        <v>2</v>
      </c>
      <c r="I108" s="88">
        <v>2</v>
      </c>
      <c r="J108" s="88">
        <v>0</v>
      </c>
      <c r="K108" s="88">
        <v>0</v>
      </c>
      <c r="L108" s="88">
        <v>1</v>
      </c>
      <c r="M108" s="88">
        <v>20</v>
      </c>
      <c r="N108" s="88">
        <v>34</v>
      </c>
      <c r="O108" s="88">
        <v>1</v>
      </c>
      <c r="P108" s="88">
        <v>1</v>
      </c>
      <c r="Q108" s="88">
        <v>1</v>
      </c>
      <c r="R108" s="88">
        <v>20</v>
      </c>
      <c r="S108" s="88">
        <v>10</v>
      </c>
      <c r="T108" s="88">
        <v>0</v>
      </c>
      <c r="U108" s="88">
        <v>0</v>
      </c>
      <c r="V108" s="88">
        <v>0</v>
      </c>
      <c r="W108" s="88">
        <v>0</v>
      </c>
      <c r="X108" s="88">
        <v>20</v>
      </c>
      <c r="Y108" s="88">
        <v>0</v>
      </c>
      <c r="Z108" s="88">
        <v>10</v>
      </c>
      <c r="AA108" s="88">
        <v>0</v>
      </c>
      <c r="AB108" s="88">
        <v>1</v>
      </c>
      <c r="AC108" s="88">
        <v>0</v>
      </c>
      <c r="AD108" s="88">
        <v>0</v>
      </c>
      <c r="AE108" s="88" t="s">
        <v>1133</v>
      </c>
      <c r="AF108" s="88">
        <v>0</v>
      </c>
      <c r="AG108" s="88">
        <v>0</v>
      </c>
      <c r="AH108" s="88" t="s">
        <v>1133</v>
      </c>
      <c r="AI108" s="88" t="s">
        <v>1133</v>
      </c>
      <c r="AJ108" s="88" t="s">
        <v>1133</v>
      </c>
      <c r="AK108" s="88">
        <v>2</v>
      </c>
      <c r="AL108" s="88">
        <v>20</v>
      </c>
      <c r="AM108" s="88">
        <v>9</v>
      </c>
      <c r="AN108" s="88">
        <v>0</v>
      </c>
      <c r="AO108" s="88">
        <v>1</v>
      </c>
      <c r="AP108" s="88" t="s">
        <v>1134</v>
      </c>
      <c r="AQ108" s="88" t="s">
        <v>1133</v>
      </c>
      <c r="AR108" s="88">
        <v>0</v>
      </c>
      <c r="AS108" s="88"/>
      <c r="AT108" s="88"/>
      <c r="AU108" s="88">
        <v>0</v>
      </c>
      <c r="AV108" s="88" t="s">
        <v>1133</v>
      </c>
      <c r="AW108" s="88" t="s">
        <v>1133</v>
      </c>
      <c r="AX108" s="88">
        <v>0</v>
      </c>
      <c r="AY108" s="88">
        <v>0</v>
      </c>
      <c r="AZ108" s="88">
        <v>0</v>
      </c>
      <c r="BA108" s="88">
        <v>0</v>
      </c>
      <c r="BB108" s="88" t="s">
        <v>0</v>
      </c>
    </row>
    <row r="109" spans="1:54">
      <c r="A109" s="88">
        <v>109</v>
      </c>
      <c r="B109" s="88">
        <v>109</v>
      </c>
      <c r="C109" s="88"/>
      <c r="D109" s="88" t="s">
        <v>1140</v>
      </c>
      <c r="E109" s="88">
        <v>0</v>
      </c>
      <c r="F109" s="88">
        <v>1146</v>
      </c>
      <c r="G109" s="88">
        <v>1</v>
      </c>
      <c r="H109" s="88">
        <v>2</v>
      </c>
      <c r="I109" s="88">
        <v>2</v>
      </c>
      <c r="J109" s="88">
        <v>0</v>
      </c>
      <c r="K109" s="88">
        <v>0</v>
      </c>
      <c r="L109" s="88">
        <v>1</v>
      </c>
      <c r="M109" s="88">
        <v>30</v>
      </c>
      <c r="N109" s="88">
        <v>34</v>
      </c>
      <c r="O109" s="88">
        <v>1</v>
      </c>
      <c r="P109" s="88">
        <v>1</v>
      </c>
      <c r="Q109" s="88">
        <v>1</v>
      </c>
      <c r="R109" s="88">
        <v>20</v>
      </c>
      <c r="S109" s="88">
        <v>10</v>
      </c>
      <c r="T109" s="88">
        <v>0</v>
      </c>
      <c r="U109" s="88">
        <v>0</v>
      </c>
      <c r="V109" s="88">
        <v>0</v>
      </c>
      <c r="W109" s="88">
        <v>0</v>
      </c>
      <c r="X109" s="88">
        <v>20</v>
      </c>
      <c r="Y109" s="88">
        <v>0</v>
      </c>
      <c r="Z109" s="88">
        <v>10</v>
      </c>
      <c r="AA109" s="88">
        <v>0</v>
      </c>
      <c r="AB109" s="88">
        <v>1</v>
      </c>
      <c r="AC109" s="88">
        <v>0</v>
      </c>
      <c r="AD109" s="88">
        <v>0</v>
      </c>
      <c r="AE109" s="88" t="s">
        <v>1133</v>
      </c>
      <c r="AF109" s="88">
        <v>0</v>
      </c>
      <c r="AG109" s="88">
        <v>0</v>
      </c>
      <c r="AH109" s="88" t="s">
        <v>1133</v>
      </c>
      <c r="AI109" s="88" t="s">
        <v>1133</v>
      </c>
      <c r="AJ109" s="88" t="s">
        <v>1133</v>
      </c>
      <c r="AK109" s="88">
        <v>2</v>
      </c>
      <c r="AL109" s="88">
        <v>20</v>
      </c>
      <c r="AM109" s="88">
        <v>9</v>
      </c>
      <c r="AN109" s="88">
        <v>0</v>
      </c>
      <c r="AO109" s="88">
        <v>1</v>
      </c>
      <c r="AP109" s="88" t="s">
        <v>1134</v>
      </c>
      <c r="AQ109" s="88" t="s">
        <v>1133</v>
      </c>
      <c r="AR109" s="88">
        <v>0</v>
      </c>
      <c r="AS109" s="88"/>
      <c r="AT109" s="88"/>
      <c r="AU109" s="88">
        <v>0</v>
      </c>
      <c r="AV109" s="88" t="s">
        <v>1133</v>
      </c>
      <c r="AW109" s="88" t="s">
        <v>1133</v>
      </c>
      <c r="AX109" s="88">
        <v>0</v>
      </c>
      <c r="AY109" s="88">
        <v>0</v>
      </c>
      <c r="AZ109" s="88">
        <v>0</v>
      </c>
      <c r="BA109" s="88">
        <v>0</v>
      </c>
      <c r="BB109" s="88" t="s">
        <v>0</v>
      </c>
    </row>
    <row r="110" spans="1:54">
      <c r="A110" s="88">
        <v>110</v>
      </c>
      <c r="B110" s="88">
        <v>110</v>
      </c>
      <c r="C110" s="88"/>
      <c r="D110" s="88" t="s">
        <v>1141</v>
      </c>
      <c r="E110" s="88">
        <v>0</v>
      </c>
      <c r="F110" s="88">
        <v>1146</v>
      </c>
      <c r="G110" s="88">
        <v>1</v>
      </c>
      <c r="H110" s="88">
        <v>2</v>
      </c>
      <c r="I110" s="88">
        <v>2</v>
      </c>
      <c r="J110" s="88">
        <v>0</v>
      </c>
      <c r="K110" s="88">
        <v>0</v>
      </c>
      <c r="L110" s="88">
        <v>1</v>
      </c>
      <c r="M110" s="88">
        <v>40</v>
      </c>
      <c r="N110" s="88">
        <v>34</v>
      </c>
      <c r="O110" s="88">
        <v>1</v>
      </c>
      <c r="P110" s="88">
        <v>1</v>
      </c>
      <c r="Q110" s="88">
        <v>1</v>
      </c>
      <c r="R110" s="88">
        <v>20</v>
      </c>
      <c r="S110" s="88">
        <v>10</v>
      </c>
      <c r="T110" s="88">
        <v>0</v>
      </c>
      <c r="U110" s="88">
        <v>0</v>
      </c>
      <c r="V110" s="88">
        <v>0</v>
      </c>
      <c r="W110" s="88">
        <v>0</v>
      </c>
      <c r="X110" s="88">
        <v>20</v>
      </c>
      <c r="Y110" s="88">
        <v>0</v>
      </c>
      <c r="Z110" s="88">
        <v>10</v>
      </c>
      <c r="AA110" s="88">
        <v>0</v>
      </c>
      <c r="AB110" s="88">
        <v>1</v>
      </c>
      <c r="AC110" s="88">
        <v>0</v>
      </c>
      <c r="AD110" s="88">
        <v>0</v>
      </c>
      <c r="AE110" s="88" t="s">
        <v>1133</v>
      </c>
      <c r="AF110" s="88">
        <v>0</v>
      </c>
      <c r="AG110" s="88">
        <v>0</v>
      </c>
      <c r="AH110" s="88" t="s">
        <v>1133</v>
      </c>
      <c r="AI110" s="88" t="s">
        <v>1133</v>
      </c>
      <c r="AJ110" s="88" t="s">
        <v>1133</v>
      </c>
      <c r="AK110" s="88">
        <v>2</v>
      </c>
      <c r="AL110" s="88">
        <v>20</v>
      </c>
      <c r="AM110" s="88">
        <v>9</v>
      </c>
      <c r="AN110" s="88">
        <v>0</v>
      </c>
      <c r="AO110" s="88">
        <v>1</v>
      </c>
      <c r="AP110" s="88" t="s">
        <v>1134</v>
      </c>
      <c r="AQ110" s="88" t="s">
        <v>1133</v>
      </c>
      <c r="AR110" s="88">
        <v>0</v>
      </c>
      <c r="AS110" s="88"/>
      <c r="AT110" s="88"/>
      <c r="AU110" s="88">
        <v>0</v>
      </c>
      <c r="AV110" s="88" t="s">
        <v>1133</v>
      </c>
      <c r="AW110" s="88" t="s">
        <v>1133</v>
      </c>
      <c r="AX110" s="88">
        <v>0</v>
      </c>
      <c r="AY110" s="88">
        <v>0</v>
      </c>
      <c r="AZ110" s="88">
        <v>0</v>
      </c>
      <c r="BA110" s="88">
        <v>0</v>
      </c>
      <c r="BB110" s="88" t="s">
        <v>0</v>
      </c>
    </row>
    <row r="111" spans="1:54">
      <c r="A111" s="88">
        <v>111</v>
      </c>
      <c r="B111" s="88">
        <v>111</v>
      </c>
      <c r="C111" s="88"/>
      <c r="D111" s="88" t="s">
        <v>111</v>
      </c>
      <c r="E111" s="88">
        <v>0</v>
      </c>
      <c r="F111" s="88">
        <v>1146</v>
      </c>
      <c r="G111" s="88">
        <v>1</v>
      </c>
      <c r="H111" s="88">
        <v>2</v>
      </c>
      <c r="I111" s="88">
        <v>2</v>
      </c>
      <c r="J111" s="88">
        <v>0</v>
      </c>
      <c r="K111" s="88">
        <v>0</v>
      </c>
      <c r="L111" s="88">
        <v>1</v>
      </c>
      <c r="M111" s="88">
        <v>50</v>
      </c>
      <c r="N111" s="88">
        <v>34</v>
      </c>
      <c r="O111" s="88">
        <v>1</v>
      </c>
      <c r="P111" s="88">
        <v>1</v>
      </c>
      <c r="Q111" s="88">
        <v>1</v>
      </c>
      <c r="R111" s="88">
        <v>20</v>
      </c>
      <c r="S111" s="88">
        <v>10</v>
      </c>
      <c r="T111" s="88">
        <v>0</v>
      </c>
      <c r="U111" s="88">
        <v>0</v>
      </c>
      <c r="V111" s="88">
        <v>0</v>
      </c>
      <c r="W111" s="88">
        <v>0</v>
      </c>
      <c r="X111" s="88">
        <v>20</v>
      </c>
      <c r="Y111" s="88">
        <v>0</v>
      </c>
      <c r="Z111" s="88">
        <v>10</v>
      </c>
      <c r="AA111" s="88">
        <v>0</v>
      </c>
      <c r="AB111" s="88">
        <v>1</v>
      </c>
      <c r="AC111" s="88">
        <v>0</v>
      </c>
      <c r="AD111" s="88">
        <v>0</v>
      </c>
      <c r="AE111" s="88" t="s">
        <v>1133</v>
      </c>
      <c r="AF111" s="88">
        <v>0</v>
      </c>
      <c r="AG111" s="88">
        <v>0</v>
      </c>
      <c r="AH111" s="88" t="s">
        <v>1133</v>
      </c>
      <c r="AI111" s="88" t="s">
        <v>1133</v>
      </c>
      <c r="AJ111" s="88" t="s">
        <v>1133</v>
      </c>
      <c r="AK111" s="88">
        <v>2</v>
      </c>
      <c r="AL111" s="88">
        <v>20</v>
      </c>
      <c r="AM111" s="88">
        <v>9</v>
      </c>
      <c r="AN111" s="88">
        <v>0</v>
      </c>
      <c r="AO111" s="88">
        <v>1</v>
      </c>
      <c r="AP111" s="88" t="s">
        <v>1134</v>
      </c>
      <c r="AQ111" s="88" t="s">
        <v>1133</v>
      </c>
      <c r="AR111" s="88">
        <v>0</v>
      </c>
      <c r="AS111" s="88"/>
      <c r="AT111" s="88"/>
      <c r="AU111" s="88">
        <v>0</v>
      </c>
      <c r="AV111" s="88" t="s">
        <v>1133</v>
      </c>
      <c r="AW111" s="88" t="s">
        <v>1133</v>
      </c>
      <c r="AX111" s="88">
        <v>0</v>
      </c>
      <c r="AY111" s="88">
        <v>0</v>
      </c>
      <c r="AZ111" s="88">
        <v>0</v>
      </c>
      <c r="BA111" s="88">
        <v>0</v>
      </c>
      <c r="BB111" s="88" t="s">
        <v>0</v>
      </c>
    </row>
    <row r="112" spans="1:54">
      <c r="A112" s="88">
        <v>112</v>
      </c>
      <c r="B112" s="88">
        <v>112</v>
      </c>
      <c r="C112" s="88"/>
      <c r="D112" s="88" t="s">
        <v>1142</v>
      </c>
      <c r="E112" s="88">
        <v>0</v>
      </c>
      <c r="F112" s="88">
        <v>1146</v>
      </c>
      <c r="G112" s="88">
        <v>1</v>
      </c>
      <c r="H112" s="88">
        <v>2</v>
      </c>
      <c r="I112" s="88">
        <v>2</v>
      </c>
      <c r="J112" s="88">
        <v>0</v>
      </c>
      <c r="K112" s="88">
        <v>0</v>
      </c>
      <c r="L112" s="88">
        <v>1</v>
      </c>
      <c r="M112" s="88">
        <v>80</v>
      </c>
      <c r="N112" s="88">
        <v>34</v>
      </c>
      <c r="O112" s="88">
        <v>1</v>
      </c>
      <c r="P112" s="88">
        <v>1</v>
      </c>
      <c r="Q112" s="88">
        <v>1</v>
      </c>
      <c r="R112" s="88">
        <v>20</v>
      </c>
      <c r="S112" s="88">
        <v>10</v>
      </c>
      <c r="T112" s="88">
        <v>0</v>
      </c>
      <c r="U112" s="88">
        <v>0</v>
      </c>
      <c r="V112" s="88">
        <v>0</v>
      </c>
      <c r="W112" s="88">
        <v>0</v>
      </c>
      <c r="X112" s="88">
        <v>20</v>
      </c>
      <c r="Y112" s="88">
        <v>0</v>
      </c>
      <c r="Z112" s="88">
        <v>10</v>
      </c>
      <c r="AA112" s="88">
        <v>0</v>
      </c>
      <c r="AB112" s="88">
        <v>1</v>
      </c>
      <c r="AC112" s="88">
        <v>0</v>
      </c>
      <c r="AD112" s="88">
        <v>0</v>
      </c>
      <c r="AE112" s="88" t="s">
        <v>1133</v>
      </c>
      <c r="AF112" s="88">
        <v>0</v>
      </c>
      <c r="AG112" s="88">
        <v>0</v>
      </c>
      <c r="AH112" s="88" t="s">
        <v>1133</v>
      </c>
      <c r="AI112" s="88" t="s">
        <v>1133</v>
      </c>
      <c r="AJ112" s="88" t="s">
        <v>1133</v>
      </c>
      <c r="AK112" s="88">
        <v>2</v>
      </c>
      <c r="AL112" s="88">
        <v>20</v>
      </c>
      <c r="AM112" s="88">
        <v>9</v>
      </c>
      <c r="AN112" s="88">
        <v>0</v>
      </c>
      <c r="AO112" s="88">
        <v>1</v>
      </c>
      <c r="AP112" s="88" t="s">
        <v>1134</v>
      </c>
      <c r="AQ112" s="88" t="s">
        <v>1133</v>
      </c>
      <c r="AR112" s="88">
        <v>0</v>
      </c>
      <c r="AS112" s="88"/>
      <c r="AT112" s="88"/>
      <c r="AU112" s="88">
        <v>0</v>
      </c>
      <c r="AV112" s="88" t="s">
        <v>1133</v>
      </c>
      <c r="AW112" s="88" t="s">
        <v>1133</v>
      </c>
      <c r="AX112" s="88">
        <v>0</v>
      </c>
      <c r="AY112" s="88">
        <v>0</v>
      </c>
      <c r="AZ112" s="88">
        <v>0</v>
      </c>
      <c r="BA112" s="88">
        <v>0</v>
      </c>
      <c r="BB112" s="88" t="s">
        <v>0</v>
      </c>
    </row>
    <row r="113" spans="1:54">
      <c r="A113" s="88">
        <v>113</v>
      </c>
      <c r="B113" s="88">
        <v>113</v>
      </c>
      <c r="C113" s="88"/>
      <c r="D113" s="88" t="s">
        <v>1143</v>
      </c>
      <c r="E113" s="88">
        <v>0</v>
      </c>
      <c r="F113" s="88">
        <v>1146</v>
      </c>
      <c r="G113" s="88">
        <v>1</v>
      </c>
      <c r="H113" s="88">
        <v>2</v>
      </c>
      <c r="I113" s="88">
        <v>2</v>
      </c>
      <c r="J113" s="88">
        <v>0</v>
      </c>
      <c r="K113" s="88">
        <v>0</v>
      </c>
      <c r="L113" s="88">
        <v>1</v>
      </c>
      <c r="M113" s="88">
        <v>600</v>
      </c>
      <c r="N113" s="88">
        <v>34</v>
      </c>
      <c r="O113" s="88">
        <v>1</v>
      </c>
      <c r="P113" s="88">
        <v>1</v>
      </c>
      <c r="Q113" s="88">
        <v>1</v>
      </c>
      <c r="R113" s="88">
        <v>20</v>
      </c>
      <c r="S113" s="88">
        <v>10</v>
      </c>
      <c r="T113" s="88">
        <v>0</v>
      </c>
      <c r="U113" s="88">
        <v>0</v>
      </c>
      <c r="V113" s="88">
        <v>0</v>
      </c>
      <c r="W113" s="88">
        <v>0</v>
      </c>
      <c r="X113" s="88">
        <v>20</v>
      </c>
      <c r="Y113" s="88">
        <v>0</v>
      </c>
      <c r="Z113" s="88">
        <v>10</v>
      </c>
      <c r="AA113" s="88">
        <v>0</v>
      </c>
      <c r="AB113" s="88">
        <v>1</v>
      </c>
      <c r="AC113" s="88">
        <v>0</v>
      </c>
      <c r="AD113" s="88">
        <v>0</v>
      </c>
      <c r="AE113" s="88" t="s">
        <v>1133</v>
      </c>
      <c r="AF113" s="88">
        <v>0</v>
      </c>
      <c r="AG113" s="88">
        <v>0</v>
      </c>
      <c r="AH113" s="88" t="s">
        <v>1133</v>
      </c>
      <c r="AI113" s="88" t="s">
        <v>1133</v>
      </c>
      <c r="AJ113" s="88" t="s">
        <v>1133</v>
      </c>
      <c r="AK113" s="88">
        <v>2</v>
      </c>
      <c r="AL113" s="88">
        <v>20</v>
      </c>
      <c r="AM113" s="88">
        <v>9</v>
      </c>
      <c r="AN113" s="88">
        <v>0</v>
      </c>
      <c r="AO113" s="88">
        <v>1</v>
      </c>
      <c r="AP113" s="88" t="s">
        <v>1134</v>
      </c>
      <c r="AQ113" s="88" t="s">
        <v>1133</v>
      </c>
      <c r="AR113" s="88">
        <v>0</v>
      </c>
      <c r="AS113" s="88"/>
      <c r="AT113" s="88"/>
      <c r="AU113" s="88">
        <v>0</v>
      </c>
      <c r="AV113" s="88" t="s">
        <v>1133</v>
      </c>
      <c r="AW113" s="88" t="s">
        <v>1133</v>
      </c>
      <c r="AX113" s="88">
        <v>0</v>
      </c>
      <c r="AY113" s="88">
        <v>0</v>
      </c>
      <c r="AZ113" s="88">
        <v>0</v>
      </c>
      <c r="BA113" s="88">
        <v>0</v>
      </c>
      <c r="BB113" s="88" t="s">
        <v>0</v>
      </c>
    </row>
    <row r="114" spans="1:54">
      <c r="A114" s="88">
        <v>114</v>
      </c>
      <c r="B114" s="88">
        <v>114</v>
      </c>
      <c r="C114" s="88"/>
      <c r="D114" s="88" t="s">
        <v>1144</v>
      </c>
      <c r="E114" s="88">
        <v>0</v>
      </c>
      <c r="F114" s="88">
        <v>1146</v>
      </c>
      <c r="G114" s="88">
        <v>1</v>
      </c>
      <c r="H114" s="88">
        <v>2</v>
      </c>
      <c r="I114" s="88">
        <v>2</v>
      </c>
      <c r="J114" s="88">
        <v>0</v>
      </c>
      <c r="K114" s="88">
        <v>0</v>
      </c>
      <c r="L114" s="88">
        <v>1</v>
      </c>
      <c r="M114" s="88">
        <v>800</v>
      </c>
      <c r="N114" s="88">
        <v>34</v>
      </c>
      <c r="O114" s="88">
        <v>1</v>
      </c>
      <c r="P114" s="88">
        <v>1</v>
      </c>
      <c r="Q114" s="88">
        <v>1</v>
      </c>
      <c r="R114" s="88">
        <v>20</v>
      </c>
      <c r="S114" s="88">
        <v>10</v>
      </c>
      <c r="T114" s="88">
        <v>0</v>
      </c>
      <c r="U114" s="88">
        <v>0</v>
      </c>
      <c r="V114" s="88">
        <v>0</v>
      </c>
      <c r="W114" s="88">
        <v>0</v>
      </c>
      <c r="X114" s="88">
        <v>20</v>
      </c>
      <c r="Y114" s="88">
        <v>0</v>
      </c>
      <c r="Z114" s="88">
        <v>10</v>
      </c>
      <c r="AA114" s="88">
        <v>0</v>
      </c>
      <c r="AB114" s="88">
        <v>1</v>
      </c>
      <c r="AC114" s="88">
        <v>0</v>
      </c>
      <c r="AD114" s="88">
        <v>0</v>
      </c>
      <c r="AE114" s="88" t="s">
        <v>1133</v>
      </c>
      <c r="AF114" s="88">
        <v>0</v>
      </c>
      <c r="AG114" s="88">
        <v>0</v>
      </c>
      <c r="AH114" s="88" t="s">
        <v>1133</v>
      </c>
      <c r="AI114" s="88" t="s">
        <v>1133</v>
      </c>
      <c r="AJ114" s="88" t="s">
        <v>1133</v>
      </c>
      <c r="AK114" s="88">
        <v>2</v>
      </c>
      <c r="AL114" s="88">
        <v>20</v>
      </c>
      <c r="AM114" s="88">
        <v>9</v>
      </c>
      <c r="AN114" s="88">
        <v>0</v>
      </c>
      <c r="AO114" s="88">
        <v>1</v>
      </c>
      <c r="AP114" s="88" t="s">
        <v>1134</v>
      </c>
      <c r="AQ114" s="88" t="s">
        <v>1133</v>
      </c>
      <c r="AR114" s="88">
        <v>0</v>
      </c>
      <c r="AS114" s="88"/>
      <c r="AT114" s="88"/>
      <c r="AU114" s="88">
        <v>0</v>
      </c>
      <c r="AV114" s="88" t="s">
        <v>1133</v>
      </c>
      <c r="AW114" s="88" t="s">
        <v>1133</v>
      </c>
      <c r="AX114" s="88">
        <v>0</v>
      </c>
      <c r="AY114" s="88">
        <v>0</v>
      </c>
      <c r="AZ114" s="88">
        <v>0</v>
      </c>
      <c r="BA114" s="88">
        <v>0</v>
      </c>
      <c r="BB114" s="88" t="s">
        <v>0</v>
      </c>
    </row>
    <row r="115" spans="1:54">
      <c r="A115" s="88">
        <v>115</v>
      </c>
      <c r="B115" s="88">
        <v>115</v>
      </c>
      <c r="C115" s="88"/>
      <c r="D115" s="88" t="s">
        <v>115</v>
      </c>
      <c r="E115" s="88">
        <v>0</v>
      </c>
      <c r="F115" s="88">
        <v>1146</v>
      </c>
      <c r="G115" s="88">
        <v>1</v>
      </c>
      <c r="H115" s="88">
        <v>2</v>
      </c>
      <c r="I115" s="88">
        <v>2</v>
      </c>
      <c r="J115" s="88">
        <v>0</v>
      </c>
      <c r="K115" s="88">
        <v>0</v>
      </c>
      <c r="L115" s="88">
        <v>1</v>
      </c>
      <c r="M115" s="88">
        <v>960</v>
      </c>
      <c r="N115" s="88">
        <v>34</v>
      </c>
      <c r="O115" s="88">
        <v>1</v>
      </c>
      <c r="P115" s="88">
        <v>1</v>
      </c>
      <c r="Q115" s="88">
        <v>1</v>
      </c>
      <c r="R115" s="88">
        <v>20</v>
      </c>
      <c r="S115" s="88">
        <v>10</v>
      </c>
      <c r="T115" s="88">
        <v>0</v>
      </c>
      <c r="U115" s="88">
        <v>0</v>
      </c>
      <c r="V115" s="88">
        <v>0</v>
      </c>
      <c r="W115" s="88">
        <v>0</v>
      </c>
      <c r="X115" s="88">
        <v>20</v>
      </c>
      <c r="Y115" s="88">
        <v>0</v>
      </c>
      <c r="Z115" s="88">
        <v>10</v>
      </c>
      <c r="AA115" s="88">
        <v>0</v>
      </c>
      <c r="AB115" s="88">
        <v>1</v>
      </c>
      <c r="AC115" s="88">
        <v>0</v>
      </c>
      <c r="AD115" s="88">
        <v>0</v>
      </c>
      <c r="AE115" s="88" t="s">
        <v>1133</v>
      </c>
      <c r="AF115" s="88">
        <v>0</v>
      </c>
      <c r="AG115" s="88">
        <v>0</v>
      </c>
      <c r="AH115" s="88" t="s">
        <v>1133</v>
      </c>
      <c r="AI115" s="88" t="s">
        <v>1133</v>
      </c>
      <c r="AJ115" s="88" t="s">
        <v>1133</v>
      </c>
      <c r="AK115" s="88">
        <v>2</v>
      </c>
      <c r="AL115" s="88">
        <v>20</v>
      </c>
      <c r="AM115" s="88">
        <v>9</v>
      </c>
      <c r="AN115" s="88">
        <v>0</v>
      </c>
      <c r="AO115" s="88">
        <v>1</v>
      </c>
      <c r="AP115" s="88" t="s">
        <v>1134</v>
      </c>
      <c r="AQ115" s="88" t="s">
        <v>1133</v>
      </c>
      <c r="AR115" s="88">
        <v>0</v>
      </c>
      <c r="AS115" s="88"/>
      <c r="AT115" s="88"/>
      <c r="AU115" s="88">
        <v>0</v>
      </c>
      <c r="AV115" s="88" t="s">
        <v>1133</v>
      </c>
      <c r="AW115" s="88" t="s">
        <v>1133</v>
      </c>
      <c r="AX115" s="88">
        <v>0</v>
      </c>
      <c r="AY115" s="88">
        <v>0</v>
      </c>
      <c r="AZ115" s="88">
        <v>0</v>
      </c>
      <c r="BA115" s="88">
        <v>0</v>
      </c>
      <c r="BB115" s="88" t="s">
        <v>0</v>
      </c>
    </row>
    <row r="116" spans="1:54">
      <c r="A116" s="88">
        <v>116</v>
      </c>
      <c r="B116" s="88">
        <v>116</v>
      </c>
      <c r="C116" s="88"/>
      <c r="D116" s="88" t="s">
        <v>116</v>
      </c>
      <c r="E116" s="88">
        <v>0</v>
      </c>
      <c r="F116" s="88">
        <v>1146</v>
      </c>
      <c r="G116" s="88">
        <v>1</v>
      </c>
      <c r="H116" s="88">
        <v>2</v>
      </c>
      <c r="I116" s="88">
        <v>2</v>
      </c>
      <c r="J116" s="88">
        <v>0</v>
      </c>
      <c r="K116" s="88">
        <v>0</v>
      </c>
      <c r="L116" s="88">
        <v>1</v>
      </c>
      <c r="M116" s="88">
        <v>1280</v>
      </c>
      <c r="N116" s="88">
        <v>34</v>
      </c>
      <c r="O116" s="88">
        <v>1</v>
      </c>
      <c r="P116" s="88">
        <v>1</v>
      </c>
      <c r="Q116" s="88">
        <v>1</v>
      </c>
      <c r="R116" s="88">
        <v>20</v>
      </c>
      <c r="S116" s="88">
        <v>10</v>
      </c>
      <c r="T116" s="88">
        <v>0</v>
      </c>
      <c r="U116" s="88">
        <v>0</v>
      </c>
      <c r="V116" s="88">
        <v>0</v>
      </c>
      <c r="W116" s="88">
        <v>0</v>
      </c>
      <c r="X116" s="88">
        <v>20</v>
      </c>
      <c r="Y116" s="88">
        <v>0</v>
      </c>
      <c r="Z116" s="88">
        <v>10</v>
      </c>
      <c r="AA116" s="88">
        <v>0</v>
      </c>
      <c r="AB116" s="88">
        <v>1</v>
      </c>
      <c r="AC116" s="88">
        <v>0</v>
      </c>
      <c r="AD116" s="88">
        <v>0</v>
      </c>
      <c r="AE116" s="88" t="s">
        <v>1133</v>
      </c>
      <c r="AF116" s="88">
        <v>0</v>
      </c>
      <c r="AG116" s="88">
        <v>0</v>
      </c>
      <c r="AH116" s="88" t="s">
        <v>1133</v>
      </c>
      <c r="AI116" s="88" t="s">
        <v>1133</v>
      </c>
      <c r="AJ116" s="88" t="s">
        <v>1133</v>
      </c>
      <c r="AK116" s="88">
        <v>2</v>
      </c>
      <c r="AL116" s="88">
        <v>20</v>
      </c>
      <c r="AM116" s="88">
        <v>9</v>
      </c>
      <c r="AN116" s="88">
        <v>0</v>
      </c>
      <c r="AO116" s="88">
        <v>1</v>
      </c>
      <c r="AP116" s="88" t="s">
        <v>1134</v>
      </c>
      <c r="AQ116" s="88" t="s">
        <v>1133</v>
      </c>
      <c r="AR116" s="88">
        <v>0</v>
      </c>
      <c r="AS116" s="88"/>
      <c r="AT116" s="88"/>
      <c r="AU116" s="88">
        <v>0</v>
      </c>
      <c r="AV116" s="88" t="s">
        <v>1133</v>
      </c>
      <c r="AW116" s="88" t="s">
        <v>1133</v>
      </c>
      <c r="AX116" s="88">
        <v>0</v>
      </c>
      <c r="AY116" s="88">
        <v>0</v>
      </c>
      <c r="AZ116" s="88">
        <v>0</v>
      </c>
      <c r="BA116" s="88">
        <v>0</v>
      </c>
      <c r="BB116" s="88" t="s">
        <v>0</v>
      </c>
    </row>
    <row r="117" spans="1:54">
      <c r="A117" s="88">
        <v>117</v>
      </c>
      <c r="B117" s="88">
        <v>117</v>
      </c>
      <c r="C117" s="88"/>
      <c r="D117" s="88" t="s">
        <v>117</v>
      </c>
      <c r="E117" s="88">
        <v>0</v>
      </c>
      <c r="F117" s="88">
        <v>1146</v>
      </c>
      <c r="G117" s="88">
        <v>1</v>
      </c>
      <c r="H117" s="88">
        <v>2</v>
      </c>
      <c r="I117" s="88">
        <v>2</v>
      </c>
      <c r="J117" s="88">
        <v>0</v>
      </c>
      <c r="K117" s="88">
        <v>0</v>
      </c>
      <c r="L117" s="88">
        <v>1</v>
      </c>
      <c r="M117" s="88">
        <v>2</v>
      </c>
      <c r="N117" s="88">
        <v>34</v>
      </c>
      <c r="O117" s="88">
        <v>1</v>
      </c>
      <c r="P117" s="88">
        <v>1</v>
      </c>
      <c r="Q117" s="88">
        <v>1</v>
      </c>
      <c r="R117" s="88">
        <v>20</v>
      </c>
      <c r="S117" s="88">
        <v>10</v>
      </c>
      <c r="T117" s="88">
        <v>0</v>
      </c>
      <c r="U117" s="88">
        <v>0</v>
      </c>
      <c r="V117" s="88">
        <v>0</v>
      </c>
      <c r="W117" s="88">
        <v>0</v>
      </c>
      <c r="X117" s="88">
        <v>20</v>
      </c>
      <c r="Y117" s="88">
        <v>0</v>
      </c>
      <c r="Z117" s="88">
        <v>10</v>
      </c>
      <c r="AA117" s="88">
        <v>0</v>
      </c>
      <c r="AB117" s="88">
        <v>1</v>
      </c>
      <c r="AC117" s="88">
        <v>0</v>
      </c>
      <c r="AD117" s="88">
        <v>0</v>
      </c>
      <c r="AE117" s="88" t="s">
        <v>1133</v>
      </c>
      <c r="AF117" s="88">
        <v>0</v>
      </c>
      <c r="AG117" s="88">
        <v>0</v>
      </c>
      <c r="AH117" s="88" t="s">
        <v>1133</v>
      </c>
      <c r="AI117" s="88" t="s">
        <v>1133</v>
      </c>
      <c r="AJ117" s="88" t="s">
        <v>1133</v>
      </c>
      <c r="AK117" s="88">
        <v>2</v>
      </c>
      <c r="AL117" s="88">
        <v>20</v>
      </c>
      <c r="AM117" s="88">
        <v>9</v>
      </c>
      <c r="AN117" s="88">
        <v>0</v>
      </c>
      <c r="AO117" s="88">
        <v>1</v>
      </c>
      <c r="AP117" s="88" t="s">
        <v>1134</v>
      </c>
      <c r="AQ117" s="88" t="s">
        <v>1133</v>
      </c>
      <c r="AR117" s="88">
        <v>0</v>
      </c>
      <c r="AS117" s="88"/>
      <c r="AT117" s="88"/>
      <c r="AU117" s="88">
        <v>0</v>
      </c>
      <c r="AV117" s="88" t="s">
        <v>1133</v>
      </c>
      <c r="AW117" s="88" t="s">
        <v>1133</v>
      </c>
      <c r="AX117" s="88">
        <v>0</v>
      </c>
      <c r="AY117" s="88">
        <v>0</v>
      </c>
      <c r="AZ117" s="88">
        <v>0</v>
      </c>
      <c r="BA117" s="88">
        <v>0</v>
      </c>
      <c r="BB117" s="88" t="s">
        <v>0</v>
      </c>
    </row>
    <row r="118" spans="1:54">
      <c r="A118" s="88">
        <v>118</v>
      </c>
      <c r="B118" s="88">
        <v>118</v>
      </c>
      <c r="C118" s="88"/>
      <c r="D118" s="88" t="s">
        <v>1145</v>
      </c>
      <c r="E118" s="88">
        <v>0</v>
      </c>
      <c r="F118" s="88">
        <v>1146</v>
      </c>
      <c r="G118" s="88">
        <v>1</v>
      </c>
      <c r="H118" s="88">
        <v>2</v>
      </c>
      <c r="I118" s="88">
        <v>2</v>
      </c>
      <c r="J118" s="88">
        <v>0</v>
      </c>
      <c r="K118" s="88">
        <v>0</v>
      </c>
      <c r="L118" s="88">
        <v>1</v>
      </c>
      <c r="M118" s="88">
        <v>5</v>
      </c>
      <c r="N118" s="88">
        <v>34</v>
      </c>
      <c r="O118" s="88">
        <v>1</v>
      </c>
      <c r="P118" s="88">
        <v>1</v>
      </c>
      <c r="Q118" s="88">
        <v>1</v>
      </c>
      <c r="R118" s="88">
        <v>20</v>
      </c>
      <c r="S118" s="88">
        <v>10</v>
      </c>
      <c r="T118" s="88">
        <v>0</v>
      </c>
      <c r="U118" s="88">
        <v>0</v>
      </c>
      <c r="V118" s="88">
        <v>0</v>
      </c>
      <c r="W118" s="88">
        <v>0</v>
      </c>
      <c r="X118" s="88">
        <v>20</v>
      </c>
      <c r="Y118" s="88">
        <v>0</v>
      </c>
      <c r="Z118" s="88">
        <v>10</v>
      </c>
      <c r="AA118" s="88">
        <v>0</v>
      </c>
      <c r="AB118" s="88">
        <v>1</v>
      </c>
      <c r="AC118" s="88">
        <v>0</v>
      </c>
      <c r="AD118" s="88">
        <v>0</v>
      </c>
      <c r="AE118" s="88" t="s">
        <v>1133</v>
      </c>
      <c r="AF118" s="88">
        <v>0</v>
      </c>
      <c r="AG118" s="88">
        <v>0</v>
      </c>
      <c r="AH118" s="88" t="s">
        <v>1133</v>
      </c>
      <c r="AI118" s="88" t="s">
        <v>1133</v>
      </c>
      <c r="AJ118" s="88" t="s">
        <v>1133</v>
      </c>
      <c r="AK118" s="88">
        <v>2</v>
      </c>
      <c r="AL118" s="88">
        <v>20</v>
      </c>
      <c r="AM118" s="88">
        <v>9</v>
      </c>
      <c r="AN118" s="88">
        <v>0</v>
      </c>
      <c r="AO118" s="88">
        <v>1</v>
      </c>
      <c r="AP118" s="88" t="s">
        <v>1134</v>
      </c>
      <c r="AQ118" s="88" t="s">
        <v>1133</v>
      </c>
      <c r="AR118" s="88">
        <v>0</v>
      </c>
      <c r="AS118" s="88"/>
      <c r="AT118" s="88"/>
      <c r="AU118" s="88">
        <v>0</v>
      </c>
      <c r="AV118" s="88" t="s">
        <v>1133</v>
      </c>
      <c r="AW118" s="88" t="s">
        <v>1133</v>
      </c>
      <c r="AX118" s="88">
        <v>0</v>
      </c>
      <c r="AY118" s="88">
        <v>0</v>
      </c>
      <c r="AZ118" s="88">
        <v>0</v>
      </c>
      <c r="BA118" s="88">
        <v>0</v>
      </c>
      <c r="BB118" s="88" t="s">
        <v>0</v>
      </c>
    </row>
    <row r="119" spans="1:54">
      <c r="A119" s="88">
        <v>119</v>
      </c>
      <c r="B119" s="88">
        <v>119</v>
      </c>
      <c r="C119" s="88"/>
      <c r="D119" s="88" t="s">
        <v>119</v>
      </c>
      <c r="E119" s="88">
        <v>0</v>
      </c>
      <c r="F119" s="88">
        <v>1146</v>
      </c>
      <c r="G119" s="88">
        <v>1</v>
      </c>
      <c r="H119" s="88">
        <v>2</v>
      </c>
      <c r="I119" s="88">
        <v>2</v>
      </c>
      <c r="J119" s="88">
        <v>0</v>
      </c>
      <c r="K119" s="88">
        <v>0</v>
      </c>
      <c r="L119" s="88">
        <v>1</v>
      </c>
      <c r="M119" s="88">
        <v>7</v>
      </c>
      <c r="N119" s="88">
        <v>34</v>
      </c>
      <c r="O119" s="88">
        <v>1</v>
      </c>
      <c r="P119" s="88">
        <v>1</v>
      </c>
      <c r="Q119" s="88">
        <v>1</v>
      </c>
      <c r="R119" s="88">
        <v>20</v>
      </c>
      <c r="S119" s="88">
        <v>10</v>
      </c>
      <c r="T119" s="88">
        <v>0</v>
      </c>
      <c r="U119" s="88">
        <v>0</v>
      </c>
      <c r="V119" s="88">
        <v>0</v>
      </c>
      <c r="W119" s="88">
        <v>0</v>
      </c>
      <c r="X119" s="88">
        <v>20</v>
      </c>
      <c r="Y119" s="88">
        <v>0</v>
      </c>
      <c r="Z119" s="88">
        <v>10</v>
      </c>
      <c r="AA119" s="88">
        <v>0</v>
      </c>
      <c r="AB119" s="88">
        <v>1</v>
      </c>
      <c r="AC119" s="88">
        <v>0</v>
      </c>
      <c r="AD119" s="88">
        <v>0</v>
      </c>
      <c r="AE119" s="88" t="s">
        <v>1133</v>
      </c>
      <c r="AF119" s="88">
        <v>0</v>
      </c>
      <c r="AG119" s="88">
        <v>0</v>
      </c>
      <c r="AH119" s="88" t="s">
        <v>1133</v>
      </c>
      <c r="AI119" s="88" t="s">
        <v>1133</v>
      </c>
      <c r="AJ119" s="88" t="s">
        <v>1133</v>
      </c>
      <c r="AK119" s="88">
        <v>2</v>
      </c>
      <c r="AL119" s="88">
        <v>20</v>
      </c>
      <c r="AM119" s="88">
        <v>9</v>
      </c>
      <c r="AN119" s="88">
        <v>0</v>
      </c>
      <c r="AO119" s="88">
        <v>1</v>
      </c>
      <c r="AP119" s="88" t="s">
        <v>1134</v>
      </c>
      <c r="AQ119" s="88" t="s">
        <v>1133</v>
      </c>
      <c r="AR119" s="88">
        <v>0</v>
      </c>
      <c r="AS119" s="88"/>
      <c r="AT119" s="88"/>
      <c r="AU119" s="88">
        <v>0</v>
      </c>
      <c r="AV119" s="88" t="s">
        <v>1133</v>
      </c>
      <c r="AW119" s="88" t="s">
        <v>1133</v>
      </c>
      <c r="AX119" s="88">
        <v>0</v>
      </c>
      <c r="AY119" s="88">
        <v>0</v>
      </c>
      <c r="AZ119" s="88">
        <v>0</v>
      </c>
      <c r="BA119" s="88">
        <v>0</v>
      </c>
      <c r="BB119" s="88" t="s">
        <v>0</v>
      </c>
    </row>
    <row r="120" spans="1:54">
      <c r="A120" s="88">
        <v>120</v>
      </c>
      <c r="B120" s="88">
        <v>120</v>
      </c>
      <c r="C120" s="88"/>
      <c r="D120" s="88" t="s">
        <v>120</v>
      </c>
      <c r="E120" s="88">
        <v>0</v>
      </c>
      <c r="F120" s="88">
        <v>1146</v>
      </c>
      <c r="G120" s="88">
        <v>1</v>
      </c>
      <c r="H120" s="88">
        <v>2</v>
      </c>
      <c r="I120" s="88">
        <v>2</v>
      </c>
      <c r="J120" s="88">
        <v>0</v>
      </c>
      <c r="K120" s="88">
        <v>0</v>
      </c>
      <c r="L120" s="88">
        <v>1</v>
      </c>
      <c r="M120" s="88">
        <v>10</v>
      </c>
      <c r="N120" s="88">
        <v>34</v>
      </c>
      <c r="O120" s="88">
        <v>1</v>
      </c>
      <c r="P120" s="88">
        <v>1</v>
      </c>
      <c r="Q120" s="88">
        <v>1</v>
      </c>
      <c r="R120" s="88">
        <v>20</v>
      </c>
      <c r="S120" s="88">
        <v>10</v>
      </c>
      <c r="T120" s="88">
        <v>0</v>
      </c>
      <c r="U120" s="88">
        <v>0</v>
      </c>
      <c r="V120" s="88">
        <v>0</v>
      </c>
      <c r="W120" s="88">
        <v>0</v>
      </c>
      <c r="X120" s="88">
        <v>20</v>
      </c>
      <c r="Y120" s="88">
        <v>0</v>
      </c>
      <c r="Z120" s="88">
        <v>10</v>
      </c>
      <c r="AA120" s="88">
        <v>0</v>
      </c>
      <c r="AB120" s="88">
        <v>1</v>
      </c>
      <c r="AC120" s="88">
        <v>0</v>
      </c>
      <c r="AD120" s="88">
        <v>0</v>
      </c>
      <c r="AE120" s="88" t="s">
        <v>1133</v>
      </c>
      <c r="AF120" s="88">
        <v>0</v>
      </c>
      <c r="AG120" s="88">
        <v>0</v>
      </c>
      <c r="AH120" s="88" t="s">
        <v>1133</v>
      </c>
      <c r="AI120" s="88" t="s">
        <v>1133</v>
      </c>
      <c r="AJ120" s="88" t="s">
        <v>1133</v>
      </c>
      <c r="AK120" s="88">
        <v>2</v>
      </c>
      <c r="AL120" s="88">
        <v>20</v>
      </c>
      <c r="AM120" s="88">
        <v>9</v>
      </c>
      <c r="AN120" s="88">
        <v>0</v>
      </c>
      <c r="AO120" s="88">
        <v>1</v>
      </c>
      <c r="AP120" s="88" t="s">
        <v>1134</v>
      </c>
      <c r="AQ120" s="88" t="s">
        <v>1133</v>
      </c>
      <c r="AR120" s="88">
        <v>0</v>
      </c>
      <c r="AS120" s="88"/>
      <c r="AT120" s="88"/>
      <c r="AU120" s="88">
        <v>0</v>
      </c>
      <c r="AV120" s="88" t="s">
        <v>1133</v>
      </c>
      <c r="AW120" s="88" t="s">
        <v>1133</v>
      </c>
      <c r="AX120" s="88">
        <v>0</v>
      </c>
      <c r="AY120" s="88">
        <v>0</v>
      </c>
      <c r="AZ120" s="88">
        <v>0</v>
      </c>
      <c r="BA120" s="88">
        <v>0</v>
      </c>
      <c r="BB120" s="88" t="s">
        <v>0</v>
      </c>
    </row>
    <row r="121" spans="1:54">
      <c r="A121" s="88">
        <v>121</v>
      </c>
      <c r="B121" s="88">
        <v>121</v>
      </c>
      <c r="C121" s="88"/>
      <c r="D121" s="88" t="s">
        <v>121</v>
      </c>
      <c r="E121" s="88">
        <v>0</v>
      </c>
      <c r="F121" s="88">
        <v>1146</v>
      </c>
      <c r="G121" s="88">
        <v>1</v>
      </c>
      <c r="H121" s="88">
        <v>2</v>
      </c>
      <c r="I121" s="88">
        <v>2</v>
      </c>
      <c r="J121" s="88">
        <v>0</v>
      </c>
      <c r="K121" s="88">
        <v>0</v>
      </c>
      <c r="L121" s="88">
        <v>1</v>
      </c>
      <c r="M121" s="88">
        <v>14</v>
      </c>
      <c r="N121" s="88">
        <v>34</v>
      </c>
      <c r="O121" s="88">
        <v>1</v>
      </c>
      <c r="P121" s="88">
        <v>1</v>
      </c>
      <c r="Q121" s="88">
        <v>1</v>
      </c>
      <c r="R121" s="88">
        <v>20</v>
      </c>
      <c r="S121" s="88">
        <v>10</v>
      </c>
      <c r="T121" s="88">
        <v>0</v>
      </c>
      <c r="U121" s="88">
        <v>0</v>
      </c>
      <c r="V121" s="88">
        <v>0</v>
      </c>
      <c r="W121" s="88">
        <v>0</v>
      </c>
      <c r="X121" s="88">
        <v>20</v>
      </c>
      <c r="Y121" s="88">
        <v>0</v>
      </c>
      <c r="Z121" s="88">
        <v>10</v>
      </c>
      <c r="AA121" s="88">
        <v>0</v>
      </c>
      <c r="AB121" s="88">
        <v>1</v>
      </c>
      <c r="AC121" s="88">
        <v>0</v>
      </c>
      <c r="AD121" s="88">
        <v>0</v>
      </c>
      <c r="AE121" s="88" t="s">
        <v>1133</v>
      </c>
      <c r="AF121" s="88">
        <v>0</v>
      </c>
      <c r="AG121" s="88">
        <v>0</v>
      </c>
      <c r="AH121" s="88" t="s">
        <v>1133</v>
      </c>
      <c r="AI121" s="88" t="s">
        <v>1133</v>
      </c>
      <c r="AJ121" s="88" t="s">
        <v>1133</v>
      </c>
      <c r="AK121" s="88">
        <v>2</v>
      </c>
      <c r="AL121" s="88">
        <v>20</v>
      </c>
      <c r="AM121" s="88">
        <v>9</v>
      </c>
      <c r="AN121" s="88">
        <v>0</v>
      </c>
      <c r="AO121" s="88">
        <v>1</v>
      </c>
      <c r="AP121" s="88" t="s">
        <v>1134</v>
      </c>
      <c r="AQ121" s="88" t="s">
        <v>1133</v>
      </c>
      <c r="AR121" s="88">
        <v>0</v>
      </c>
      <c r="AS121" s="88"/>
      <c r="AT121" s="88"/>
      <c r="AU121" s="88">
        <v>0</v>
      </c>
      <c r="AV121" s="88" t="s">
        <v>1133</v>
      </c>
      <c r="AW121" s="88" t="s">
        <v>1133</v>
      </c>
      <c r="AX121" s="88">
        <v>0</v>
      </c>
      <c r="AY121" s="88">
        <v>0</v>
      </c>
      <c r="AZ121" s="88">
        <v>0</v>
      </c>
      <c r="BA121" s="88">
        <v>0</v>
      </c>
      <c r="BB121" s="88" t="s">
        <v>0</v>
      </c>
    </row>
    <row r="122" spans="1:54">
      <c r="A122" s="88">
        <v>122</v>
      </c>
      <c r="B122" s="88">
        <v>122</v>
      </c>
      <c r="C122" s="88"/>
      <c r="D122" s="88" t="s">
        <v>1146</v>
      </c>
      <c r="E122" s="88">
        <v>0</v>
      </c>
      <c r="F122" s="88">
        <v>1146</v>
      </c>
      <c r="G122" s="88">
        <v>1</v>
      </c>
      <c r="H122" s="88">
        <v>2</v>
      </c>
      <c r="I122" s="88">
        <v>2</v>
      </c>
      <c r="J122" s="88">
        <v>0</v>
      </c>
      <c r="K122" s="88">
        <v>0</v>
      </c>
      <c r="L122" s="88">
        <v>1</v>
      </c>
      <c r="M122" s="88">
        <v>16</v>
      </c>
      <c r="N122" s="88">
        <v>34</v>
      </c>
      <c r="O122" s="88">
        <v>1</v>
      </c>
      <c r="P122" s="88">
        <v>1</v>
      </c>
      <c r="Q122" s="88">
        <v>1</v>
      </c>
      <c r="R122" s="88">
        <v>20</v>
      </c>
      <c r="S122" s="88">
        <v>10</v>
      </c>
      <c r="T122" s="88">
        <v>0</v>
      </c>
      <c r="U122" s="88">
        <v>0</v>
      </c>
      <c r="V122" s="88">
        <v>0</v>
      </c>
      <c r="W122" s="88">
        <v>0</v>
      </c>
      <c r="X122" s="88">
        <v>20</v>
      </c>
      <c r="Y122" s="88">
        <v>0</v>
      </c>
      <c r="Z122" s="88">
        <v>10</v>
      </c>
      <c r="AA122" s="88">
        <v>0</v>
      </c>
      <c r="AB122" s="88">
        <v>1</v>
      </c>
      <c r="AC122" s="88">
        <v>0</v>
      </c>
      <c r="AD122" s="88">
        <v>0</v>
      </c>
      <c r="AE122" s="88" t="s">
        <v>1133</v>
      </c>
      <c r="AF122" s="88">
        <v>0</v>
      </c>
      <c r="AG122" s="88">
        <v>0</v>
      </c>
      <c r="AH122" s="88" t="s">
        <v>1133</v>
      </c>
      <c r="AI122" s="88" t="s">
        <v>1133</v>
      </c>
      <c r="AJ122" s="88" t="s">
        <v>1133</v>
      </c>
      <c r="AK122" s="88">
        <v>2</v>
      </c>
      <c r="AL122" s="88">
        <v>20</v>
      </c>
      <c r="AM122" s="88">
        <v>9</v>
      </c>
      <c r="AN122" s="88">
        <v>0</v>
      </c>
      <c r="AO122" s="88">
        <v>1</v>
      </c>
      <c r="AP122" s="88" t="s">
        <v>1134</v>
      </c>
      <c r="AQ122" s="88" t="s">
        <v>1133</v>
      </c>
      <c r="AR122" s="88">
        <v>0</v>
      </c>
      <c r="AS122" s="88"/>
      <c r="AT122" s="88"/>
      <c r="AU122" s="88">
        <v>0</v>
      </c>
      <c r="AV122" s="88" t="s">
        <v>1133</v>
      </c>
      <c r="AW122" s="88" t="s">
        <v>1133</v>
      </c>
      <c r="AX122" s="88">
        <v>0</v>
      </c>
      <c r="AY122" s="88">
        <v>0</v>
      </c>
      <c r="AZ122" s="88">
        <v>0</v>
      </c>
      <c r="BA122" s="88">
        <v>0</v>
      </c>
      <c r="BB122" s="88" t="s">
        <v>0</v>
      </c>
    </row>
    <row r="123" spans="1:54">
      <c r="A123" s="88">
        <v>123</v>
      </c>
      <c r="B123" s="88">
        <v>123</v>
      </c>
      <c r="C123" s="88"/>
      <c r="D123" s="88" t="s">
        <v>123</v>
      </c>
      <c r="E123" s="88">
        <v>0</v>
      </c>
      <c r="F123" s="88">
        <v>1146</v>
      </c>
      <c r="G123" s="88">
        <v>1</v>
      </c>
      <c r="H123" s="88">
        <v>2</v>
      </c>
      <c r="I123" s="88">
        <v>2</v>
      </c>
      <c r="J123" s="88">
        <v>0</v>
      </c>
      <c r="K123" s="88">
        <v>0</v>
      </c>
      <c r="L123" s="88">
        <v>1</v>
      </c>
      <c r="M123" s="88">
        <v>20</v>
      </c>
      <c r="N123" s="88">
        <v>34</v>
      </c>
      <c r="O123" s="88">
        <v>1</v>
      </c>
      <c r="P123" s="88">
        <v>1</v>
      </c>
      <c r="Q123" s="88">
        <v>1</v>
      </c>
      <c r="R123" s="88">
        <v>20</v>
      </c>
      <c r="S123" s="88">
        <v>10</v>
      </c>
      <c r="T123" s="88">
        <v>0</v>
      </c>
      <c r="U123" s="88">
        <v>0</v>
      </c>
      <c r="V123" s="88">
        <v>0</v>
      </c>
      <c r="W123" s="88">
        <v>0</v>
      </c>
      <c r="X123" s="88">
        <v>20</v>
      </c>
      <c r="Y123" s="88">
        <v>0</v>
      </c>
      <c r="Z123" s="88">
        <v>10</v>
      </c>
      <c r="AA123" s="88">
        <v>0</v>
      </c>
      <c r="AB123" s="88">
        <v>1</v>
      </c>
      <c r="AC123" s="88">
        <v>0</v>
      </c>
      <c r="AD123" s="88">
        <v>0</v>
      </c>
      <c r="AE123" s="88" t="s">
        <v>1133</v>
      </c>
      <c r="AF123" s="88">
        <v>0</v>
      </c>
      <c r="AG123" s="88">
        <v>0</v>
      </c>
      <c r="AH123" s="88" t="s">
        <v>1133</v>
      </c>
      <c r="AI123" s="88" t="s">
        <v>1133</v>
      </c>
      <c r="AJ123" s="88" t="s">
        <v>1133</v>
      </c>
      <c r="AK123" s="88">
        <v>2</v>
      </c>
      <c r="AL123" s="88">
        <v>20</v>
      </c>
      <c r="AM123" s="88">
        <v>9</v>
      </c>
      <c r="AN123" s="88">
        <v>0</v>
      </c>
      <c r="AO123" s="88">
        <v>1</v>
      </c>
      <c r="AP123" s="88" t="s">
        <v>1134</v>
      </c>
      <c r="AQ123" s="88" t="s">
        <v>1133</v>
      </c>
      <c r="AR123" s="88">
        <v>0</v>
      </c>
      <c r="AS123" s="88"/>
      <c r="AT123" s="88"/>
      <c r="AU123" s="88">
        <v>0</v>
      </c>
      <c r="AV123" s="88" t="s">
        <v>1133</v>
      </c>
      <c r="AW123" s="88" t="s">
        <v>1133</v>
      </c>
      <c r="AX123" s="88">
        <v>0</v>
      </c>
      <c r="AY123" s="88">
        <v>0</v>
      </c>
      <c r="AZ123" s="88">
        <v>0</v>
      </c>
      <c r="BA123" s="88">
        <v>0</v>
      </c>
      <c r="BB123" s="88" t="s">
        <v>0</v>
      </c>
    </row>
    <row r="124" spans="1:54">
      <c r="A124" s="88">
        <v>124</v>
      </c>
      <c r="B124" s="88">
        <v>124</v>
      </c>
      <c r="C124" s="88"/>
      <c r="D124" s="88" t="s">
        <v>124</v>
      </c>
      <c r="E124" s="88">
        <v>0</v>
      </c>
      <c r="F124" s="88">
        <v>1146</v>
      </c>
      <c r="G124" s="88">
        <v>1</v>
      </c>
      <c r="H124" s="88">
        <v>2</v>
      </c>
      <c r="I124" s="88">
        <v>2</v>
      </c>
      <c r="J124" s="88">
        <v>0</v>
      </c>
      <c r="K124" s="88">
        <v>0</v>
      </c>
      <c r="L124" s="88">
        <v>1</v>
      </c>
      <c r="M124" s="88">
        <v>30</v>
      </c>
      <c r="N124" s="88">
        <v>34</v>
      </c>
      <c r="O124" s="88">
        <v>1</v>
      </c>
      <c r="P124" s="88">
        <v>1</v>
      </c>
      <c r="Q124" s="88">
        <v>1</v>
      </c>
      <c r="R124" s="88">
        <v>20</v>
      </c>
      <c r="S124" s="88">
        <v>10</v>
      </c>
      <c r="T124" s="88">
        <v>0</v>
      </c>
      <c r="U124" s="88">
        <v>0</v>
      </c>
      <c r="V124" s="88">
        <v>0</v>
      </c>
      <c r="W124" s="88">
        <v>0</v>
      </c>
      <c r="X124" s="88">
        <v>20</v>
      </c>
      <c r="Y124" s="88">
        <v>0</v>
      </c>
      <c r="Z124" s="88">
        <v>10</v>
      </c>
      <c r="AA124" s="88">
        <v>0</v>
      </c>
      <c r="AB124" s="88">
        <v>1</v>
      </c>
      <c r="AC124" s="88">
        <v>0</v>
      </c>
      <c r="AD124" s="88">
        <v>0</v>
      </c>
      <c r="AE124" s="88" t="s">
        <v>1133</v>
      </c>
      <c r="AF124" s="88">
        <v>0</v>
      </c>
      <c r="AG124" s="88">
        <v>0</v>
      </c>
      <c r="AH124" s="88" t="s">
        <v>1133</v>
      </c>
      <c r="AI124" s="88" t="s">
        <v>1133</v>
      </c>
      <c r="AJ124" s="88" t="s">
        <v>1133</v>
      </c>
      <c r="AK124" s="88">
        <v>2</v>
      </c>
      <c r="AL124" s="88">
        <v>20</v>
      </c>
      <c r="AM124" s="88">
        <v>9</v>
      </c>
      <c r="AN124" s="88">
        <v>0</v>
      </c>
      <c r="AO124" s="88">
        <v>1</v>
      </c>
      <c r="AP124" s="88" t="s">
        <v>1134</v>
      </c>
      <c r="AQ124" s="88" t="s">
        <v>1133</v>
      </c>
      <c r="AR124" s="88">
        <v>0</v>
      </c>
      <c r="AS124" s="88"/>
      <c r="AT124" s="88"/>
      <c r="AU124" s="88">
        <v>0</v>
      </c>
      <c r="AV124" s="88" t="s">
        <v>1133</v>
      </c>
      <c r="AW124" s="88" t="s">
        <v>1133</v>
      </c>
      <c r="AX124" s="88">
        <v>0</v>
      </c>
      <c r="AY124" s="88">
        <v>0</v>
      </c>
      <c r="AZ124" s="88">
        <v>0</v>
      </c>
      <c r="BA124" s="88">
        <v>0</v>
      </c>
      <c r="BB124" s="88" t="s">
        <v>0</v>
      </c>
    </row>
    <row r="125" spans="1:54">
      <c r="A125" s="88">
        <v>125</v>
      </c>
      <c r="B125" s="88">
        <v>125</v>
      </c>
      <c r="C125" s="88"/>
      <c r="D125" s="88" t="s">
        <v>125</v>
      </c>
      <c r="E125" s="88">
        <v>0</v>
      </c>
      <c r="F125" s="88">
        <v>1146</v>
      </c>
      <c r="G125" s="88">
        <v>1</v>
      </c>
      <c r="H125" s="88">
        <v>2</v>
      </c>
      <c r="I125" s="88">
        <v>2</v>
      </c>
      <c r="J125" s="88">
        <v>0</v>
      </c>
      <c r="K125" s="88">
        <v>0</v>
      </c>
      <c r="L125" s="88">
        <v>1</v>
      </c>
      <c r="M125" s="88">
        <v>40</v>
      </c>
      <c r="N125" s="88">
        <v>34</v>
      </c>
      <c r="O125" s="88">
        <v>1</v>
      </c>
      <c r="P125" s="88">
        <v>1</v>
      </c>
      <c r="Q125" s="88">
        <v>1</v>
      </c>
      <c r="R125" s="88">
        <v>20</v>
      </c>
      <c r="S125" s="88">
        <v>10</v>
      </c>
      <c r="T125" s="88">
        <v>0</v>
      </c>
      <c r="U125" s="88">
        <v>0</v>
      </c>
      <c r="V125" s="88">
        <v>0</v>
      </c>
      <c r="W125" s="88">
        <v>0</v>
      </c>
      <c r="X125" s="88">
        <v>20</v>
      </c>
      <c r="Y125" s="88">
        <v>0</v>
      </c>
      <c r="Z125" s="88">
        <v>10</v>
      </c>
      <c r="AA125" s="88">
        <v>0</v>
      </c>
      <c r="AB125" s="88">
        <v>1</v>
      </c>
      <c r="AC125" s="88">
        <v>0</v>
      </c>
      <c r="AD125" s="88">
        <v>0</v>
      </c>
      <c r="AE125" s="88" t="s">
        <v>1133</v>
      </c>
      <c r="AF125" s="88">
        <v>0</v>
      </c>
      <c r="AG125" s="88">
        <v>0</v>
      </c>
      <c r="AH125" s="88" t="s">
        <v>1133</v>
      </c>
      <c r="AI125" s="88" t="s">
        <v>1133</v>
      </c>
      <c r="AJ125" s="88" t="s">
        <v>1133</v>
      </c>
      <c r="AK125" s="88">
        <v>2</v>
      </c>
      <c r="AL125" s="88">
        <v>20</v>
      </c>
      <c r="AM125" s="88">
        <v>9</v>
      </c>
      <c r="AN125" s="88">
        <v>0</v>
      </c>
      <c r="AO125" s="88">
        <v>1</v>
      </c>
      <c r="AP125" s="88" t="s">
        <v>1134</v>
      </c>
      <c r="AQ125" s="88" t="s">
        <v>1133</v>
      </c>
      <c r="AR125" s="88">
        <v>0</v>
      </c>
      <c r="AS125" s="88"/>
      <c r="AT125" s="88"/>
      <c r="AU125" s="88">
        <v>0</v>
      </c>
      <c r="AV125" s="88" t="s">
        <v>1133</v>
      </c>
      <c r="AW125" s="88" t="s">
        <v>1133</v>
      </c>
      <c r="AX125" s="88">
        <v>0</v>
      </c>
      <c r="AY125" s="88">
        <v>0</v>
      </c>
      <c r="AZ125" s="88">
        <v>0</v>
      </c>
      <c r="BA125" s="88">
        <v>0</v>
      </c>
      <c r="BB125" s="88" t="s">
        <v>0</v>
      </c>
    </row>
    <row r="126" spans="1:54">
      <c r="A126" s="88">
        <v>126</v>
      </c>
      <c r="B126" s="88">
        <v>126</v>
      </c>
      <c r="C126" s="88"/>
      <c r="D126" s="88" t="s">
        <v>126</v>
      </c>
      <c r="E126" s="88">
        <v>0</v>
      </c>
      <c r="F126" s="88">
        <v>1146</v>
      </c>
      <c r="G126" s="88">
        <v>1</v>
      </c>
      <c r="H126" s="88">
        <v>2</v>
      </c>
      <c r="I126" s="88">
        <v>2</v>
      </c>
      <c r="J126" s="88">
        <v>0</v>
      </c>
      <c r="K126" s="88">
        <v>0</v>
      </c>
      <c r="L126" s="88">
        <v>1</v>
      </c>
      <c r="M126" s="88">
        <v>50</v>
      </c>
      <c r="N126" s="88">
        <v>34</v>
      </c>
      <c r="O126" s="88">
        <v>1</v>
      </c>
      <c r="P126" s="88">
        <v>1</v>
      </c>
      <c r="Q126" s="88">
        <v>1</v>
      </c>
      <c r="R126" s="88">
        <v>20</v>
      </c>
      <c r="S126" s="88">
        <v>10</v>
      </c>
      <c r="T126" s="88">
        <v>0</v>
      </c>
      <c r="U126" s="88">
        <v>0</v>
      </c>
      <c r="V126" s="88">
        <v>0</v>
      </c>
      <c r="W126" s="88">
        <v>0</v>
      </c>
      <c r="X126" s="88">
        <v>20</v>
      </c>
      <c r="Y126" s="88">
        <v>0</v>
      </c>
      <c r="Z126" s="88">
        <v>10</v>
      </c>
      <c r="AA126" s="88">
        <v>0</v>
      </c>
      <c r="AB126" s="88">
        <v>1</v>
      </c>
      <c r="AC126" s="88">
        <v>0</v>
      </c>
      <c r="AD126" s="88">
        <v>0</v>
      </c>
      <c r="AE126" s="88" t="s">
        <v>1133</v>
      </c>
      <c r="AF126" s="88">
        <v>0</v>
      </c>
      <c r="AG126" s="88">
        <v>0</v>
      </c>
      <c r="AH126" s="88" t="s">
        <v>1133</v>
      </c>
      <c r="AI126" s="88" t="s">
        <v>1133</v>
      </c>
      <c r="AJ126" s="88" t="s">
        <v>1133</v>
      </c>
      <c r="AK126" s="88">
        <v>2</v>
      </c>
      <c r="AL126" s="88">
        <v>20</v>
      </c>
      <c r="AM126" s="88">
        <v>9</v>
      </c>
      <c r="AN126" s="88">
        <v>0</v>
      </c>
      <c r="AO126" s="88">
        <v>1</v>
      </c>
      <c r="AP126" s="88" t="s">
        <v>1134</v>
      </c>
      <c r="AQ126" s="88" t="s">
        <v>1133</v>
      </c>
      <c r="AR126" s="88">
        <v>0</v>
      </c>
      <c r="AS126" s="88"/>
      <c r="AT126" s="88"/>
      <c r="AU126" s="88">
        <v>0</v>
      </c>
      <c r="AV126" s="88" t="s">
        <v>1133</v>
      </c>
      <c r="AW126" s="88" t="s">
        <v>1133</v>
      </c>
      <c r="AX126" s="88">
        <v>0</v>
      </c>
      <c r="AY126" s="88">
        <v>0</v>
      </c>
      <c r="AZ126" s="88">
        <v>0</v>
      </c>
      <c r="BA126" s="88">
        <v>0</v>
      </c>
      <c r="BB126" s="88" t="s">
        <v>0</v>
      </c>
    </row>
    <row r="127" spans="1:54">
      <c r="A127" s="88">
        <v>127</v>
      </c>
      <c r="B127" s="88">
        <v>127</v>
      </c>
      <c r="C127" s="88"/>
      <c r="D127" s="88" t="s">
        <v>127</v>
      </c>
      <c r="E127" s="88">
        <v>0</v>
      </c>
      <c r="F127" s="88">
        <v>1146</v>
      </c>
      <c r="G127" s="88">
        <v>1</v>
      </c>
      <c r="H127" s="88">
        <v>2</v>
      </c>
      <c r="I127" s="88">
        <v>2</v>
      </c>
      <c r="J127" s="88">
        <v>0</v>
      </c>
      <c r="K127" s="88">
        <v>0</v>
      </c>
      <c r="L127" s="88">
        <v>1</v>
      </c>
      <c r="M127" s="88">
        <v>80</v>
      </c>
      <c r="N127" s="88">
        <v>34</v>
      </c>
      <c r="O127" s="88">
        <v>1</v>
      </c>
      <c r="P127" s="88">
        <v>1</v>
      </c>
      <c r="Q127" s="88">
        <v>1</v>
      </c>
      <c r="R127" s="88">
        <v>20</v>
      </c>
      <c r="S127" s="88">
        <v>10</v>
      </c>
      <c r="T127" s="88">
        <v>0</v>
      </c>
      <c r="U127" s="88">
        <v>0</v>
      </c>
      <c r="V127" s="88">
        <v>0</v>
      </c>
      <c r="W127" s="88">
        <v>0</v>
      </c>
      <c r="X127" s="88">
        <v>20</v>
      </c>
      <c r="Y127" s="88">
        <v>0</v>
      </c>
      <c r="Z127" s="88">
        <v>10</v>
      </c>
      <c r="AA127" s="88">
        <v>0</v>
      </c>
      <c r="AB127" s="88">
        <v>1</v>
      </c>
      <c r="AC127" s="88">
        <v>0</v>
      </c>
      <c r="AD127" s="88">
        <v>0</v>
      </c>
      <c r="AE127" s="88" t="s">
        <v>1133</v>
      </c>
      <c r="AF127" s="88">
        <v>0</v>
      </c>
      <c r="AG127" s="88">
        <v>0</v>
      </c>
      <c r="AH127" s="88" t="s">
        <v>1133</v>
      </c>
      <c r="AI127" s="88" t="s">
        <v>1133</v>
      </c>
      <c r="AJ127" s="88" t="s">
        <v>1133</v>
      </c>
      <c r="AK127" s="88">
        <v>2</v>
      </c>
      <c r="AL127" s="88">
        <v>20</v>
      </c>
      <c r="AM127" s="88">
        <v>9</v>
      </c>
      <c r="AN127" s="88">
        <v>0</v>
      </c>
      <c r="AO127" s="88">
        <v>1</v>
      </c>
      <c r="AP127" s="88" t="s">
        <v>1134</v>
      </c>
      <c r="AQ127" s="88" t="s">
        <v>1133</v>
      </c>
      <c r="AR127" s="88">
        <v>0</v>
      </c>
      <c r="AS127" s="88"/>
      <c r="AT127" s="88"/>
      <c r="AU127" s="88">
        <v>0</v>
      </c>
      <c r="AV127" s="88" t="s">
        <v>1133</v>
      </c>
      <c r="AW127" s="88" t="s">
        <v>1133</v>
      </c>
      <c r="AX127" s="88">
        <v>0</v>
      </c>
      <c r="AY127" s="88">
        <v>0</v>
      </c>
      <c r="AZ127" s="88">
        <v>0</v>
      </c>
      <c r="BA127" s="88">
        <v>0</v>
      </c>
      <c r="BB127" s="88" t="s">
        <v>0</v>
      </c>
    </row>
    <row r="128" spans="1:54">
      <c r="A128" s="88">
        <v>128</v>
      </c>
      <c r="B128" s="88">
        <v>128</v>
      </c>
      <c r="C128" s="88"/>
      <c r="D128" s="88" t="s">
        <v>128</v>
      </c>
      <c r="E128" s="88">
        <v>0</v>
      </c>
      <c r="F128" s="88">
        <v>1146</v>
      </c>
      <c r="G128" s="88">
        <v>1</v>
      </c>
      <c r="H128" s="88">
        <v>2</v>
      </c>
      <c r="I128" s="88">
        <v>2</v>
      </c>
      <c r="J128" s="88">
        <v>0</v>
      </c>
      <c r="K128" s="88">
        <v>0</v>
      </c>
      <c r="L128" s="88">
        <v>1</v>
      </c>
      <c r="M128" s="88">
        <v>600</v>
      </c>
      <c r="N128" s="88">
        <v>34</v>
      </c>
      <c r="O128" s="88">
        <v>1</v>
      </c>
      <c r="P128" s="88">
        <v>1</v>
      </c>
      <c r="Q128" s="88">
        <v>1</v>
      </c>
      <c r="R128" s="88">
        <v>20</v>
      </c>
      <c r="S128" s="88">
        <v>10</v>
      </c>
      <c r="T128" s="88">
        <v>0</v>
      </c>
      <c r="U128" s="88">
        <v>0</v>
      </c>
      <c r="V128" s="88">
        <v>0</v>
      </c>
      <c r="W128" s="88">
        <v>0</v>
      </c>
      <c r="X128" s="88">
        <v>20</v>
      </c>
      <c r="Y128" s="88">
        <v>0</v>
      </c>
      <c r="Z128" s="88">
        <v>10</v>
      </c>
      <c r="AA128" s="88">
        <v>0</v>
      </c>
      <c r="AB128" s="88">
        <v>1</v>
      </c>
      <c r="AC128" s="88">
        <v>0</v>
      </c>
      <c r="AD128" s="88">
        <v>0</v>
      </c>
      <c r="AE128" s="88" t="s">
        <v>1133</v>
      </c>
      <c r="AF128" s="88">
        <v>0</v>
      </c>
      <c r="AG128" s="88">
        <v>0</v>
      </c>
      <c r="AH128" s="88" t="s">
        <v>1133</v>
      </c>
      <c r="AI128" s="88" t="s">
        <v>1133</v>
      </c>
      <c r="AJ128" s="88" t="s">
        <v>1133</v>
      </c>
      <c r="AK128" s="88">
        <v>2</v>
      </c>
      <c r="AL128" s="88">
        <v>20</v>
      </c>
      <c r="AM128" s="88">
        <v>9</v>
      </c>
      <c r="AN128" s="88">
        <v>0</v>
      </c>
      <c r="AO128" s="88">
        <v>1</v>
      </c>
      <c r="AP128" s="88" t="s">
        <v>1134</v>
      </c>
      <c r="AQ128" s="88" t="s">
        <v>1133</v>
      </c>
      <c r="AR128" s="88">
        <v>0</v>
      </c>
      <c r="AS128" s="88"/>
      <c r="AT128" s="88"/>
      <c r="AU128" s="88">
        <v>0</v>
      </c>
      <c r="AV128" s="88" t="s">
        <v>1133</v>
      </c>
      <c r="AW128" s="88" t="s">
        <v>1133</v>
      </c>
      <c r="AX128" s="88">
        <v>0</v>
      </c>
      <c r="AY128" s="88">
        <v>0</v>
      </c>
      <c r="AZ128" s="88">
        <v>0</v>
      </c>
      <c r="BA128" s="88">
        <v>0</v>
      </c>
      <c r="BB128" s="88" t="s">
        <v>0</v>
      </c>
    </row>
    <row r="129" spans="1:54">
      <c r="A129" s="88">
        <v>129</v>
      </c>
      <c r="B129" s="88">
        <v>129</v>
      </c>
      <c r="C129" s="88"/>
      <c r="D129" s="88" t="s">
        <v>1147</v>
      </c>
      <c r="E129" s="88">
        <v>0</v>
      </c>
      <c r="F129" s="88">
        <v>1146</v>
      </c>
      <c r="G129" s="88">
        <v>1</v>
      </c>
      <c r="H129" s="88">
        <v>2</v>
      </c>
      <c r="I129" s="88">
        <v>2</v>
      </c>
      <c r="J129" s="88">
        <v>0</v>
      </c>
      <c r="K129" s="88">
        <v>0</v>
      </c>
      <c r="L129" s="88">
        <v>1</v>
      </c>
      <c r="M129" s="88">
        <v>800</v>
      </c>
      <c r="N129" s="88">
        <v>34</v>
      </c>
      <c r="O129" s="88">
        <v>1</v>
      </c>
      <c r="P129" s="88">
        <v>1</v>
      </c>
      <c r="Q129" s="88">
        <v>1</v>
      </c>
      <c r="R129" s="88">
        <v>20</v>
      </c>
      <c r="S129" s="88">
        <v>10</v>
      </c>
      <c r="T129" s="88">
        <v>0</v>
      </c>
      <c r="U129" s="88">
        <v>0</v>
      </c>
      <c r="V129" s="88">
        <v>0</v>
      </c>
      <c r="W129" s="88">
        <v>0</v>
      </c>
      <c r="X129" s="88">
        <v>20</v>
      </c>
      <c r="Y129" s="88">
        <v>0</v>
      </c>
      <c r="Z129" s="88">
        <v>10</v>
      </c>
      <c r="AA129" s="88">
        <v>0</v>
      </c>
      <c r="AB129" s="88">
        <v>1</v>
      </c>
      <c r="AC129" s="88">
        <v>0</v>
      </c>
      <c r="AD129" s="88">
        <v>0</v>
      </c>
      <c r="AE129" s="88" t="s">
        <v>1133</v>
      </c>
      <c r="AF129" s="88">
        <v>0</v>
      </c>
      <c r="AG129" s="88">
        <v>0</v>
      </c>
      <c r="AH129" s="88" t="s">
        <v>1133</v>
      </c>
      <c r="AI129" s="88" t="s">
        <v>1133</v>
      </c>
      <c r="AJ129" s="88" t="s">
        <v>1133</v>
      </c>
      <c r="AK129" s="88">
        <v>2</v>
      </c>
      <c r="AL129" s="88">
        <v>20</v>
      </c>
      <c r="AM129" s="88">
        <v>9</v>
      </c>
      <c r="AN129" s="88">
        <v>0</v>
      </c>
      <c r="AO129" s="88">
        <v>1</v>
      </c>
      <c r="AP129" s="88" t="s">
        <v>1134</v>
      </c>
      <c r="AQ129" s="88" t="s">
        <v>1133</v>
      </c>
      <c r="AR129" s="88">
        <v>0</v>
      </c>
      <c r="AS129" s="88"/>
      <c r="AT129" s="88"/>
      <c r="AU129" s="88">
        <v>0</v>
      </c>
      <c r="AV129" s="88" t="s">
        <v>1133</v>
      </c>
      <c r="AW129" s="88" t="s">
        <v>1133</v>
      </c>
      <c r="AX129" s="88">
        <v>0</v>
      </c>
      <c r="AY129" s="88">
        <v>0</v>
      </c>
      <c r="AZ129" s="88">
        <v>0</v>
      </c>
      <c r="BA129" s="88">
        <v>0</v>
      </c>
      <c r="BB129" s="88" t="s">
        <v>0</v>
      </c>
    </row>
    <row r="130" spans="1:54">
      <c r="A130" s="88">
        <v>130</v>
      </c>
      <c r="B130" s="88">
        <v>130</v>
      </c>
      <c r="C130" s="88"/>
      <c r="D130" s="88" t="s">
        <v>1148</v>
      </c>
      <c r="E130" s="88">
        <v>0</v>
      </c>
      <c r="F130" s="88">
        <v>1146</v>
      </c>
      <c r="G130" s="88">
        <v>1</v>
      </c>
      <c r="H130" s="88">
        <v>2</v>
      </c>
      <c r="I130" s="88">
        <v>2</v>
      </c>
      <c r="J130" s="88">
        <v>0</v>
      </c>
      <c r="K130" s="88">
        <v>0</v>
      </c>
      <c r="L130" s="88">
        <v>1</v>
      </c>
      <c r="M130" s="88">
        <v>960</v>
      </c>
      <c r="N130" s="88">
        <v>34</v>
      </c>
      <c r="O130" s="88">
        <v>1</v>
      </c>
      <c r="P130" s="88">
        <v>1</v>
      </c>
      <c r="Q130" s="88">
        <v>1</v>
      </c>
      <c r="R130" s="88">
        <v>20</v>
      </c>
      <c r="S130" s="88">
        <v>10</v>
      </c>
      <c r="T130" s="88">
        <v>0</v>
      </c>
      <c r="U130" s="88">
        <v>0</v>
      </c>
      <c r="V130" s="88">
        <v>0</v>
      </c>
      <c r="W130" s="88">
        <v>0</v>
      </c>
      <c r="X130" s="88">
        <v>20</v>
      </c>
      <c r="Y130" s="88">
        <v>0</v>
      </c>
      <c r="Z130" s="88">
        <v>10</v>
      </c>
      <c r="AA130" s="88">
        <v>0</v>
      </c>
      <c r="AB130" s="88">
        <v>1</v>
      </c>
      <c r="AC130" s="88">
        <v>0</v>
      </c>
      <c r="AD130" s="88">
        <v>0</v>
      </c>
      <c r="AE130" s="88" t="s">
        <v>1133</v>
      </c>
      <c r="AF130" s="88">
        <v>0</v>
      </c>
      <c r="AG130" s="88">
        <v>0</v>
      </c>
      <c r="AH130" s="88" t="s">
        <v>1133</v>
      </c>
      <c r="AI130" s="88" t="s">
        <v>1133</v>
      </c>
      <c r="AJ130" s="88" t="s">
        <v>1133</v>
      </c>
      <c r="AK130" s="88">
        <v>2</v>
      </c>
      <c r="AL130" s="88">
        <v>20</v>
      </c>
      <c r="AM130" s="88">
        <v>9</v>
      </c>
      <c r="AN130" s="88">
        <v>0</v>
      </c>
      <c r="AO130" s="88">
        <v>1</v>
      </c>
      <c r="AP130" s="88" t="s">
        <v>1134</v>
      </c>
      <c r="AQ130" s="88" t="s">
        <v>1133</v>
      </c>
      <c r="AR130" s="88">
        <v>0</v>
      </c>
      <c r="AS130" s="88"/>
      <c r="AT130" s="88"/>
      <c r="AU130" s="88">
        <v>0</v>
      </c>
      <c r="AV130" s="88" t="s">
        <v>1133</v>
      </c>
      <c r="AW130" s="88" t="s">
        <v>1133</v>
      </c>
      <c r="AX130" s="88">
        <v>0</v>
      </c>
      <c r="AY130" s="88">
        <v>0</v>
      </c>
      <c r="AZ130" s="88">
        <v>0</v>
      </c>
      <c r="BA130" s="88">
        <v>0</v>
      </c>
      <c r="BB130" s="88" t="s">
        <v>0</v>
      </c>
    </row>
    <row r="131" spans="1:54">
      <c r="A131" s="88">
        <v>131</v>
      </c>
      <c r="B131" s="88">
        <v>131</v>
      </c>
      <c r="C131" s="88"/>
      <c r="D131" s="88" t="s">
        <v>131</v>
      </c>
      <c r="E131" s="88">
        <v>0</v>
      </c>
      <c r="F131" s="88">
        <v>1146</v>
      </c>
      <c r="G131" s="88">
        <v>1</v>
      </c>
      <c r="H131" s="88">
        <v>2</v>
      </c>
      <c r="I131" s="88">
        <v>2</v>
      </c>
      <c r="J131" s="88">
        <v>0</v>
      </c>
      <c r="K131" s="88">
        <v>0</v>
      </c>
      <c r="L131" s="88">
        <v>1</v>
      </c>
      <c r="M131" s="88">
        <v>1280</v>
      </c>
      <c r="N131" s="88">
        <v>34</v>
      </c>
      <c r="O131" s="88">
        <v>1</v>
      </c>
      <c r="P131" s="88">
        <v>1</v>
      </c>
      <c r="Q131" s="88">
        <v>1</v>
      </c>
      <c r="R131" s="88">
        <v>20</v>
      </c>
      <c r="S131" s="88">
        <v>10</v>
      </c>
      <c r="T131" s="88">
        <v>0</v>
      </c>
      <c r="U131" s="88">
        <v>0</v>
      </c>
      <c r="V131" s="88">
        <v>0</v>
      </c>
      <c r="W131" s="88">
        <v>0</v>
      </c>
      <c r="X131" s="88">
        <v>20</v>
      </c>
      <c r="Y131" s="88">
        <v>0</v>
      </c>
      <c r="Z131" s="88">
        <v>10</v>
      </c>
      <c r="AA131" s="88">
        <v>0</v>
      </c>
      <c r="AB131" s="88">
        <v>1</v>
      </c>
      <c r="AC131" s="88">
        <v>0</v>
      </c>
      <c r="AD131" s="88">
        <v>0</v>
      </c>
      <c r="AE131" s="88" t="s">
        <v>1133</v>
      </c>
      <c r="AF131" s="88">
        <v>0</v>
      </c>
      <c r="AG131" s="88">
        <v>0</v>
      </c>
      <c r="AH131" s="88" t="s">
        <v>1133</v>
      </c>
      <c r="AI131" s="88" t="s">
        <v>1133</v>
      </c>
      <c r="AJ131" s="88" t="s">
        <v>1133</v>
      </c>
      <c r="AK131" s="88">
        <v>2</v>
      </c>
      <c r="AL131" s="88">
        <v>20</v>
      </c>
      <c r="AM131" s="88">
        <v>9</v>
      </c>
      <c r="AN131" s="88">
        <v>0</v>
      </c>
      <c r="AO131" s="88">
        <v>1</v>
      </c>
      <c r="AP131" s="88" t="s">
        <v>1134</v>
      </c>
      <c r="AQ131" s="88" t="s">
        <v>1133</v>
      </c>
      <c r="AR131" s="88">
        <v>0</v>
      </c>
      <c r="AS131" s="88"/>
      <c r="AT131" s="88"/>
      <c r="AU131" s="88">
        <v>0</v>
      </c>
      <c r="AV131" s="88" t="s">
        <v>1133</v>
      </c>
      <c r="AW131" s="88" t="s">
        <v>1133</v>
      </c>
      <c r="AX131" s="88">
        <v>0</v>
      </c>
      <c r="AY131" s="88">
        <v>0</v>
      </c>
      <c r="AZ131" s="88">
        <v>0</v>
      </c>
      <c r="BA131" s="88">
        <v>0</v>
      </c>
      <c r="BB131" s="88" t="s">
        <v>0</v>
      </c>
    </row>
    <row r="132" spans="1:54">
      <c r="A132" s="88">
        <v>132</v>
      </c>
      <c r="B132" s="88">
        <v>132</v>
      </c>
      <c r="C132" s="88"/>
      <c r="D132" s="88" t="s">
        <v>132</v>
      </c>
      <c r="E132" s="88">
        <v>0</v>
      </c>
      <c r="F132" s="88">
        <v>1146</v>
      </c>
      <c r="G132" s="88">
        <v>1</v>
      </c>
      <c r="H132" s="88">
        <v>2</v>
      </c>
      <c r="I132" s="88">
        <v>2</v>
      </c>
      <c r="J132" s="88">
        <v>0</v>
      </c>
      <c r="K132" s="88">
        <v>0</v>
      </c>
      <c r="L132" s="88">
        <v>1</v>
      </c>
      <c r="M132" s="88">
        <v>2</v>
      </c>
      <c r="N132" s="88">
        <v>34</v>
      </c>
      <c r="O132" s="88">
        <v>1</v>
      </c>
      <c r="P132" s="88">
        <v>1</v>
      </c>
      <c r="Q132" s="88">
        <v>1</v>
      </c>
      <c r="R132" s="88">
        <v>20</v>
      </c>
      <c r="S132" s="88">
        <v>10</v>
      </c>
      <c r="T132" s="88">
        <v>0</v>
      </c>
      <c r="U132" s="88">
        <v>0</v>
      </c>
      <c r="V132" s="88">
        <v>0</v>
      </c>
      <c r="W132" s="88">
        <v>0</v>
      </c>
      <c r="X132" s="88">
        <v>20</v>
      </c>
      <c r="Y132" s="88">
        <v>0</v>
      </c>
      <c r="Z132" s="88">
        <v>10</v>
      </c>
      <c r="AA132" s="88">
        <v>0</v>
      </c>
      <c r="AB132" s="88">
        <v>1</v>
      </c>
      <c r="AC132" s="88">
        <v>0</v>
      </c>
      <c r="AD132" s="88">
        <v>0</v>
      </c>
      <c r="AE132" s="88" t="s">
        <v>1133</v>
      </c>
      <c r="AF132" s="88">
        <v>0</v>
      </c>
      <c r="AG132" s="88">
        <v>0</v>
      </c>
      <c r="AH132" s="88" t="s">
        <v>1133</v>
      </c>
      <c r="AI132" s="88" t="s">
        <v>1133</v>
      </c>
      <c r="AJ132" s="88" t="s">
        <v>1133</v>
      </c>
      <c r="AK132" s="88">
        <v>2</v>
      </c>
      <c r="AL132" s="88">
        <v>20</v>
      </c>
      <c r="AM132" s="88">
        <v>9</v>
      </c>
      <c r="AN132" s="88">
        <v>0</v>
      </c>
      <c r="AO132" s="88">
        <v>1</v>
      </c>
      <c r="AP132" s="88" t="s">
        <v>1134</v>
      </c>
      <c r="AQ132" s="88" t="s">
        <v>1133</v>
      </c>
      <c r="AR132" s="88">
        <v>0</v>
      </c>
      <c r="AS132" s="88"/>
      <c r="AT132" s="88"/>
      <c r="AU132" s="88">
        <v>0</v>
      </c>
      <c r="AV132" s="88" t="s">
        <v>1133</v>
      </c>
      <c r="AW132" s="88" t="s">
        <v>1133</v>
      </c>
      <c r="AX132" s="88">
        <v>0</v>
      </c>
      <c r="AY132" s="88">
        <v>0</v>
      </c>
      <c r="AZ132" s="88">
        <v>0</v>
      </c>
      <c r="BA132" s="88">
        <v>0</v>
      </c>
      <c r="BB132" s="88" t="s">
        <v>0</v>
      </c>
    </row>
    <row r="133" spans="1:54">
      <c r="A133" s="88">
        <v>133</v>
      </c>
      <c r="B133" s="88">
        <v>133</v>
      </c>
      <c r="C133" s="88"/>
      <c r="D133" s="88" t="s">
        <v>133</v>
      </c>
      <c r="E133" s="88">
        <v>0</v>
      </c>
      <c r="F133" s="88">
        <v>1146</v>
      </c>
      <c r="G133" s="88">
        <v>1</v>
      </c>
      <c r="H133" s="88">
        <v>2</v>
      </c>
      <c r="I133" s="88">
        <v>2</v>
      </c>
      <c r="J133" s="88">
        <v>0</v>
      </c>
      <c r="K133" s="88">
        <v>0</v>
      </c>
      <c r="L133" s="88">
        <v>1</v>
      </c>
      <c r="M133" s="88">
        <v>5</v>
      </c>
      <c r="N133" s="88">
        <v>34</v>
      </c>
      <c r="O133" s="88">
        <v>1</v>
      </c>
      <c r="P133" s="88">
        <v>1</v>
      </c>
      <c r="Q133" s="88">
        <v>1</v>
      </c>
      <c r="R133" s="88">
        <v>20</v>
      </c>
      <c r="S133" s="88">
        <v>10</v>
      </c>
      <c r="T133" s="88">
        <v>0</v>
      </c>
      <c r="U133" s="88">
        <v>0</v>
      </c>
      <c r="V133" s="88">
        <v>0</v>
      </c>
      <c r="W133" s="88">
        <v>0</v>
      </c>
      <c r="X133" s="88">
        <v>20</v>
      </c>
      <c r="Y133" s="88">
        <v>0</v>
      </c>
      <c r="Z133" s="88">
        <v>10</v>
      </c>
      <c r="AA133" s="88">
        <v>0</v>
      </c>
      <c r="AB133" s="88">
        <v>1</v>
      </c>
      <c r="AC133" s="88">
        <v>0</v>
      </c>
      <c r="AD133" s="88">
        <v>0</v>
      </c>
      <c r="AE133" s="88" t="s">
        <v>1133</v>
      </c>
      <c r="AF133" s="88">
        <v>0</v>
      </c>
      <c r="AG133" s="88">
        <v>0</v>
      </c>
      <c r="AH133" s="88" t="s">
        <v>1133</v>
      </c>
      <c r="AI133" s="88" t="s">
        <v>1133</v>
      </c>
      <c r="AJ133" s="88" t="s">
        <v>1133</v>
      </c>
      <c r="AK133" s="88">
        <v>2</v>
      </c>
      <c r="AL133" s="88">
        <v>20</v>
      </c>
      <c r="AM133" s="88">
        <v>9</v>
      </c>
      <c r="AN133" s="88">
        <v>0</v>
      </c>
      <c r="AO133" s="88">
        <v>1</v>
      </c>
      <c r="AP133" s="88" t="s">
        <v>1134</v>
      </c>
      <c r="AQ133" s="88" t="s">
        <v>1133</v>
      </c>
      <c r="AR133" s="88">
        <v>0</v>
      </c>
      <c r="AS133" s="88"/>
      <c r="AT133" s="88"/>
      <c r="AU133" s="88">
        <v>0</v>
      </c>
      <c r="AV133" s="88" t="s">
        <v>1133</v>
      </c>
      <c r="AW133" s="88" t="s">
        <v>1133</v>
      </c>
      <c r="AX133" s="88">
        <v>0</v>
      </c>
      <c r="AY133" s="88">
        <v>0</v>
      </c>
      <c r="AZ133" s="88">
        <v>0</v>
      </c>
      <c r="BA133" s="88">
        <v>0</v>
      </c>
      <c r="BB133" s="88" t="s">
        <v>0</v>
      </c>
    </row>
    <row r="134" spans="1:54">
      <c r="A134" s="88">
        <v>134</v>
      </c>
      <c r="B134" s="88">
        <v>134</v>
      </c>
      <c r="C134" s="88"/>
      <c r="D134" s="88" t="s">
        <v>134</v>
      </c>
      <c r="E134" s="88">
        <v>0</v>
      </c>
      <c r="F134" s="88">
        <v>1146</v>
      </c>
      <c r="G134" s="88">
        <v>1</v>
      </c>
      <c r="H134" s="88">
        <v>2</v>
      </c>
      <c r="I134" s="88">
        <v>2</v>
      </c>
      <c r="J134" s="88">
        <v>0</v>
      </c>
      <c r="K134" s="88">
        <v>0</v>
      </c>
      <c r="L134" s="88">
        <v>1</v>
      </c>
      <c r="M134" s="88">
        <v>7</v>
      </c>
      <c r="N134" s="88">
        <v>34</v>
      </c>
      <c r="O134" s="88">
        <v>1</v>
      </c>
      <c r="P134" s="88">
        <v>1</v>
      </c>
      <c r="Q134" s="88">
        <v>1</v>
      </c>
      <c r="R134" s="88">
        <v>20</v>
      </c>
      <c r="S134" s="88">
        <v>10</v>
      </c>
      <c r="T134" s="88">
        <v>0</v>
      </c>
      <c r="U134" s="88">
        <v>0</v>
      </c>
      <c r="V134" s="88">
        <v>0</v>
      </c>
      <c r="W134" s="88">
        <v>0</v>
      </c>
      <c r="X134" s="88">
        <v>20</v>
      </c>
      <c r="Y134" s="88">
        <v>0</v>
      </c>
      <c r="Z134" s="88">
        <v>10</v>
      </c>
      <c r="AA134" s="88">
        <v>0</v>
      </c>
      <c r="AB134" s="88">
        <v>1</v>
      </c>
      <c r="AC134" s="88">
        <v>0</v>
      </c>
      <c r="AD134" s="88">
        <v>0</v>
      </c>
      <c r="AE134" s="88" t="s">
        <v>1133</v>
      </c>
      <c r="AF134" s="88">
        <v>0</v>
      </c>
      <c r="AG134" s="88">
        <v>0</v>
      </c>
      <c r="AH134" s="88" t="s">
        <v>1133</v>
      </c>
      <c r="AI134" s="88" t="s">
        <v>1133</v>
      </c>
      <c r="AJ134" s="88" t="s">
        <v>1133</v>
      </c>
      <c r="AK134" s="88">
        <v>2</v>
      </c>
      <c r="AL134" s="88">
        <v>20</v>
      </c>
      <c r="AM134" s="88">
        <v>9</v>
      </c>
      <c r="AN134" s="88">
        <v>0</v>
      </c>
      <c r="AO134" s="88">
        <v>1</v>
      </c>
      <c r="AP134" s="88" t="s">
        <v>1134</v>
      </c>
      <c r="AQ134" s="88" t="s">
        <v>1133</v>
      </c>
      <c r="AR134" s="88">
        <v>0</v>
      </c>
      <c r="AS134" s="88"/>
      <c r="AT134" s="88"/>
      <c r="AU134" s="88">
        <v>0</v>
      </c>
      <c r="AV134" s="88" t="s">
        <v>1133</v>
      </c>
      <c r="AW134" s="88" t="s">
        <v>1133</v>
      </c>
      <c r="AX134" s="88">
        <v>0</v>
      </c>
      <c r="AY134" s="88">
        <v>0</v>
      </c>
      <c r="AZ134" s="88">
        <v>0</v>
      </c>
      <c r="BA134" s="88">
        <v>0</v>
      </c>
      <c r="BB134" s="88" t="s">
        <v>0</v>
      </c>
    </row>
    <row r="135" spans="1:54">
      <c r="A135" s="88">
        <v>135</v>
      </c>
      <c r="B135" s="88">
        <v>135</v>
      </c>
      <c r="C135" s="88"/>
      <c r="D135" s="88" t="s">
        <v>135</v>
      </c>
      <c r="E135" s="88">
        <v>0</v>
      </c>
      <c r="F135" s="88">
        <v>1146</v>
      </c>
      <c r="G135" s="88">
        <v>1</v>
      </c>
      <c r="H135" s="88">
        <v>2</v>
      </c>
      <c r="I135" s="88">
        <v>2</v>
      </c>
      <c r="J135" s="88">
        <v>0</v>
      </c>
      <c r="K135" s="88">
        <v>0</v>
      </c>
      <c r="L135" s="88">
        <v>1</v>
      </c>
      <c r="M135" s="88">
        <v>10</v>
      </c>
      <c r="N135" s="88">
        <v>34</v>
      </c>
      <c r="O135" s="88">
        <v>1</v>
      </c>
      <c r="P135" s="88">
        <v>1</v>
      </c>
      <c r="Q135" s="88">
        <v>1</v>
      </c>
      <c r="R135" s="88">
        <v>20</v>
      </c>
      <c r="S135" s="88">
        <v>10</v>
      </c>
      <c r="T135" s="88">
        <v>0</v>
      </c>
      <c r="U135" s="88">
        <v>0</v>
      </c>
      <c r="V135" s="88">
        <v>0</v>
      </c>
      <c r="W135" s="88">
        <v>0</v>
      </c>
      <c r="X135" s="88">
        <v>20</v>
      </c>
      <c r="Y135" s="88">
        <v>0</v>
      </c>
      <c r="Z135" s="88">
        <v>10</v>
      </c>
      <c r="AA135" s="88">
        <v>0</v>
      </c>
      <c r="AB135" s="88">
        <v>1</v>
      </c>
      <c r="AC135" s="88">
        <v>0</v>
      </c>
      <c r="AD135" s="88">
        <v>0</v>
      </c>
      <c r="AE135" s="88" t="s">
        <v>1133</v>
      </c>
      <c r="AF135" s="88">
        <v>0</v>
      </c>
      <c r="AG135" s="88">
        <v>0</v>
      </c>
      <c r="AH135" s="88" t="s">
        <v>1133</v>
      </c>
      <c r="AI135" s="88" t="s">
        <v>1133</v>
      </c>
      <c r="AJ135" s="88" t="s">
        <v>1133</v>
      </c>
      <c r="AK135" s="88">
        <v>2</v>
      </c>
      <c r="AL135" s="88">
        <v>20</v>
      </c>
      <c r="AM135" s="88">
        <v>9</v>
      </c>
      <c r="AN135" s="88">
        <v>0</v>
      </c>
      <c r="AO135" s="88">
        <v>1</v>
      </c>
      <c r="AP135" s="88" t="s">
        <v>1134</v>
      </c>
      <c r="AQ135" s="88" t="s">
        <v>1133</v>
      </c>
      <c r="AR135" s="88">
        <v>0</v>
      </c>
      <c r="AS135" s="88"/>
      <c r="AT135" s="88"/>
      <c r="AU135" s="88">
        <v>0</v>
      </c>
      <c r="AV135" s="88" t="s">
        <v>1133</v>
      </c>
      <c r="AW135" s="88" t="s">
        <v>1133</v>
      </c>
      <c r="AX135" s="88">
        <v>0</v>
      </c>
      <c r="AY135" s="88">
        <v>0</v>
      </c>
      <c r="AZ135" s="88">
        <v>0</v>
      </c>
      <c r="BA135" s="88">
        <v>0</v>
      </c>
      <c r="BB135" s="88" t="s">
        <v>0</v>
      </c>
    </row>
    <row r="136" spans="1:54">
      <c r="A136" s="88">
        <v>136</v>
      </c>
      <c r="B136" s="88">
        <v>136</v>
      </c>
      <c r="C136" s="88"/>
      <c r="D136" s="88" t="s">
        <v>136</v>
      </c>
      <c r="E136" s="88">
        <v>0</v>
      </c>
      <c r="F136" s="88">
        <v>1146</v>
      </c>
      <c r="G136" s="88">
        <v>1</v>
      </c>
      <c r="H136" s="88">
        <v>2</v>
      </c>
      <c r="I136" s="88">
        <v>2</v>
      </c>
      <c r="J136" s="88">
        <v>0</v>
      </c>
      <c r="K136" s="88">
        <v>0</v>
      </c>
      <c r="L136" s="88">
        <v>1</v>
      </c>
      <c r="M136" s="88">
        <v>14</v>
      </c>
      <c r="N136" s="88">
        <v>34</v>
      </c>
      <c r="O136" s="88">
        <v>1</v>
      </c>
      <c r="P136" s="88">
        <v>1</v>
      </c>
      <c r="Q136" s="88">
        <v>1</v>
      </c>
      <c r="R136" s="88">
        <v>20</v>
      </c>
      <c r="S136" s="88">
        <v>10</v>
      </c>
      <c r="T136" s="88">
        <v>0</v>
      </c>
      <c r="U136" s="88">
        <v>0</v>
      </c>
      <c r="V136" s="88">
        <v>0</v>
      </c>
      <c r="W136" s="88">
        <v>0</v>
      </c>
      <c r="X136" s="88">
        <v>20</v>
      </c>
      <c r="Y136" s="88">
        <v>0</v>
      </c>
      <c r="Z136" s="88">
        <v>10</v>
      </c>
      <c r="AA136" s="88">
        <v>0</v>
      </c>
      <c r="AB136" s="88">
        <v>1</v>
      </c>
      <c r="AC136" s="88">
        <v>0</v>
      </c>
      <c r="AD136" s="88">
        <v>0</v>
      </c>
      <c r="AE136" s="88" t="s">
        <v>1133</v>
      </c>
      <c r="AF136" s="88">
        <v>0</v>
      </c>
      <c r="AG136" s="88">
        <v>0</v>
      </c>
      <c r="AH136" s="88" t="s">
        <v>1133</v>
      </c>
      <c r="AI136" s="88" t="s">
        <v>1133</v>
      </c>
      <c r="AJ136" s="88" t="s">
        <v>1133</v>
      </c>
      <c r="AK136" s="88">
        <v>2</v>
      </c>
      <c r="AL136" s="88">
        <v>20</v>
      </c>
      <c r="AM136" s="88">
        <v>9</v>
      </c>
      <c r="AN136" s="88">
        <v>0</v>
      </c>
      <c r="AO136" s="88">
        <v>1</v>
      </c>
      <c r="AP136" s="88" t="s">
        <v>1134</v>
      </c>
      <c r="AQ136" s="88" t="s">
        <v>1133</v>
      </c>
      <c r="AR136" s="88">
        <v>0</v>
      </c>
      <c r="AS136" s="88"/>
      <c r="AT136" s="88"/>
      <c r="AU136" s="88">
        <v>0</v>
      </c>
      <c r="AV136" s="88" t="s">
        <v>1133</v>
      </c>
      <c r="AW136" s="88" t="s">
        <v>1133</v>
      </c>
      <c r="AX136" s="88">
        <v>0</v>
      </c>
      <c r="AY136" s="88">
        <v>0</v>
      </c>
      <c r="AZ136" s="88">
        <v>0</v>
      </c>
      <c r="BA136" s="88">
        <v>0</v>
      </c>
      <c r="BB136" s="88" t="s">
        <v>0</v>
      </c>
    </row>
    <row r="137" spans="1:54">
      <c r="A137" s="88">
        <v>137</v>
      </c>
      <c r="B137" s="88">
        <v>137</v>
      </c>
      <c r="C137" s="88"/>
      <c r="D137" s="88" t="s">
        <v>137</v>
      </c>
      <c r="E137" s="88">
        <v>0</v>
      </c>
      <c r="F137" s="88">
        <v>1146</v>
      </c>
      <c r="G137" s="88">
        <v>1</v>
      </c>
      <c r="H137" s="88">
        <v>2</v>
      </c>
      <c r="I137" s="88">
        <v>2</v>
      </c>
      <c r="J137" s="88">
        <v>0</v>
      </c>
      <c r="K137" s="88">
        <v>0</v>
      </c>
      <c r="L137" s="88">
        <v>1</v>
      </c>
      <c r="M137" s="88">
        <v>16</v>
      </c>
      <c r="N137" s="88">
        <v>34</v>
      </c>
      <c r="O137" s="88">
        <v>1</v>
      </c>
      <c r="P137" s="88">
        <v>1</v>
      </c>
      <c r="Q137" s="88">
        <v>1</v>
      </c>
      <c r="R137" s="88">
        <v>20</v>
      </c>
      <c r="S137" s="88">
        <v>10</v>
      </c>
      <c r="T137" s="88">
        <v>0</v>
      </c>
      <c r="U137" s="88">
        <v>0</v>
      </c>
      <c r="V137" s="88">
        <v>0</v>
      </c>
      <c r="W137" s="88">
        <v>0</v>
      </c>
      <c r="X137" s="88">
        <v>20</v>
      </c>
      <c r="Y137" s="88">
        <v>0</v>
      </c>
      <c r="Z137" s="88">
        <v>10</v>
      </c>
      <c r="AA137" s="88">
        <v>0</v>
      </c>
      <c r="AB137" s="88">
        <v>1</v>
      </c>
      <c r="AC137" s="88">
        <v>0</v>
      </c>
      <c r="AD137" s="88">
        <v>0</v>
      </c>
      <c r="AE137" s="88" t="s">
        <v>1133</v>
      </c>
      <c r="AF137" s="88">
        <v>0</v>
      </c>
      <c r="AG137" s="88">
        <v>0</v>
      </c>
      <c r="AH137" s="88" t="s">
        <v>1133</v>
      </c>
      <c r="AI137" s="88" t="s">
        <v>1133</v>
      </c>
      <c r="AJ137" s="88" t="s">
        <v>1133</v>
      </c>
      <c r="AK137" s="88">
        <v>2</v>
      </c>
      <c r="AL137" s="88">
        <v>20</v>
      </c>
      <c r="AM137" s="88">
        <v>9</v>
      </c>
      <c r="AN137" s="88">
        <v>0</v>
      </c>
      <c r="AO137" s="88">
        <v>1</v>
      </c>
      <c r="AP137" s="88" t="s">
        <v>1134</v>
      </c>
      <c r="AQ137" s="88" t="s">
        <v>1133</v>
      </c>
      <c r="AR137" s="88">
        <v>0</v>
      </c>
      <c r="AS137" s="88"/>
      <c r="AT137" s="88"/>
      <c r="AU137" s="88">
        <v>0</v>
      </c>
      <c r="AV137" s="88" t="s">
        <v>1133</v>
      </c>
      <c r="AW137" s="88" t="s">
        <v>1133</v>
      </c>
      <c r="AX137" s="88">
        <v>0</v>
      </c>
      <c r="AY137" s="88">
        <v>0</v>
      </c>
      <c r="AZ137" s="88">
        <v>0</v>
      </c>
      <c r="BA137" s="88">
        <v>0</v>
      </c>
      <c r="BB137" s="88" t="s">
        <v>0</v>
      </c>
    </row>
    <row r="138" spans="1:54">
      <c r="A138" s="88">
        <v>138</v>
      </c>
      <c r="B138" s="88">
        <v>138</v>
      </c>
      <c r="C138" s="88"/>
      <c r="D138" s="88" t="s">
        <v>138</v>
      </c>
      <c r="E138" s="88">
        <v>0</v>
      </c>
      <c r="F138" s="88">
        <v>1146</v>
      </c>
      <c r="G138" s="88">
        <v>1</v>
      </c>
      <c r="H138" s="88">
        <v>2</v>
      </c>
      <c r="I138" s="88">
        <v>2</v>
      </c>
      <c r="J138" s="88">
        <v>0</v>
      </c>
      <c r="K138" s="88">
        <v>0</v>
      </c>
      <c r="L138" s="88">
        <v>1</v>
      </c>
      <c r="M138" s="88">
        <v>20</v>
      </c>
      <c r="N138" s="88">
        <v>34</v>
      </c>
      <c r="O138" s="88">
        <v>1</v>
      </c>
      <c r="P138" s="88">
        <v>1</v>
      </c>
      <c r="Q138" s="88">
        <v>1</v>
      </c>
      <c r="R138" s="88">
        <v>20</v>
      </c>
      <c r="S138" s="88">
        <v>10</v>
      </c>
      <c r="T138" s="88">
        <v>0</v>
      </c>
      <c r="U138" s="88">
        <v>0</v>
      </c>
      <c r="V138" s="88">
        <v>0</v>
      </c>
      <c r="W138" s="88">
        <v>0</v>
      </c>
      <c r="X138" s="88">
        <v>20</v>
      </c>
      <c r="Y138" s="88">
        <v>0</v>
      </c>
      <c r="Z138" s="88">
        <v>10</v>
      </c>
      <c r="AA138" s="88">
        <v>0</v>
      </c>
      <c r="AB138" s="88">
        <v>1</v>
      </c>
      <c r="AC138" s="88">
        <v>0</v>
      </c>
      <c r="AD138" s="88">
        <v>0</v>
      </c>
      <c r="AE138" s="88" t="s">
        <v>1133</v>
      </c>
      <c r="AF138" s="88">
        <v>0</v>
      </c>
      <c r="AG138" s="88">
        <v>0</v>
      </c>
      <c r="AH138" s="88" t="s">
        <v>1133</v>
      </c>
      <c r="AI138" s="88" t="s">
        <v>1133</v>
      </c>
      <c r="AJ138" s="88" t="s">
        <v>1133</v>
      </c>
      <c r="AK138" s="88">
        <v>2</v>
      </c>
      <c r="AL138" s="88">
        <v>20</v>
      </c>
      <c r="AM138" s="88">
        <v>9</v>
      </c>
      <c r="AN138" s="88">
        <v>0</v>
      </c>
      <c r="AO138" s="88">
        <v>1</v>
      </c>
      <c r="AP138" s="88" t="s">
        <v>1134</v>
      </c>
      <c r="AQ138" s="88" t="s">
        <v>1133</v>
      </c>
      <c r="AR138" s="88">
        <v>0</v>
      </c>
      <c r="AS138" s="88"/>
      <c r="AT138" s="88"/>
      <c r="AU138" s="88">
        <v>0</v>
      </c>
      <c r="AV138" s="88" t="s">
        <v>1133</v>
      </c>
      <c r="AW138" s="88" t="s">
        <v>1133</v>
      </c>
      <c r="AX138" s="88">
        <v>0</v>
      </c>
      <c r="AY138" s="88">
        <v>0</v>
      </c>
      <c r="AZ138" s="88">
        <v>0</v>
      </c>
      <c r="BA138" s="88">
        <v>0</v>
      </c>
      <c r="BB138" s="88" t="s">
        <v>0</v>
      </c>
    </row>
    <row r="139" spans="1:54">
      <c r="A139" s="88">
        <v>139</v>
      </c>
      <c r="B139" s="88">
        <v>139</v>
      </c>
      <c r="C139" s="88"/>
      <c r="D139" s="88" t="s">
        <v>139</v>
      </c>
      <c r="E139" s="88">
        <v>0</v>
      </c>
      <c r="F139" s="88">
        <v>1146</v>
      </c>
      <c r="G139" s="88">
        <v>1</v>
      </c>
      <c r="H139" s="88">
        <v>2</v>
      </c>
      <c r="I139" s="88">
        <v>2</v>
      </c>
      <c r="J139" s="88">
        <v>0</v>
      </c>
      <c r="K139" s="88">
        <v>0</v>
      </c>
      <c r="L139" s="88">
        <v>1</v>
      </c>
      <c r="M139" s="88">
        <v>30</v>
      </c>
      <c r="N139" s="88">
        <v>34</v>
      </c>
      <c r="O139" s="88">
        <v>1</v>
      </c>
      <c r="P139" s="88">
        <v>1</v>
      </c>
      <c r="Q139" s="88">
        <v>1</v>
      </c>
      <c r="R139" s="88">
        <v>20</v>
      </c>
      <c r="S139" s="88">
        <v>10</v>
      </c>
      <c r="T139" s="88">
        <v>0</v>
      </c>
      <c r="U139" s="88">
        <v>0</v>
      </c>
      <c r="V139" s="88">
        <v>0</v>
      </c>
      <c r="W139" s="88">
        <v>0</v>
      </c>
      <c r="X139" s="88">
        <v>20</v>
      </c>
      <c r="Y139" s="88">
        <v>0</v>
      </c>
      <c r="Z139" s="88">
        <v>10</v>
      </c>
      <c r="AA139" s="88">
        <v>0</v>
      </c>
      <c r="AB139" s="88">
        <v>1</v>
      </c>
      <c r="AC139" s="88">
        <v>0</v>
      </c>
      <c r="AD139" s="88">
        <v>0</v>
      </c>
      <c r="AE139" s="88" t="s">
        <v>1133</v>
      </c>
      <c r="AF139" s="88">
        <v>0</v>
      </c>
      <c r="AG139" s="88">
        <v>0</v>
      </c>
      <c r="AH139" s="88" t="s">
        <v>1133</v>
      </c>
      <c r="AI139" s="88" t="s">
        <v>1133</v>
      </c>
      <c r="AJ139" s="88" t="s">
        <v>1133</v>
      </c>
      <c r="AK139" s="88">
        <v>2</v>
      </c>
      <c r="AL139" s="88">
        <v>20</v>
      </c>
      <c r="AM139" s="88">
        <v>9</v>
      </c>
      <c r="AN139" s="88">
        <v>0</v>
      </c>
      <c r="AO139" s="88">
        <v>1</v>
      </c>
      <c r="AP139" s="88" t="s">
        <v>1134</v>
      </c>
      <c r="AQ139" s="88" t="s">
        <v>1133</v>
      </c>
      <c r="AR139" s="88">
        <v>0</v>
      </c>
      <c r="AS139" s="88"/>
      <c r="AT139" s="88"/>
      <c r="AU139" s="88">
        <v>0</v>
      </c>
      <c r="AV139" s="88" t="s">
        <v>1133</v>
      </c>
      <c r="AW139" s="88" t="s">
        <v>1133</v>
      </c>
      <c r="AX139" s="88">
        <v>0</v>
      </c>
      <c r="AY139" s="88">
        <v>0</v>
      </c>
      <c r="AZ139" s="88">
        <v>0</v>
      </c>
      <c r="BA139" s="88">
        <v>0</v>
      </c>
      <c r="BB139" s="88" t="s">
        <v>0</v>
      </c>
    </row>
    <row r="140" spans="1:54">
      <c r="A140" s="88">
        <v>140</v>
      </c>
      <c r="B140" s="88">
        <v>140</v>
      </c>
      <c r="C140" s="88"/>
      <c r="D140" s="88" t="s">
        <v>140</v>
      </c>
      <c r="E140" s="88">
        <v>0</v>
      </c>
      <c r="F140" s="88">
        <v>1146</v>
      </c>
      <c r="G140" s="88">
        <v>1</v>
      </c>
      <c r="H140" s="88">
        <v>2</v>
      </c>
      <c r="I140" s="88">
        <v>2</v>
      </c>
      <c r="J140" s="88">
        <v>0</v>
      </c>
      <c r="K140" s="88">
        <v>0</v>
      </c>
      <c r="L140" s="88">
        <v>1</v>
      </c>
      <c r="M140" s="88">
        <v>40</v>
      </c>
      <c r="N140" s="88">
        <v>34</v>
      </c>
      <c r="O140" s="88">
        <v>1</v>
      </c>
      <c r="P140" s="88">
        <v>1</v>
      </c>
      <c r="Q140" s="88">
        <v>1</v>
      </c>
      <c r="R140" s="88">
        <v>20</v>
      </c>
      <c r="S140" s="88">
        <v>10</v>
      </c>
      <c r="T140" s="88">
        <v>0</v>
      </c>
      <c r="U140" s="88">
        <v>0</v>
      </c>
      <c r="V140" s="88">
        <v>0</v>
      </c>
      <c r="W140" s="88">
        <v>0</v>
      </c>
      <c r="X140" s="88">
        <v>20</v>
      </c>
      <c r="Y140" s="88">
        <v>0</v>
      </c>
      <c r="Z140" s="88">
        <v>10</v>
      </c>
      <c r="AA140" s="88">
        <v>0</v>
      </c>
      <c r="AB140" s="88">
        <v>1</v>
      </c>
      <c r="AC140" s="88">
        <v>0</v>
      </c>
      <c r="AD140" s="88">
        <v>0</v>
      </c>
      <c r="AE140" s="88" t="s">
        <v>1133</v>
      </c>
      <c r="AF140" s="88">
        <v>0</v>
      </c>
      <c r="AG140" s="88">
        <v>0</v>
      </c>
      <c r="AH140" s="88" t="s">
        <v>1133</v>
      </c>
      <c r="AI140" s="88" t="s">
        <v>1133</v>
      </c>
      <c r="AJ140" s="88" t="s">
        <v>1133</v>
      </c>
      <c r="AK140" s="88">
        <v>2</v>
      </c>
      <c r="AL140" s="88">
        <v>20</v>
      </c>
      <c r="AM140" s="88">
        <v>9</v>
      </c>
      <c r="AN140" s="88">
        <v>0</v>
      </c>
      <c r="AO140" s="88">
        <v>1</v>
      </c>
      <c r="AP140" s="88" t="s">
        <v>1134</v>
      </c>
      <c r="AQ140" s="88" t="s">
        <v>1133</v>
      </c>
      <c r="AR140" s="88">
        <v>0</v>
      </c>
      <c r="AS140" s="88"/>
      <c r="AT140" s="88"/>
      <c r="AU140" s="88">
        <v>0</v>
      </c>
      <c r="AV140" s="88" t="s">
        <v>1133</v>
      </c>
      <c r="AW140" s="88" t="s">
        <v>1133</v>
      </c>
      <c r="AX140" s="88">
        <v>0</v>
      </c>
      <c r="AY140" s="88">
        <v>0</v>
      </c>
      <c r="AZ140" s="88">
        <v>0</v>
      </c>
      <c r="BA140" s="88">
        <v>0</v>
      </c>
      <c r="BB140" s="88" t="s">
        <v>0</v>
      </c>
    </row>
    <row r="141" spans="1:54">
      <c r="A141" s="88">
        <v>141</v>
      </c>
      <c r="B141" s="88">
        <v>141</v>
      </c>
      <c r="C141" s="88"/>
      <c r="D141" s="88" t="s">
        <v>141</v>
      </c>
      <c r="E141" s="88">
        <v>0</v>
      </c>
      <c r="F141" s="88">
        <v>1146</v>
      </c>
      <c r="G141" s="88">
        <v>1</v>
      </c>
      <c r="H141" s="88">
        <v>2</v>
      </c>
      <c r="I141" s="88">
        <v>2</v>
      </c>
      <c r="J141" s="88">
        <v>0</v>
      </c>
      <c r="K141" s="88">
        <v>0</v>
      </c>
      <c r="L141" s="88">
        <v>1</v>
      </c>
      <c r="M141" s="88">
        <v>50</v>
      </c>
      <c r="N141" s="88">
        <v>34</v>
      </c>
      <c r="O141" s="88">
        <v>1</v>
      </c>
      <c r="P141" s="88">
        <v>1</v>
      </c>
      <c r="Q141" s="88">
        <v>1</v>
      </c>
      <c r="R141" s="88">
        <v>20</v>
      </c>
      <c r="S141" s="88">
        <v>10</v>
      </c>
      <c r="T141" s="88">
        <v>0</v>
      </c>
      <c r="U141" s="88">
        <v>0</v>
      </c>
      <c r="V141" s="88">
        <v>0</v>
      </c>
      <c r="W141" s="88">
        <v>0</v>
      </c>
      <c r="X141" s="88">
        <v>20</v>
      </c>
      <c r="Y141" s="88">
        <v>0</v>
      </c>
      <c r="Z141" s="88">
        <v>10</v>
      </c>
      <c r="AA141" s="88">
        <v>0</v>
      </c>
      <c r="AB141" s="88">
        <v>1</v>
      </c>
      <c r="AC141" s="88">
        <v>0</v>
      </c>
      <c r="AD141" s="88">
        <v>0</v>
      </c>
      <c r="AE141" s="88" t="s">
        <v>1133</v>
      </c>
      <c r="AF141" s="88">
        <v>0</v>
      </c>
      <c r="AG141" s="88">
        <v>0</v>
      </c>
      <c r="AH141" s="88" t="s">
        <v>1133</v>
      </c>
      <c r="AI141" s="88" t="s">
        <v>1133</v>
      </c>
      <c r="AJ141" s="88" t="s">
        <v>1133</v>
      </c>
      <c r="AK141" s="88">
        <v>2</v>
      </c>
      <c r="AL141" s="88">
        <v>20</v>
      </c>
      <c r="AM141" s="88">
        <v>9</v>
      </c>
      <c r="AN141" s="88">
        <v>0</v>
      </c>
      <c r="AO141" s="88">
        <v>1</v>
      </c>
      <c r="AP141" s="88" t="s">
        <v>1134</v>
      </c>
      <c r="AQ141" s="88" t="s">
        <v>1133</v>
      </c>
      <c r="AR141" s="88">
        <v>0</v>
      </c>
      <c r="AS141" s="88"/>
      <c r="AT141" s="88"/>
      <c r="AU141" s="88">
        <v>0</v>
      </c>
      <c r="AV141" s="88" t="s">
        <v>1133</v>
      </c>
      <c r="AW141" s="88" t="s">
        <v>1133</v>
      </c>
      <c r="AX141" s="88">
        <v>0</v>
      </c>
      <c r="AY141" s="88">
        <v>0</v>
      </c>
      <c r="AZ141" s="88">
        <v>0</v>
      </c>
      <c r="BA141" s="88">
        <v>0</v>
      </c>
      <c r="BB141" s="88" t="s">
        <v>0</v>
      </c>
    </row>
    <row r="142" spans="1:54">
      <c r="A142" s="88">
        <v>142</v>
      </c>
      <c r="B142" s="88">
        <v>142</v>
      </c>
      <c r="C142" s="88"/>
      <c r="D142" s="88" t="s">
        <v>142</v>
      </c>
      <c r="E142" s="88">
        <v>0</v>
      </c>
      <c r="F142" s="88">
        <v>1146</v>
      </c>
      <c r="G142" s="88">
        <v>1</v>
      </c>
      <c r="H142" s="88">
        <v>2</v>
      </c>
      <c r="I142" s="88">
        <v>2</v>
      </c>
      <c r="J142" s="88">
        <v>0</v>
      </c>
      <c r="K142" s="88">
        <v>0</v>
      </c>
      <c r="L142" s="88">
        <v>1</v>
      </c>
      <c r="M142" s="88">
        <v>80</v>
      </c>
      <c r="N142" s="88">
        <v>34</v>
      </c>
      <c r="O142" s="88">
        <v>1</v>
      </c>
      <c r="P142" s="88">
        <v>1</v>
      </c>
      <c r="Q142" s="88">
        <v>1</v>
      </c>
      <c r="R142" s="88">
        <v>20</v>
      </c>
      <c r="S142" s="88">
        <v>10</v>
      </c>
      <c r="T142" s="88">
        <v>0</v>
      </c>
      <c r="U142" s="88">
        <v>0</v>
      </c>
      <c r="V142" s="88">
        <v>0</v>
      </c>
      <c r="W142" s="88">
        <v>0</v>
      </c>
      <c r="X142" s="88">
        <v>20</v>
      </c>
      <c r="Y142" s="88">
        <v>0</v>
      </c>
      <c r="Z142" s="88">
        <v>10</v>
      </c>
      <c r="AA142" s="88">
        <v>0</v>
      </c>
      <c r="AB142" s="88">
        <v>1</v>
      </c>
      <c r="AC142" s="88">
        <v>0</v>
      </c>
      <c r="AD142" s="88">
        <v>0</v>
      </c>
      <c r="AE142" s="88" t="s">
        <v>1133</v>
      </c>
      <c r="AF142" s="88">
        <v>0</v>
      </c>
      <c r="AG142" s="88">
        <v>0</v>
      </c>
      <c r="AH142" s="88" t="s">
        <v>1133</v>
      </c>
      <c r="AI142" s="88" t="s">
        <v>1133</v>
      </c>
      <c r="AJ142" s="88" t="s">
        <v>1133</v>
      </c>
      <c r="AK142" s="88">
        <v>2</v>
      </c>
      <c r="AL142" s="88">
        <v>20</v>
      </c>
      <c r="AM142" s="88">
        <v>9</v>
      </c>
      <c r="AN142" s="88">
        <v>0</v>
      </c>
      <c r="AO142" s="88">
        <v>1</v>
      </c>
      <c r="AP142" s="88" t="s">
        <v>1134</v>
      </c>
      <c r="AQ142" s="88" t="s">
        <v>1133</v>
      </c>
      <c r="AR142" s="88">
        <v>0</v>
      </c>
      <c r="AS142" s="88"/>
      <c r="AT142" s="88"/>
      <c r="AU142" s="88">
        <v>0</v>
      </c>
      <c r="AV142" s="88" t="s">
        <v>1133</v>
      </c>
      <c r="AW142" s="88" t="s">
        <v>1133</v>
      </c>
      <c r="AX142" s="88">
        <v>0</v>
      </c>
      <c r="AY142" s="88">
        <v>0</v>
      </c>
      <c r="AZ142" s="88">
        <v>0</v>
      </c>
      <c r="BA142" s="88">
        <v>0</v>
      </c>
      <c r="BB142" s="88" t="s">
        <v>0</v>
      </c>
    </row>
    <row r="143" spans="1:54">
      <c r="A143" s="88">
        <v>143</v>
      </c>
      <c r="B143" s="88">
        <v>143</v>
      </c>
      <c r="C143" s="88"/>
      <c r="D143" s="88" t="s">
        <v>143</v>
      </c>
      <c r="E143" s="88">
        <v>0</v>
      </c>
      <c r="F143" s="88">
        <v>1146</v>
      </c>
      <c r="G143" s="88">
        <v>1</v>
      </c>
      <c r="H143" s="88">
        <v>2</v>
      </c>
      <c r="I143" s="88">
        <v>2</v>
      </c>
      <c r="J143" s="88">
        <v>0</v>
      </c>
      <c r="K143" s="88">
        <v>0</v>
      </c>
      <c r="L143" s="88">
        <v>1</v>
      </c>
      <c r="M143" s="88">
        <v>600</v>
      </c>
      <c r="N143" s="88">
        <v>34</v>
      </c>
      <c r="O143" s="88">
        <v>1</v>
      </c>
      <c r="P143" s="88">
        <v>1</v>
      </c>
      <c r="Q143" s="88">
        <v>1</v>
      </c>
      <c r="R143" s="88">
        <v>20</v>
      </c>
      <c r="S143" s="88">
        <v>10</v>
      </c>
      <c r="T143" s="88">
        <v>0</v>
      </c>
      <c r="U143" s="88">
        <v>0</v>
      </c>
      <c r="V143" s="88">
        <v>0</v>
      </c>
      <c r="W143" s="88">
        <v>0</v>
      </c>
      <c r="X143" s="88">
        <v>20</v>
      </c>
      <c r="Y143" s="88">
        <v>0</v>
      </c>
      <c r="Z143" s="88">
        <v>10</v>
      </c>
      <c r="AA143" s="88">
        <v>0</v>
      </c>
      <c r="AB143" s="88">
        <v>1</v>
      </c>
      <c r="AC143" s="88">
        <v>0</v>
      </c>
      <c r="AD143" s="88">
        <v>0</v>
      </c>
      <c r="AE143" s="88" t="s">
        <v>1133</v>
      </c>
      <c r="AF143" s="88">
        <v>0</v>
      </c>
      <c r="AG143" s="88">
        <v>0</v>
      </c>
      <c r="AH143" s="88" t="s">
        <v>1133</v>
      </c>
      <c r="AI143" s="88" t="s">
        <v>1133</v>
      </c>
      <c r="AJ143" s="88" t="s">
        <v>1133</v>
      </c>
      <c r="AK143" s="88">
        <v>2</v>
      </c>
      <c r="AL143" s="88">
        <v>20</v>
      </c>
      <c r="AM143" s="88">
        <v>9</v>
      </c>
      <c r="AN143" s="88">
        <v>0</v>
      </c>
      <c r="AO143" s="88">
        <v>1</v>
      </c>
      <c r="AP143" s="88" t="s">
        <v>1134</v>
      </c>
      <c r="AQ143" s="88" t="s">
        <v>1133</v>
      </c>
      <c r="AR143" s="88">
        <v>0</v>
      </c>
      <c r="AS143" s="88"/>
      <c r="AT143" s="88"/>
      <c r="AU143" s="88">
        <v>0</v>
      </c>
      <c r="AV143" s="88" t="s">
        <v>1133</v>
      </c>
      <c r="AW143" s="88" t="s">
        <v>1133</v>
      </c>
      <c r="AX143" s="88">
        <v>0</v>
      </c>
      <c r="AY143" s="88">
        <v>0</v>
      </c>
      <c r="AZ143" s="88">
        <v>0</v>
      </c>
      <c r="BA143" s="88">
        <v>0</v>
      </c>
      <c r="BB143" s="88" t="s">
        <v>0</v>
      </c>
    </row>
    <row r="144" spans="1:54">
      <c r="A144" s="88">
        <v>144</v>
      </c>
      <c r="B144" s="88">
        <v>144</v>
      </c>
      <c r="C144" s="88"/>
      <c r="D144" s="88" t="s">
        <v>144</v>
      </c>
      <c r="E144" s="88">
        <v>0</v>
      </c>
      <c r="F144" s="88">
        <v>1146</v>
      </c>
      <c r="G144" s="88">
        <v>1</v>
      </c>
      <c r="H144" s="88">
        <v>2</v>
      </c>
      <c r="I144" s="88">
        <v>2</v>
      </c>
      <c r="J144" s="88">
        <v>0</v>
      </c>
      <c r="K144" s="88">
        <v>0</v>
      </c>
      <c r="L144" s="88">
        <v>1</v>
      </c>
      <c r="M144" s="88">
        <v>800</v>
      </c>
      <c r="N144" s="88">
        <v>34</v>
      </c>
      <c r="O144" s="88">
        <v>1</v>
      </c>
      <c r="P144" s="88">
        <v>1</v>
      </c>
      <c r="Q144" s="88">
        <v>1</v>
      </c>
      <c r="R144" s="88">
        <v>20</v>
      </c>
      <c r="S144" s="88">
        <v>10</v>
      </c>
      <c r="T144" s="88">
        <v>0</v>
      </c>
      <c r="U144" s="88">
        <v>0</v>
      </c>
      <c r="V144" s="88">
        <v>0</v>
      </c>
      <c r="W144" s="88">
        <v>0</v>
      </c>
      <c r="X144" s="88">
        <v>20</v>
      </c>
      <c r="Y144" s="88">
        <v>0</v>
      </c>
      <c r="Z144" s="88">
        <v>10</v>
      </c>
      <c r="AA144" s="88">
        <v>0</v>
      </c>
      <c r="AB144" s="88">
        <v>1</v>
      </c>
      <c r="AC144" s="88">
        <v>0</v>
      </c>
      <c r="AD144" s="88">
        <v>0</v>
      </c>
      <c r="AE144" s="88" t="s">
        <v>1133</v>
      </c>
      <c r="AF144" s="88">
        <v>0</v>
      </c>
      <c r="AG144" s="88">
        <v>0</v>
      </c>
      <c r="AH144" s="88" t="s">
        <v>1133</v>
      </c>
      <c r="AI144" s="88" t="s">
        <v>1133</v>
      </c>
      <c r="AJ144" s="88" t="s">
        <v>1133</v>
      </c>
      <c r="AK144" s="88">
        <v>2</v>
      </c>
      <c r="AL144" s="88">
        <v>20</v>
      </c>
      <c r="AM144" s="88">
        <v>9</v>
      </c>
      <c r="AN144" s="88">
        <v>0</v>
      </c>
      <c r="AO144" s="88">
        <v>1</v>
      </c>
      <c r="AP144" s="88" t="s">
        <v>1134</v>
      </c>
      <c r="AQ144" s="88" t="s">
        <v>1133</v>
      </c>
      <c r="AR144" s="88">
        <v>0</v>
      </c>
      <c r="AS144" s="88"/>
      <c r="AT144" s="88"/>
      <c r="AU144" s="88">
        <v>0</v>
      </c>
      <c r="AV144" s="88" t="s">
        <v>1133</v>
      </c>
      <c r="AW144" s="88" t="s">
        <v>1133</v>
      </c>
      <c r="AX144" s="88">
        <v>0</v>
      </c>
      <c r="AY144" s="88">
        <v>0</v>
      </c>
      <c r="AZ144" s="88">
        <v>0</v>
      </c>
      <c r="BA144" s="88">
        <v>0</v>
      </c>
      <c r="BB144" s="88" t="s">
        <v>0</v>
      </c>
    </row>
    <row r="145" spans="1:54">
      <c r="A145" s="88">
        <v>145</v>
      </c>
      <c r="B145" s="88">
        <v>145</v>
      </c>
      <c r="C145" s="88"/>
      <c r="D145" s="88" t="s">
        <v>145</v>
      </c>
      <c r="E145" s="88">
        <v>0</v>
      </c>
      <c r="F145" s="88">
        <v>1146</v>
      </c>
      <c r="G145" s="88">
        <v>1</v>
      </c>
      <c r="H145" s="88">
        <v>2</v>
      </c>
      <c r="I145" s="88">
        <v>2</v>
      </c>
      <c r="J145" s="88">
        <v>0</v>
      </c>
      <c r="K145" s="88">
        <v>0</v>
      </c>
      <c r="L145" s="88">
        <v>1</v>
      </c>
      <c r="M145" s="88">
        <v>960</v>
      </c>
      <c r="N145" s="88">
        <v>34</v>
      </c>
      <c r="O145" s="88">
        <v>1</v>
      </c>
      <c r="P145" s="88">
        <v>1</v>
      </c>
      <c r="Q145" s="88">
        <v>1</v>
      </c>
      <c r="R145" s="88">
        <v>20</v>
      </c>
      <c r="S145" s="88">
        <v>10</v>
      </c>
      <c r="T145" s="88">
        <v>0</v>
      </c>
      <c r="U145" s="88">
        <v>0</v>
      </c>
      <c r="V145" s="88">
        <v>0</v>
      </c>
      <c r="W145" s="88">
        <v>0</v>
      </c>
      <c r="X145" s="88">
        <v>20</v>
      </c>
      <c r="Y145" s="88">
        <v>0</v>
      </c>
      <c r="Z145" s="88">
        <v>10</v>
      </c>
      <c r="AA145" s="88">
        <v>0</v>
      </c>
      <c r="AB145" s="88">
        <v>1</v>
      </c>
      <c r="AC145" s="88">
        <v>0</v>
      </c>
      <c r="AD145" s="88">
        <v>0</v>
      </c>
      <c r="AE145" s="88" t="s">
        <v>1133</v>
      </c>
      <c r="AF145" s="88">
        <v>0</v>
      </c>
      <c r="AG145" s="88">
        <v>0</v>
      </c>
      <c r="AH145" s="88" t="s">
        <v>1133</v>
      </c>
      <c r="AI145" s="88" t="s">
        <v>1133</v>
      </c>
      <c r="AJ145" s="88" t="s">
        <v>1133</v>
      </c>
      <c r="AK145" s="88">
        <v>2</v>
      </c>
      <c r="AL145" s="88">
        <v>20</v>
      </c>
      <c r="AM145" s="88">
        <v>9</v>
      </c>
      <c r="AN145" s="88">
        <v>0</v>
      </c>
      <c r="AO145" s="88">
        <v>1</v>
      </c>
      <c r="AP145" s="88" t="s">
        <v>1134</v>
      </c>
      <c r="AQ145" s="88" t="s">
        <v>1133</v>
      </c>
      <c r="AR145" s="88">
        <v>0</v>
      </c>
      <c r="AS145" s="88"/>
      <c r="AT145" s="88"/>
      <c r="AU145" s="88">
        <v>0</v>
      </c>
      <c r="AV145" s="88" t="s">
        <v>1133</v>
      </c>
      <c r="AW145" s="88" t="s">
        <v>1133</v>
      </c>
      <c r="AX145" s="88">
        <v>0</v>
      </c>
      <c r="AY145" s="88">
        <v>0</v>
      </c>
      <c r="AZ145" s="88">
        <v>0</v>
      </c>
      <c r="BA145" s="88">
        <v>0</v>
      </c>
      <c r="BB145" s="88" t="s">
        <v>0</v>
      </c>
    </row>
    <row r="146" spans="1:54">
      <c r="A146" s="88">
        <v>146</v>
      </c>
      <c r="B146" s="88">
        <v>146</v>
      </c>
      <c r="C146" s="88"/>
      <c r="D146" s="88" t="s">
        <v>146</v>
      </c>
      <c r="E146" s="88">
        <v>0</v>
      </c>
      <c r="F146" s="88">
        <v>1146</v>
      </c>
      <c r="G146" s="88">
        <v>1</v>
      </c>
      <c r="H146" s="88">
        <v>2</v>
      </c>
      <c r="I146" s="88">
        <v>2</v>
      </c>
      <c r="J146" s="88">
        <v>0</v>
      </c>
      <c r="K146" s="88">
        <v>0</v>
      </c>
      <c r="L146" s="88">
        <v>1</v>
      </c>
      <c r="M146" s="88">
        <v>1280</v>
      </c>
      <c r="N146" s="88">
        <v>34</v>
      </c>
      <c r="O146" s="88">
        <v>1</v>
      </c>
      <c r="P146" s="88">
        <v>1</v>
      </c>
      <c r="Q146" s="88">
        <v>1</v>
      </c>
      <c r="R146" s="88">
        <v>20</v>
      </c>
      <c r="S146" s="88">
        <v>10</v>
      </c>
      <c r="T146" s="88">
        <v>0</v>
      </c>
      <c r="U146" s="88">
        <v>0</v>
      </c>
      <c r="V146" s="88">
        <v>0</v>
      </c>
      <c r="W146" s="88">
        <v>0</v>
      </c>
      <c r="X146" s="88">
        <v>20</v>
      </c>
      <c r="Y146" s="88">
        <v>0</v>
      </c>
      <c r="Z146" s="88">
        <v>10</v>
      </c>
      <c r="AA146" s="88">
        <v>0</v>
      </c>
      <c r="AB146" s="88">
        <v>1</v>
      </c>
      <c r="AC146" s="88">
        <v>0</v>
      </c>
      <c r="AD146" s="88">
        <v>0</v>
      </c>
      <c r="AE146" s="88" t="s">
        <v>1133</v>
      </c>
      <c r="AF146" s="88">
        <v>0</v>
      </c>
      <c r="AG146" s="88">
        <v>0</v>
      </c>
      <c r="AH146" s="88" t="s">
        <v>1133</v>
      </c>
      <c r="AI146" s="88" t="s">
        <v>1133</v>
      </c>
      <c r="AJ146" s="88" t="s">
        <v>1133</v>
      </c>
      <c r="AK146" s="88">
        <v>2</v>
      </c>
      <c r="AL146" s="88">
        <v>20</v>
      </c>
      <c r="AM146" s="88">
        <v>9</v>
      </c>
      <c r="AN146" s="88">
        <v>0</v>
      </c>
      <c r="AO146" s="88">
        <v>1</v>
      </c>
      <c r="AP146" s="88" t="s">
        <v>1134</v>
      </c>
      <c r="AQ146" s="88" t="s">
        <v>1133</v>
      </c>
      <c r="AR146" s="88">
        <v>0</v>
      </c>
      <c r="AS146" s="88"/>
      <c r="AT146" s="88"/>
      <c r="AU146" s="88">
        <v>0</v>
      </c>
      <c r="AV146" s="88" t="s">
        <v>1133</v>
      </c>
      <c r="AW146" s="88" t="s">
        <v>1133</v>
      </c>
      <c r="AX146" s="88">
        <v>0</v>
      </c>
      <c r="AY146" s="88">
        <v>0</v>
      </c>
      <c r="AZ146" s="88">
        <v>0</v>
      </c>
      <c r="BA146" s="88">
        <v>0</v>
      </c>
      <c r="BB146" s="88" t="s">
        <v>0</v>
      </c>
    </row>
    <row r="147" spans="1:54">
      <c r="A147" s="88">
        <v>147</v>
      </c>
      <c r="B147" s="88">
        <v>147</v>
      </c>
      <c r="C147" s="88"/>
      <c r="D147" s="88" t="s">
        <v>147</v>
      </c>
      <c r="E147" s="88">
        <v>0</v>
      </c>
      <c r="F147" s="88">
        <v>1146</v>
      </c>
      <c r="G147" s="88">
        <v>1</v>
      </c>
      <c r="H147" s="88">
        <v>2</v>
      </c>
      <c r="I147" s="88">
        <v>2</v>
      </c>
      <c r="J147" s="88">
        <v>0</v>
      </c>
      <c r="K147" s="88">
        <v>0</v>
      </c>
      <c r="L147" s="88">
        <v>1</v>
      </c>
      <c r="M147" s="88">
        <v>2</v>
      </c>
      <c r="N147" s="88">
        <v>34</v>
      </c>
      <c r="O147" s="88">
        <v>1</v>
      </c>
      <c r="P147" s="88">
        <v>1</v>
      </c>
      <c r="Q147" s="88">
        <v>1</v>
      </c>
      <c r="R147" s="88">
        <v>20</v>
      </c>
      <c r="S147" s="88">
        <v>10</v>
      </c>
      <c r="T147" s="88">
        <v>0</v>
      </c>
      <c r="U147" s="88">
        <v>0</v>
      </c>
      <c r="V147" s="88">
        <v>0</v>
      </c>
      <c r="W147" s="88">
        <v>0</v>
      </c>
      <c r="X147" s="88">
        <v>20</v>
      </c>
      <c r="Y147" s="88">
        <v>0</v>
      </c>
      <c r="Z147" s="88">
        <v>10</v>
      </c>
      <c r="AA147" s="88">
        <v>0</v>
      </c>
      <c r="AB147" s="88">
        <v>1</v>
      </c>
      <c r="AC147" s="88">
        <v>0</v>
      </c>
      <c r="AD147" s="88">
        <v>0</v>
      </c>
      <c r="AE147" s="88" t="s">
        <v>1133</v>
      </c>
      <c r="AF147" s="88">
        <v>0</v>
      </c>
      <c r="AG147" s="88">
        <v>0</v>
      </c>
      <c r="AH147" s="88" t="s">
        <v>1133</v>
      </c>
      <c r="AI147" s="88" t="s">
        <v>1133</v>
      </c>
      <c r="AJ147" s="88" t="s">
        <v>1133</v>
      </c>
      <c r="AK147" s="88">
        <v>2</v>
      </c>
      <c r="AL147" s="88">
        <v>20</v>
      </c>
      <c r="AM147" s="88">
        <v>9</v>
      </c>
      <c r="AN147" s="88">
        <v>0</v>
      </c>
      <c r="AO147" s="88">
        <v>1</v>
      </c>
      <c r="AP147" s="88" t="s">
        <v>1134</v>
      </c>
      <c r="AQ147" s="88" t="s">
        <v>1133</v>
      </c>
      <c r="AR147" s="88">
        <v>0</v>
      </c>
      <c r="AS147" s="88"/>
      <c r="AT147" s="88"/>
      <c r="AU147" s="88">
        <v>0</v>
      </c>
      <c r="AV147" s="88" t="s">
        <v>1133</v>
      </c>
      <c r="AW147" s="88" t="s">
        <v>1133</v>
      </c>
      <c r="AX147" s="88">
        <v>0</v>
      </c>
      <c r="AY147" s="88">
        <v>0</v>
      </c>
      <c r="AZ147" s="88">
        <v>0</v>
      </c>
      <c r="BA147" s="88">
        <v>0</v>
      </c>
      <c r="BB147" s="88" t="s">
        <v>0</v>
      </c>
    </row>
    <row r="148" spans="1:54">
      <c r="A148" s="88">
        <v>148</v>
      </c>
      <c r="B148" s="88">
        <v>148</v>
      </c>
      <c r="C148" s="88"/>
      <c r="D148" s="88" t="s">
        <v>148</v>
      </c>
      <c r="E148" s="88">
        <v>0</v>
      </c>
      <c r="F148" s="88">
        <v>1146</v>
      </c>
      <c r="G148" s="88">
        <v>1</v>
      </c>
      <c r="H148" s="88">
        <v>2</v>
      </c>
      <c r="I148" s="88">
        <v>2</v>
      </c>
      <c r="J148" s="88">
        <v>0</v>
      </c>
      <c r="K148" s="88">
        <v>0</v>
      </c>
      <c r="L148" s="88">
        <v>1</v>
      </c>
      <c r="M148" s="88">
        <v>5</v>
      </c>
      <c r="N148" s="88">
        <v>34</v>
      </c>
      <c r="O148" s="88">
        <v>1</v>
      </c>
      <c r="P148" s="88">
        <v>1</v>
      </c>
      <c r="Q148" s="88">
        <v>1</v>
      </c>
      <c r="R148" s="88">
        <v>20</v>
      </c>
      <c r="S148" s="88">
        <v>10</v>
      </c>
      <c r="T148" s="88">
        <v>0</v>
      </c>
      <c r="U148" s="88">
        <v>0</v>
      </c>
      <c r="V148" s="88">
        <v>0</v>
      </c>
      <c r="W148" s="88">
        <v>0</v>
      </c>
      <c r="X148" s="88">
        <v>20</v>
      </c>
      <c r="Y148" s="88">
        <v>0</v>
      </c>
      <c r="Z148" s="88">
        <v>10</v>
      </c>
      <c r="AA148" s="88">
        <v>0</v>
      </c>
      <c r="AB148" s="88">
        <v>1</v>
      </c>
      <c r="AC148" s="88">
        <v>0</v>
      </c>
      <c r="AD148" s="88">
        <v>0</v>
      </c>
      <c r="AE148" s="88" t="s">
        <v>1133</v>
      </c>
      <c r="AF148" s="88">
        <v>0</v>
      </c>
      <c r="AG148" s="88">
        <v>0</v>
      </c>
      <c r="AH148" s="88" t="s">
        <v>1133</v>
      </c>
      <c r="AI148" s="88" t="s">
        <v>1133</v>
      </c>
      <c r="AJ148" s="88" t="s">
        <v>1133</v>
      </c>
      <c r="AK148" s="88">
        <v>2</v>
      </c>
      <c r="AL148" s="88">
        <v>20</v>
      </c>
      <c r="AM148" s="88">
        <v>9</v>
      </c>
      <c r="AN148" s="88">
        <v>0</v>
      </c>
      <c r="AO148" s="88">
        <v>1</v>
      </c>
      <c r="AP148" s="88" t="s">
        <v>1134</v>
      </c>
      <c r="AQ148" s="88" t="s">
        <v>1133</v>
      </c>
      <c r="AR148" s="88">
        <v>0</v>
      </c>
      <c r="AS148" s="88"/>
      <c r="AT148" s="88"/>
      <c r="AU148" s="88">
        <v>0</v>
      </c>
      <c r="AV148" s="88" t="s">
        <v>1133</v>
      </c>
      <c r="AW148" s="88" t="s">
        <v>1133</v>
      </c>
      <c r="AX148" s="88">
        <v>0</v>
      </c>
      <c r="AY148" s="88">
        <v>0</v>
      </c>
      <c r="AZ148" s="88">
        <v>0</v>
      </c>
      <c r="BA148" s="88">
        <v>0</v>
      </c>
      <c r="BB148" s="88" t="s">
        <v>0</v>
      </c>
    </row>
    <row r="149" spans="1:54">
      <c r="A149" s="88">
        <v>149</v>
      </c>
      <c r="B149" s="88">
        <v>149</v>
      </c>
      <c r="C149" s="88"/>
      <c r="D149" s="88" t="s">
        <v>149</v>
      </c>
      <c r="E149" s="88">
        <v>0</v>
      </c>
      <c r="F149" s="88">
        <v>1146</v>
      </c>
      <c r="G149" s="88">
        <v>1</v>
      </c>
      <c r="H149" s="88">
        <v>2</v>
      </c>
      <c r="I149" s="88">
        <v>2</v>
      </c>
      <c r="J149" s="88">
        <v>0</v>
      </c>
      <c r="K149" s="88">
        <v>0</v>
      </c>
      <c r="L149" s="88">
        <v>1</v>
      </c>
      <c r="M149" s="88">
        <v>7</v>
      </c>
      <c r="N149" s="88">
        <v>34</v>
      </c>
      <c r="O149" s="88">
        <v>1</v>
      </c>
      <c r="P149" s="88">
        <v>1</v>
      </c>
      <c r="Q149" s="88">
        <v>1</v>
      </c>
      <c r="R149" s="88">
        <v>20</v>
      </c>
      <c r="S149" s="88">
        <v>10</v>
      </c>
      <c r="T149" s="88">
        <v>0</v>
      </c>
      <c r="U149" s="88">
        <v>0</v>
      </c>
      <c r="V149" s="88">
        <v>0</v>
      </c>
      <c r="W149" s="88">
        <v>0</v>
      </c>
      <c r="X149" s="88">
        <v>20</v>
      </c>
      <c r="Y149" s="88">
        <v>0</v>
      </c>
      <c r="Z149" s="88">
        <v>10</v>
      </c>
      <c r="AA149" s="88">
        <v>0</v>
      </c>
      <c r="AB149" s="88">
        <v>1</v>
      </c>
      <c r="AC149" s="88">
        <v>0</v>
      </c>
      <c r="AD149" s="88">
        <v>0</v>
      </c>
      <c r="AE149" s="88" t="s">
        <v>1133</v>
      </c>
      <c r="AF149" s="88">
        <v>0</v>
      </c>
      <c r="AG149" s="88">
        <v>0</v>
      </c>
      <c r="AH149" s="88" t="s">
        <v>1133</v>
      </c>
      <c r="AI149" s="88" t="s">
        <v>1133</v>
      </c>
      <c r="AJ149" s="88" t="s">
        <v>1133</v>
      </c>
      <c r="AK149" s="88">
        <v>2</v>
      </c>
      <c r="AL149" s="88">
        <v>20</v>
      </c>
      <c r="AM149" s="88">
        <v>9</v>
      </c>
      <c r="AN149" s="88">
        <v>0</v>
      </c>
      <c r="AO149" s="88">
        <v>1</v>
      </c>
      <c r="AP149" s="88" t="s">
        <v>1134</v>
      </c>
      <c r="AQ149" s="88" t="s">
        <v>1133</v>
      </c>
      <c r="AR149" s="88">
        <v>0</v>
      </c>
      <c r="AS149" s="88"/>
      <c r="AT149" s="88"/>
      <c r="AU149" s="88">
        <v>0</v>
      </c>
      <c r="AV149" s="88" t="s">
        <v>1133</v>
      </c>
      <c r="AW149" s="88" t="s">
        <v>1133</v>
      </c>
      <c r="AX149" s="88">
        <v>0</v>
      </c>
      <c r="AY149" s="88">
        <v>0</v>
      </c>
      <c r="AZ149" s="88">
        <v>0</v>
      </c>
      <c r="BA149" s="88">
        <v>0</v>
      </c>
      <c r="BB149" s="88" t="s">
        <v>0</v>
      </c>
    </row>
    <row r="150" spans="1:54">
      <c r="A150" s="88">
        <v>150</v>
      </c>
      <c r="B150" s="88">
        <v>150</v>
      </c>
      <c r="C150" s="88"/>
      <c r="D150" s="88" t="s">
        <v>150</v>
      </c>
      <c r="E150" s="88">
        <v>0</v>
      </c>
      <c r="F150" s="88">
        <v>1146</v>
      </c>
      <c r="G150" s="88">
        <v>1</v>
      </c>
      <c r="H150" s="88">
        <v>2</v>
      </c>
      <c r="I150" s="88">
        <v>2</v>
      </c>
      <c r="J150" s="88">
        <v>0</v>
      </c>
      <c r="K150" s="88">
        <v>0</v>
      </c>
      <c r="L150" s="88">
        <v>1</v>
      </c>
      <c r="M150" s="88">
        <v>10</v>
      </c>
      <c r="N150" s="88">
        <v>34</v>
      </c>
      <c r="O150" s="88">
        <v>1</v>
      </c>
      <c r="P150" s="88">
        <v>1</v>
      </c>
      <c r="Q150" s="88">
        <v>1</v>
      </c>
      <c r="R150" s="88">
        <v>20</v>
      </c>
      <c r="S150" s="88">
        <v>10</v>
      </c>
      <c r="T150" s="88">
        <v>0</v>
      </c>
      <c r="U150" s="88">
        <v>0</v>
      </c>
      <c r="V150" s="88">
        <v>0</v>
      </c>
      <c r="W150" s="88">
        <v>0</v>
      </c>
      <c r="X150" s="88">
        <v>20</v>
      </c>
      <c r="Y150" s="88">
        <v>0</v>
      </c>
      <c r="Z150" s="88">
        <v>10</v>
      </c>
      <c r="AA150" s="88">
        <v>0</v>
      </c>
      <c r="AB150" s="88">
        <v>1</v>
      </c>
      <c r="AC150" s="88">
        <v>0</v>
      </c>
      <c r="AD150" s="88">
        <v>0</v>
      </c>
      <c r="AE150" s="88" t="s">
        <v>1133</v>
      </c>
      <c r="AF150" s="88">
        <v>0</v>
      </c>
      <c r="AG150" s="88">
        <v>0</v>
      </c>
      <c r="AH150" s="88" t="s">
        <v>1133</v>
      </c>
      <c r="AI150" s="88" t="s">
        <v>1133</v>
      </c>
      <c r="AJ150" s="88" t="s">
        <v>1133</v>
      </c>
      <c r="AK150" s="88">
        <v>2</v>
      </c>
      <c r="AL150" s="88">
        <v>20</v>
      </c>
      <c r="AM150" s="88">
        <v>9</v>
      </c>
      <c r="AN150" s="88">
        <v>0</v>
      </c>
      <c r="AO150" s="88">
        <v>1</v>
      </c>
      <c r="AP150" s="88" t="s">
        <v>1134</v>
      </c>
      <c r="AQ150" s="88" t="s">
        <v>1133</v>
      </c>
      <c r="AR150" s="88">
        <v>0</v>
      </c>
      <c r="AS150" s="88"/>
      <c r="AT150" s="88"/>
      <c r="AU150" s="88">
        <v>0</v>
      </c>
      <c r="AV150" s="88" t="s">
        <v>1133</v>
      </c>
      <c r="AW150" s="88" t="s">
        <v>1133</v>
      </c>
      <c r="AX150" s="88">
        <v>0</v>
      </c>
      <c r="AY150" s="88">
        <v>0</v>
      </c>
      <c r="AZ150" s="88">
        <v>0</v>
      </c>
      <c r="BA150" s="88">
        <v>0</v>
      </c>
      <c r="BB150" s="88" t="s">
        <v>0</v>
      </c>
    </row>
    <row r="151" spans="1:54">
      <c r="A151" s="88">
        <v>151</v>
      </c>
      <c r="B151" s="88">
        <v>151</v>
      </c>
      <c r="C151" s="88"/>
      <c r="D151" s="88" t="s">
        <v>151</v>
      </c>
      <c r="E151" s="88">
        <v>0</v>
      </c>
      <c r="F151" s="88">
        <v>1146</v>
      </c>
      <c r="G151" s="88">
        <v>1</v>
      </c>
      <c r="H151" s="88">
        <v>2</v>
      </c>
      <c r="I151" s="88">
        <v>2</v>
      </c>
      <c r="J151" s="88">
        <v>0</v>
      </c>
      <c r="K151" s="88">
        <v>0</v>
      </c>
      <c r="L151" s="88">
        <v>1</v>
      </c>
      <c r="M151" s="88">
        <v>14</v>
      </c>
      <c r="N151" s="88">
        <v>34</v>
      </c>
      <c r="O151" s="88">
        <v>1</v>
      </c>
      <c r="P151" s="88">
        <v>1</v>
      </c>
      <c r="Q151" s="88">
        <v>1</v>
      </c>
      <c r="R151" s="88">
        <v>20</v>
      </c>
      <c r="S151" s="88">
        <v>10</v>
      </c>
      <c r="T151" s="88">
        <v>0</v>
      </c>
      <c r="U151" s="88">
        <v>0</v>
      </c>
      <c r="V151" s="88">
        <v>0</v>
      </c>
      <c r="W151" s="88">
        <v>0</v>
      </c>
      <c r="X151" s="88">
        <v>20</v>
      </c>
      <c r="Y151" s="88">
        <v>0</v>
      </c>
      <c r="Z151" s="88">
        <v>10</v>
      </c>
      <c r="AA151" s="88">
        <v>0</v>
      </c>
      <c r="AB151" s="88">
        <v>1</v>
      </c>
      <c r="AC151" s="88">
        <v>0</v>
      </c>
      <c r="AD151" s="88">
        <v>0</v>
      </c>
      <c r="AE151" s="88" t="s">
        <v>1133</v>
      </c>
      <c r="AF151" s="88">
        <v>0</v>
      </c>
      <c r="AG151" s="88">
        <v>0</v>
      </c>
      <c r="AH151" s="88" t="s">
        <v>1133</v>
      </c>
      <c r="AI151" s="88" t="s">
        <v>1133</v>
      </c>
      <c r="AJ151" s="88" t="s">
        <v>1133</v>
      </c>
      <c r="AK151" s="88">
        <v>2</v>
      </c>
      <c r="AL151" s="88">
        <v>20</v>
      </c>
      <c r="AM151" s="88">
        <v>9</v>
      </c>
      <c r="AN151" s="88">
        <v>0</v>
      </c>
      <c r="AO151" s="88">
        <v>1</v>
      </c>
      <c r="AP151" s="88" t="s">
        <v>1134</v>
      </c>
      <c r="AQ151" s="88" t="s">
        <v>1133</v>
      </c>
      <c r="AR151" s="88">
        <v>0</v>
      </c>
      <c r="AS151" s="88"/>
      <c r="AT151" s="88"/>
      <c r="AU151" s="88">
        <v>0</v>
      </c>
      <c r="AV151" s="88" t="s">
        <v>1133</v>
      </c>
      <c r="AW151" s="88" t="s">
        <v>1133</v>
      </c>
      <c r="AX151" s="88">
        <v>0</v>
      </c>
      <c r="AY151" s="88">
        <v>0</v>
      </c>
      <c r="AZ151" s="88">
        <v>0</v>
      </c>
      <c r="BA151" s="88">
        <v>0</v>
      </c>
      <c r="BB151" s="88" t="s">
        <v>0</v>
      </c>
    </row>
    <row r="152" spans="1:54">
      <c r="A152" s="88">
        <v>152</v>
      </c>
      <c r="B152" s="88">
        <v>152</v>
      </c>
      <c r="C152" s="88"/>
      <c r="D152" s="88" t="s">
        <v>152</v>
      </c>
      <c r="E152" s="88">
        <v>0</v>
      </c>
      <c r="F152" s="88">
        <v>1146</v>
      </c>
      <c r="G152" s="88">
        <v>1</v>
      </c>
      <c r="H152" s="88">
        <v>2</v>
      </c>
      <c r="I152" s="88">
        <v>2</v>
      </c>
      <c r="J152" s="88">
        <v>0</v>
      </c>
      <c r="K152" s="88">
        <v>0</v>
      </c>
      <c r="L152" s="88">
        <v>1</v>
      </c>
      <c r="M152" s="88">
        <v>16</v>
      </c>
      <c r="N152" s="88">
        <v>34</v>
      </c>
      <c r="O152" s="88">
        <v>1</v>
      </c>
      <c r="P152" s="88">
        <v>1</v>
      </c>
      <c r="Q152" s="88">
        <v>1</v>
      </c>
      <c r="R152" s="88">
        <v>20</v>
      </c>
      <c r="S152" s="88">
        <v>10</v>
      </c>
      <c r="T152" s="88">
        <v>0</v>
      </c>
      <c r="U152" s="88">
        <v>0</v>
      </c>
      <c r="V152" s="88">
        <v>0</v>
      </c>
      <c r="W152" s="88">
        <v>0</v>
      </c>
      <c r="X152" s="88">
        <v>20</v>
      </c>
      <c r="Y152" s="88">
        <v>0</v>
      </c>
      <c r="Z152" s="88">
        <v>10</v>
      </c>
      <c r="AA152" s="88">
        <v>0</v>
      </c>
      <c r="AB152" s="88">
        <v>1</v>
      </c>
      <c r="AC152" s="88">
        <v>0</v>
      </c>
      <c r="AD152" s="88">
        <v>0</v>
      </c>
      <c r="AE152" s="88" t="s">
        <v>1133</v>
      </c>
      <c r="AF152" s="88">
        <v>0</v>
      </c>
      <c r="AG152" s="88">
        <v>0</v>
      </c>
      <c r="AH152" s="88" t="s">
        <v>1133</v>
      </c>
      <c r="AI152" s="88" t="s">
        <v>1133</v>
      </c>
      <c r="AJ152" s="88" t="s">
        <v>1133</v>
      </c>
      <c r="AK152" s="88">
        <v>2</v>
      </c>
      <c r="AL152" s="88">
        <v>20</v>
      </c>
      <c r="AM152" s="88">
        <v>9</v>
      </c>
      <c r="AN152" s="88">
        <v>0</v>
      </c>
      <c r="AO152" s="88">
        <v>1</v>
      </c>
      <c r="AP152" s="88" t="s">
        <v>1134</v>
      </c>
      <c r="AQ152" s="88" t="s">
        <v>1133</v>
      </c>
      <c r="AR152" s="88">
        <v>0</v>
      </c>
      <c r="AS152" s="88"/>
      <c r="AT152" s="88"/>
      <c r="AU152" s="88">
        <v>0</v>
      </c>
      <c r="AV152" s="88" t="s">
        <v>1133</v>
      </c>
      <c r="AW152" s="88" t="s">
        <v>1133</v>
      </c>
      <c r="AX152" s="88">
        <v>0</v>
      </c>
      <c r="AY152" s="88">
        <v>0</v>
      </c>
      <c r="AZ152" s="88">
        <v>0</v>
      </c>
      <c r="BA152" s="88">
        <v>0</v>
      </c>
      <c r="BB152" s="88" t="s">
        <v>0</v>
      </c>
    </row>
    <row r="153" spans="1:54">
      <c r="A153" s="88">
        <v>153</v>
      </c>
      <c r="B153" s="88">
        <v>153</v>
      </c>
      <c r="C153" s="88"/>
      <c r="D153" s="88" t="s">
        <v>153</v>
      </c>
      <c r="E153" s="88">
        <v>0</v>
      </c>
      <c r="F153" s="88">
        <v>1146</v>
      </c>
      <c r="G153" s="88">
        <v>1</v>
      </c>
      <c r="H153" s="88">
        <v>2</v>
      </c>
      <c r="I153" s="88">
        <v>2</v>
      </c>
      <c r="J153" s="88">
        <v>0</v>
      </c>
      <c r="K153" s="88">
        <v>0</v>
      </c>
      <c r="L153" s="88">
        <v>1</v>
      </c>
      <c r="M153" s="88">
        <v>20</v>
      </c>
      <c r="N153" s="88">
        <v>34</v>
      </c>
      <c r="O153" s="88">
        <v>1</v>
      </c>
      <c r="P153" s="88">
        <v>1</v>
      </c>
      <c r="Q153" s="88">
        <v>1</v>
      </c>
      <c r="R153" s="88">
        <v>20</v>
      </c>
      <c r="S153" s="88">
        <v>10</v>
      </c>
      <c r="T153" s="88">
        <v>0</v>
      </c>
      <c r="U153" s="88">
        <v>0</v>
      </c>
      <c r="V153" s="88">
        <v>0</v>
      </c>
      <c r="W153" s="88">
        <v>0</v>
      </c>
      <c r="X153" s="88">
        <v>20</v>
      </c>
      <c r="Y153" s="88">
        <v>0</v>
      </c>
      <c r="Z153" s="88">
        <v>10</v>
      </c>
      <c r="AA153" s="88">
        <v>0</v>
      </c>
      <c r="AB153" s="88">
        <v>1</v>
      </c>
      <c r="AC153" s="88">
        <v>0</v>
      </c>
      <c r="AD153" s="88">
        <v>0</v>
      </c>
      <c r="AE153" s="88" t="s">
        <v>1133</v>
      </c>
      <c r="AF153" s="88">
        <v>0</v>
      </c>
      <c r="AG153" s="88">
        <v>0</v>
      </c>
      <c r="AH153" s="88" t="s">
        <v>1133</v>
      </c>
      <c r="AI153" s="88" t="s">
        <v>1133</v>
      </c>
      <c r="AJ153" s="88" t="s">
        <v>1133</v>
      </c>
      <c r="AK153" s="88">
        <v>2</v>
      </c>
      <c r="AL153" s="88">
        <v>20</v>
      </c>
      <c r="AM153" s="88">
        <v>9</v>
      </c>
      <c r="AN153" s="88">
        <v>0</v>
      </c>
      <c r="AO153" s="88">
        <v>1</v>
      </c>
      <c r="AP153" s="88" t="s">
        <v>1134</v>
      </c>
      <c r="AQ153" s="88" t="s">
        <v>1133</v>
      </c>
      <c r="AR153" s="88">
        <v>0</v>
      </c>
      <c r="AS153" s="88"/>
      <c r="AT153" s="88"/>
      <c r="AU153" s="88">
        <v>0</v>
      </c>
      <c r="AV153" s="88" t="s">
        <v>1133</v>
      </c>
      <c r="AW153" s="88" t="s">
        <v>1133</v>
      </c>
      <c r="AX153" s="88">
        <v>0</v>
      </c>
      <c r="AY153" s="88">
        <v>0</v>
      </c>
      <c r="AZ153" s="88">
        <v>0</v>
      </c>
      <c r="BA153" s="88">
        <v>0</v>
      </c>
      <c r="BB153" s="88" t="s">
        <v>0</v>
      </c>
    </row>
    <row r="154" spans="1:54">
      <c r="A154" s="88">
        <v>154</v>
      </c>
      <c r="B154" s="88">
        <v>154</v>
      </c>
      <c r="C154" s="88"/>
      <c r="D154" s="88" t="s">
        <v>154</v>
      </c>
      <c r="E154" s="88">
        <v>0</v>
      </c>
      <c r="F154" s="88">
        <v>1146</v>
      </c>
      <c r="G154" s="88">
        <v>1</v>
      </c>
      <c r="H154" s="88">
        <v>2</v>
      </c>
      <c r="I154" s="88">
        <v>2</v>
      </c>
      <c r="J154" s="88">
        <v>0</v>
      </c>
      <c r="K154" s="88">
        <v>0</v>
      </c>
      <c r="L154" s="88">
        <v>1</v>
      </c>
      <c r="M154" s="88">
        <v>30</v>
      </c>
      <c r="N154" s="88">
        <v>34</v>
      </c>
      <c r="O154" s="88">
        <v>1</v>
      </c>
      <c r="P154" s="88">
        <v>1</v>
      </c>
      <c r="Q154" s="88">
        <v>1</v>
      </c>
      <c r="R154" s="88">
        <v>20</v>
      </c>
      <c r="S154" s="88">
        <v>10</v>
      </c>
      <c r="T154" s="88">
        <v>0</v>
      </c>
      <c r="U154" s="88">
        <v>0</v>
      </c>
      <c r="V154" s="88">
        <v>0</v>
      </c>
      <c r="W154" s="88">
        <v>0</v>
      </c>
      <c r="X154" s="88">
        <v>20</v>
      </c>
      <c r="Y154" s="88">
        <v>0</v>
      </c>
      <c r="Z154" s="88">
        <v>10</v>
      </c>
      <c r="AA154" s="88">
        <v>0</v>
      </c>
      <c r="AB154" s="88">
        <v>1</v>
      </c>
      <c r="AC154" s="88">
        <v>0</v>
      </c>
      <c r="AD154" s="88">
        <v>0</v>
      </c>
      <c r="AE154" s="88" t="s">
        <v>1133</v>
      </c>
      <c r="AF154" s="88">
        <v>0</v>
      </c>
      <c r="AG154" s="88">
        <v>0</v>
      </c>
      <c r="AH154" s="88" t="s">
        <v>1133</v>
      </c>
      <c r="AI154" s="88" t="s">
        <v>1133</v>
      </c>
      <c r="AJ154" s="88" t="s">
        <v>1133</v>
      </c>
      <c r="AK154" s="88">
        <v>2</v>
      </c>
      <c r="AL154" s="88">
        <v>20</v>
      </c>
      <c r="AM154" s="88">
        <v>9</v>
      </c>
      <c r="AN154" s="88">
        <v>0</v>
      </c>
      <c r="AO154" s="88">
        <v>1</v>
      </c>
      <c r="AP154" s="88" t="s">
        <v>1134</v>
      </c>
      <c r="AQ154" s="88" t="s">
        <v>1133</v>
      </c>
      <c r="AR154" s="88">
        <v>0</v>
      </c>
      <c r="AS154" s="88"/>
      <c r="AT154" s="88"/>
      <c r="AU154" s="88">
        <v>0</v>
      </c>
      <c r="AV154" s="88" t="s">
        <v>1133</v>
      </c>
      <c r="AW154" s="88" t="s">
        <v>1133</v>
      </c>
      <c r="AX154" s="88">
        <v>0</v>
      </c>
      <c r="AY154" s="88">
        <v>0</v>
      </c>
      <c r="AZ154" s="88">
        <v>0</v>
      </c>
      <c r="BA154" s="88">
        <v>0</v>
      </c>
      <c r="BB154" s="88" t="s">
        <v>0</v>
      </c>
    </row>
    <row r="155" spans="1:54">
      <c r="A155" s="88">
        <v>155</v>
      </c>
      <c r="B155" s="88">
        <v>155</v>
      </c>
      <c r="C155" s="88"/>
      <c r="D155" s="88" t="s">
        <v>155</v>
      </c>
      <c r="E155" s="88">
        <v>0</v>
      </c>
      <c r="F155" s="88">
        <v>1146</v>
      </c>
      <c r="G155" s="88">
        <v>1</v>
      </c>
      <c r="H155" s="88">
        <v>2</v>
      </c>
      <c r="I155" s="88">
        <v>2</v>
      </c>
      <c r="J155" s="88">
        <v>0</v>
      </c>
      <c r="K155" s="88">
        <v>0</v>
      </c>
      <c r="L155" s="88">
        <v>1</v>
      </c>
      <c r="M155" s="88">
        <v>40</v>
      </c>
      <c r="N155" s="88">
        <v>34</v>
      </c>
      <c r="O155" s="88">
        <v>1</v>
      </c>
      <c r="P155" s="88">
        <v>1</v>
      </c>
      <c r="Q155" s="88">
        <v>1</v>
      </c>
      <c r="R155" s="88">
        <v>20</v>
      </c>
      <c r="S155" s="88">
        <v>10</v>
      </c>
      <c r="T155" s="88">
        <v>0</v>
      </c>
      <c r="U155" s="88">
        <v>0</v>
      </c>
      <c r="V155" s="88">
        <v>0</v>
      </c>
      <c r="W155" s="88">
        <v>0</v>
      </c>
      <c r="X155" s="88">
        <v>20</v>
      </c>
      <c r="Y155" s="88">
        <v>0</v>
      </c>
      <c r="Z155" s="88">
        <v>10</v>
      </c>
      <c r="AA155" s="88">
        <v>0</v>
      </c>
      <c r="AB155" s="88">
        <v>1</v>
      </c>
      <c r="AC155" s="88">
        <v>0</v>
      </c>
      <c r="AD155" s="88">
        <v>0</v>
      </c>
      <c r="AE155" s="88" t="s">
        <v>1133</v>
      </c>
      <c r="AF155" s="88">
        <v>0</v>
      </c>
      <c r="AG155" s="88">
        <v>0</v>
      </c>
      <c r="AH155" s="88" t="s">
        <v>1133</v>
      </c>
      <c r="AI155" s="88" t="s">
        <v>1133</v>
      </c>
      <c r="AJ155" s="88" t="s">
        <v>1133</v>
      </c>
      <c r="AK155" s="88">
        <v>2</v>
      </c>
      <c r="AL155" s="88">
        <v>20</v>
      </c>
      <c r="AM155" s="88">
        <v>9</v>
      </c>
      <c r="AN155" s="88">
        <v>0</v>
      </c>
      <c r="AO155" s="88">
        <v>1</v>
      </c>
      <c r="AP155" s="88" t="s">
        <v>1134</v>
      </c>
      <c r="AQ155" s="88" t="s">
        <v>1133</v>
      </c>
      <c r="AR155" s="88">
        <v>0</v>
      </c>
      <c r="AS155" s="88"/>
      <c r="AT155" s="88"/>
      <c r="AU155" s="88">
        <v>0</v>
      </c>
      <c r="AV155" s="88" t="s">
        <v>1133</v>
      </c>
      <c r="AW155" s="88" t="s">
        <v>1133</v>
      </c>
      <c r="AX155" s="88">
        <v>0</v>
      </c>
      <c r="AY155" s="88">
        <v>0</v>
      </c>
      <c r="AZ155" s="88">
        <v>0</v>
      </c>
      <c r="BA155" s="88">
        <v>0</v>
      </c>
      <c r="BB155" s="88" t="s">
        <v>0</v>
      </c>
    </row>
    <row r="156" spans="1:54">
      <c r="A156" s="88">
        <v>156</v>
      </c>
      <c r="B156" s="88">
        <v>156</v>
      </c>
      <c r="C156" s="88"/>
      <c r="D156" s="88" t="s">
        <v>156</v>
      </c>
      <c r="E156" s="88">
        <v>0</v>
      </c>
      <c r="F156" s="88">
        <v>1146</v>
      </c>
      <c r="G156" s="88">
        <v>1</v>
      </c>
      <c r="H156" s="88">
        <v>2</v>
      </c>
      <c r="I156" s="88">
        <v>2</v>
      </c>
      <c r="J156" s="88">
        <v>0</v>
      </c>
      <c r="K156" s="88">
        <v>0</v>
      </c>
      <c r="L156" s="88">
        <v>1</v>
      </c>
      <c r="M156" s="88">
        <v>50</v>
      </c>
      <c r="N156" s="88">
        <v>34</v>
      </c>
      <c r="O156" s="88">
        <v>1</v>
      </c>
      <c r="P156" s="88">
        <v>1</v>
      </c>
      <c r="Q156" s="88">
        <v>1</v>
      </c>
      <c r="R156" s="88">
        <v>20</v>
      </c>
      <c r="S156" s="88">
        <v>10</v>
      </c>
      <c r="T156" s="88">
        <v>0</v>
      </c>
      <c r="U156" s="88">
        <v>0</v>
      </c>
      <c r="V156" s="88">
        <v>0</v>
      </c>
      <c r="W156" s="88">
        <v>0</v>
      </c>
      <c r="X156" s="88">
        <v>20</v>
      </c>
      <c r="Y156" s="88">
        <v>0</v>
      </c>
      <c r="Z156" s="88">
        <v>10</v>
      </c>
      <c r="AA156" s="88">
        <v>0</v>
      </c>
      <c r="AB156" s="88">
        <v>1</v>
      </c>
      <c r="AC156" s="88">
        <v>0</v>
      </c>
      <c r="AD156" s="88">
        <v>0</v>
      </c>
      <c r="AE156" s="88" t="s">
        <v>1133</v>
      </c>
      <c r="AF156" s="88">
        <v>0</v>
      </c>
      <c r="AG156" s="88">
        <v>0</v>
      </c>
      <c r="AH156" s="88" t="s">
        <v>1133</v>
      </c>
      <c r="AI156" s="88" t="s">
        <v>1133</v>
      </c>
      <c r="AJ156" s="88" t="s">
        <v>1133</v>
      </c>
      <c r="AK156" s="88">
        <v>2</v>
      </c>
      <c r="AL156" s="88">
        <v>20</v>
      </c>
      <c r="AM156" s="88">
        <v>9</v>
      </c>
      <c r="AN156" s="88">
        <v>0</v>
      </c>
      <c r="AO156" s="88">
        <v>1</v>
      </c>
      <c r="AP156" s="88" t="s">
        <v>1134</v>
      </c>
      <c r="AQ156" s="88" t="s">
        <v>1133</v>
      </c>
      <c r="AR156" s="88">
        <v>0</v>
      </c>
      <c r="AS156" s="88"/>
      <c r="AT156" s="88"/>
      <c r="AU156" s="88">
        <v>0</v>
      </c>
      <c r="AV156" s="88" t="s">
        <v>1133</v>
      </c>
      <c r="AW156" s="88" t="s">
        <v>1133</v>
      </c>
      <c r="AX156" s="88">
        <v>0</v>
      </c>
      <c r="AY156" s="88">
        <v>0</v>
      </c>
      <c r="AZ156" s="88">
        <v>0</v>
      </c>
      <c r="BA156" s="88">
        <v>0</v>
      </c>
      <c r="BB156" s="88" t="s">
        <v>0</v>
      </c>
    </row>
    <row r="157" spans="1:54">
      <c r="A157" s="88">
        <v>157</v>
      </c>
      <c r="B157" s="88">
        <v>157</v>
      </c>
      <c r="C157" s="88"/>
      <c r="D157" s="88" t="s">
        <v>157</v>
      </c>
      <c r="E157" s="88">
        <v>0</v>
      </c>
      <c r="F157" s="88">
        <v>1146</v>
      </c>
      <c r="G157" s="88">
        <v>1</v>
      </c>
      <c r="H157" s="88">
        <v>2</v>
      </c>
      <c r="I157" s="88">
        <v>2</v>
      </c>
      <c r="J157" s="88">
        <v>0</v>
      </c>
      <c r="K157" s="88">
        <v>0</v>
      </c>
      <c r="L157" s="88">
        <v>1</v>
      </c>
      <c r="M157" s="88">
        <v>80</v>
      </c>
      <c r="N157" s="88">
        <v>34</v>
      </c>
      <c r="O157" s="88">
        <v>1</v>
      </c>
      <c r="P157" s="88">
        <v>1</v>
      </c>
      <c r="Q157" s="88">
        <v>1</v>
      </c>
      <c r="R157" s="88">
        <v>20</v>
      </c>
      <c r="S157" s="88">
        <v>10</v>
      </c>
      <c r="T157" s="88">
        <v>0</v>
      </c>
      <c r="U157" s="88">
        <v>0</v>
      </c>
      <c r="V157" s="88">
        <v>0</v>
      </c>
      <c r="W157" s="88">
        <v>0</v>
      </c>
      <c r="X157" s="88">
        <v>20</v>
      </c>
      <c r="Y157" s="88">
        <v>0</v>
      </c>
      <c r="Z157" s="88">
        <v>10</v>
      </c>
      <c r="AA157" s="88">
        <v>0</v>
      </c>
      <c r="AB157" s="88">
        <v>1</v>
      </c>
      <c r="AC157" s="88">
        <v>0</v>
      </c>
      <c r="AD157" s="88">
        <v>0</v>
      </c>
      <c r="AE157" s="88" t="s">
        <v>1133</v>
      </c>
      <c r="AF157" s="88">
        <v>0</v>
      </c>
      <c r="AG157" s="88">
        <v>0</v>
      </c>
      <c r="AH157" s="88" t="s">
        <v>1133</v>
      </c>
      <c r="AI157" s="88" t="s">
        <v>1133</v>
      </c>
      <c r="AJ157" s="88" t="s">
        <v>1133</v>
      </c>
      <c r="AK157" s="88">
        <v>2</v>
      </c>
      <c r="AL157" s="88">
        <v>20</v>
      </c>
      <c r="AM157" s="88">
        <v>9</v>
      </c>
      <c r="AN157" s="88">
        <v>0</v>
      </c>
      <c r="AO157" s="88">
        <v>1</v>
      </c>
      <c r="AP157" s="88" t="s">
        <v>1134</v>
      </c>
      <c r="AQ157" s="88" t="s">
        <v>1133</v>
      </c>
      <c r="AR157" s="88">
        <v>0</v>
      </c>
      <c r="AS157" s="88"/>
      <c r="AT157" s="88"/>
      <c r="AU157" s="88">
        <v>0</v>
      </c>
      <c r="AV157" s="88" t="s">
        <v>1133</v>
      </c>
      <c r="AW157" s="88" t="s">
        <v>1133</v>
      </c>
      <c r="AX157" s="88">
        <v>0</v>
      </c>
      <c r="AY157" s="88">
        <v>0</v>
      </c>
      <c r="AZ157" s="88">
        <v>0</v>
      </c>
      <c r="BA157" s="88">
        <v>0</v>
      </c>
      <c r="BB157" s="88" t="s">
        <v>0</v>
      </c>
    </row>
    <row r="158" spans="1:54">
      <c r="A158" s="88">
        <v>158</v>
      </c>
      <c r="B158" s="88">
        <v>158</v>
      </c>
      <c r="C158" s="88"/>
      <c r="D158" s="88" t="s">
        <v>158</v>
      </c>
      <c r="E158" s="88">
        <v>0</v>
      </c>
      <c r="F158" s="88">
        <v>1146</v>
      </c>
      <c r="G158" s="88">
        <v>1</v>
      </c>
      <c r="H158" s="88">
        <v>2</v>
      </c>
      <c r="I158" s="88">
        <v>2</v>
      </c>
      <c r="J158" s="88">
        <v>0</v>
      </c>
      <c r="K158" s="88">
        <v>0</v>
      </c>
      <c r="L158" s="88">
        <v>1</v>
      </c>
      <c r="M158" s="88">
        <v>600</v>
      </c>
      <c r="N158" s="88">
        <v>34</v>
      </c>
      <c r="O158" s="88">
        <v>1</v>
      </c>
      <c r="P158" s="88">
        <v>1</v>
      </c>
      <c r="Q158" s="88">
        <v>1</v>
      </c>
      <c r="R158" s="88">
        <v>20</v>
      </c>
      <c r="S158" s="88">
        <v>10</v>
      </c>
      <c r="T158" s="88">
        <v>0</v>
      </c>
      <c r="U158" s="88">
        <v>0</v>
      </c>
      <c r="V158" s="88">
        <v>0</v>
      </c>
      <c r="W158" s="88">
        <v>0</v>
      </c>
      <c r="X158" s="88">
        <v>20</v>
      </c>
      <c r="Y158" s="88">
        <v>0</v>
      </c>
      <c r="Z158" s="88">
        <v>10</v>
      </c>
      <c r="AA158" s="88">
        <v>0</v>
      </c>
      <c r="AB158" s="88">
        <v>1</v>
      </c>
      <c r="AC158" s="88">
        <v>0</v>
      </c>
      <c r="AD158" s="88">
        <v>0</v>
      </c>
      <c r="AE158" s="88" t="s">
        <v>1133</v>
      </c>
      <c r="AF158" s="88">
        <v>0</v>
      </c>
      <c r="AG158" s="88">
        <v>0</v>
      </c>
      <c r="AH158" s="88" t="s">
        <v>1133</v>
      </c>
      <c r="AI158" s="88" t="s">
        <v>1133</v>
      </c>
      <c r="AJ158" s="88" t="s">
        <v>1133</v>
      </c>
      <c r="AK158" s="88">
        <v>2</v>
      </c>
      <c r="AL158" s="88">
        <v>20</v>
      </c>
      <c r="AM158" s="88">
        <v>9</v>
      </c>
      <c r="AN158" s="88">
        <v>0</v>
      </c>
      <c r="AO158" s="88">
        <v>1</v>
      </c>
      <c r="AP158" s="88" t="s">
        <v>1134</v>
      </c>
      <c r="AQ158" s="88" t="s">
        <v>1133</v>
      </c>
      <c r="AR158" s="88">
        <v>0</v>
      </c>
      <c r="AS158" s="88"/>
      <c r="AT158" s="88"/>
      <c r="AU158" s="88">
        <v>0</v>
      </c>
      <c r="AV158" s="88" t="s">
        <v>1133</v>
      </c>
      <c r="AW158" s="88" t="s">
        <v>1133</v>
      </c>
      <c r="AX158" s="88">
        <v>0</v>
      </c>
      <c r="AY158" s="88">
        <v>0</v>
      </c>
      <c r="AZ158" s="88">
        <v>0</v>
      </c>
      <c r="BA158" s="88">
        <v>0</v>
      </c>
      <c r="BB158" s="88" t="s">
        <v>0</v>
      </c>
    </row>
    <row r="159" spans="1:54">
      <c r="A159" s="88">
        <v>159</v>
      </c>
      <c r="B159" s="88">
        <v>159</v>
      </c>
      <c r="C159" s="88"/>
      <c r="D159" s="88" t="s">
        <v>159</v>
      </c>
      <c r="E159" s="88">
        <v>0</v>
      </c>
      <c r="F159" s="88">
        <v>1146</v>
      </c>
      <c r="G159" s="88">
        <v>1</v>
      </c>
      <c r="H159" s="88">
        <v>2</v>
      </c>
      <c r="I159" s="88">
        <v>2</v>
      </c>
      <c r="J159" s="88">
        <v>0</v>
      </c>
      <c r="K159" s="88">
        <v>0</v>
      </c>
      <c r="L159" s="88">
        <v>1</v>
      </c>
      <c r="M159" s="88">
        <v>800</v>
      </c>
      <c r="N159" s="88">
        <v>34</v>
      </c>
      <c r="O159" s="88">
        <v>1</v>
      </c>
      <c r="P159" s="88">
        <v>1</v>
      </c>
      <c r="Q159" s="88">
        <v>1</v>
      </c>
      <c r="R159" s="88">
        <v>20</v>
      </c>
      <c r="S159" s="88">
        <v>10</v>
      </c>
      <c r="T159" s="88">
        <v>0</v>
      </c>
      <c r="U159" s="88">
        <v>0</v>
      </c>
      <c r="V159" s="88">
        <v>0</v>
      </c>
      <c r="W159" s="88">
        <v>0</v>
      </c>
      <c r="X159" s="88">
        <v>20</v>
      </c>
      <c r="Y159" s="88">
        <v>0</v>
      </c>
      <c r="Z159" s="88">
        <v>10</v>
      </c>
      <c r="AA159" s="88">
        <v>0</v>
      </c>
      <c r="AB159" s="88">
        <v>1</v>
      </c>
      <c r="AC159" s="88">
        <v>0</v>
      </c>
      <c r="AD159" s="88">
        <v>0</v>
      </c>
      <c r="AE159" s="88" t="s">
        <v>1133</v>
      </c>
      <c r="AF159" s="88">
        <v>0</v>
      </c>
      <c r="AG159" s="88">
        <v>0</v>
      </c>
      <c r="AH159" s="88" t="s">
        <v>1133</v>
      </c>
      <c r="AI159" s="88" t="s">
        <v>1133</v>
      </c>
      <c r="AJ159" s="88" t="s">
        <v>1133</v>
      </c>
      <c r="AK159" s="88">
        <v>2</v>
      </c>
      <c r="AL159" s="88">
        <v>20</v>
      </c>
      <c r="AM159" s="88">
        <v>9</v>
      </c>
      <c r="AN159" s="88">
        <v>0</v>
      </c>
      <c r="AO159" s="88">
        <v>1</v>
      </c>
      <c r="AP159" s="88" t="s">
        <v>1134</v>
      </c>
      <c r="AQ159" s="88" t="s">
        <v>1133</v>
      </c>
      <c r="AR159" s="88">
        <v>0</v>
      </c>
      <c r="AS159" s="88"/>
      <c r="AT159" s="88"/>
      <c r="AU159" s="88">
        <v>0</v>
      </c>
      <c r="AV159" s="88" t="s">
        <v>1133</v>
      </c>
      <c r="AW159" s="88" t="s">
        <v>1133</v>
      </c>
      <c r="AX159" s="88">
        <v>0</v>
      </c>
      <c r="AY159" s="88">
        <v>0</v>
      </c>
      <c r="AZ159" s="88">
        <v>0</v>
      </c>
      <c r="BA159" s="88">
        <v>0</v>
      </c>
      <c r="BB159" s="88" t="s">
        <v>0</v>
      </c>
    </row>
    <row r="160" spans="1:54">
      <c r="A160" s="88">
        <v>160</v>
      </c>
      <c r="B160" s="88">
        <v>160</v>
      </c>
      <c r="C160" s="88"/>
      <c r="D160" s="88" t="s">
        <v>160</v>
      </c>
      <c r="E160" s="88">
        <v>0</v>
      </c>
      <c r="F160" s="88">
        <v>1146</v>
      </c>
      <c r="G160" s="88">
        <v>1</v>
      </c>
      <c r="H160" s="88">
        <v>2</v>
      </c>
      <c r="I160" s="88">
        <v>2</v>
      </c>
      <c r="J160" s="88">
        <v>0</v>
      </c>
      <c r="K160" s="88">
        <v>0</v>
      </c>
      <c r="L160" s="88">
        <v>1</v>
      </c>
      <c r="M160" s="88">
        <v>960</v>
      </c>
      <c r="N160" s="88">
        <v>34</v>
      </c>
      <c r="O160" s="88">
        <v>1</v>
      </c>
      <c r="P160" s="88">
        <v>1</v>
      </c>
      <c r="Q160" s="88">
        <v>1</v>
      </c>
      <c r="R160" s="88">
        <v>20</v>
      </c>
      <c r="S160" s="88">
        <v>10</v>
      </c>
      <c r="T160" s="88">
        <v>0</v>
      </c>
      <c r="U160" s="88">
        <v>0</v>
      </c>
      <c r="V160" s="88">
        <v>0</v>
      </c>
      <c r="W160" s="88">
        <v>0</v>
      </c>
      <c r="X160" s="88">
        <v>20</v>
      </c>
      <c r="Y160" s="88">
        <v>0</v>
      </c>
      <c r="Z160" s="88">
        <v>10</v>
      </c>
      <c r="AA160" s="88">
        <v>0</v>
      </c>
      <c r="AB160" s="88">
        <v>1</v>
      </c>
      <c r="AC160" s="88">
        <v>0</v>
      </c>
      <c r="AD160" s="88">
        <v>0</v>
      </c>
      <c r="AE160" s="88" t="s">
        <v>1133</v>
      </c>
      <c r="AF160" s="88">
        <v>0</v>
      </c>
      <c r="AG160" s="88">
        <v>0</v>
      </c>
      <c r="AH160" s="88" t="s">
        <v>1133</v>
      </c>
      <c r="AI160" s="88" t="s">
        <v>1133</v>
      </c>
      <c r="AJ160" s="88" t="s">
        <v>1133</v>
      </c>
      <c r="AK160" s="88">
        <v>2</v>
      </c>
      <c r="AL160" s="88">
        <v>20</v>
      </c>
      <c r="AM160" s="88">
        <v>9</v>
      </c>
      <c r="AN160" s="88">
        <v>0</v>
      </c>
      <c r="AO160" s="88">
        <v>1</v>
      </c>
      <c r="AP160" s="88" t="s">
        <v>1134</v>
      </c>
      <c r="AQ160" s="88" t="s">
        <v>1133</v>
      </c>
      <c r="AR160" s="88">
        <v>0</v>
      </c>
      <c r="AS160" s="88"/>
      <c r="AT160" s="88"/>
      <c r="AU160" s="88">
        <v>0</v>
      </c>
      <c r="AV160" s="88" t="s">
        <v>1133</v>
      </c>
      <c r="AW160" s="88" t="s">
        <v>1133</v>
      </c>
      <c r="AX160" s="88">
        <v>0</v>
      </c>
      <c r="AY160" s="88">
        <v>0</v>
      </c>
      <c r="AZ160" s="88">
        <v>0</v>
      </c>
      <c r="BA160" s="88">
        <v>0</v>
      </c>
      <c r="BB160" s="88" t="s">
        <v>0</v>
      </c>
    </row>
    <row r="161" spans="1:54">
      <c r="A161" s="88">
        <v>161</v>
      </c>
      <c r="B161" s="88">
        <v>161</v>
      </c>
      <c r="C161" s="88"/>
      <c r="D161" s="88" t="s">
        <v>161</v>
      </c>
      <c r="E161" s="88">
        <v>0</v>
      </c>
      <c r="F161" s="88">
        <v>1146</v>
      </c>
      <c r="G161" s="88">
        <v>1</v>
      </c>
      <c r="H161" s="88">
        <v>2</v>
      </c>
      <c r="I161" s="88">
        <v>2</v>
      </c>
      <c r="J161" s="88">
        <v>0</v>
      </c>
      <c r="K161" s="88">
        <v>0</v>
      </c>
      <c r="L161" s="88">
        <v>1</v>
      </c>
      <c r="M161" s="88">
        <v>1280</v>
      </c>
      <c r="N161" s="88">
        <v>34</v>
      </c>
      <c r="O161" s="88">
        <v>1</v>
      </c>
      <c r="P161" s="88">
        <v>1</v>
      </c>
      <c r="Q161" s="88">
        <v>1</v>
      </c>
      <c r="R161" s="88">
        <v>20</v>
      </c>
      <c r="S161" s="88">
        <v>10</v>
      </c>
      <c r="T161" s="88">
        <v>0</v>
      </c>
      <c r="U161" s="88">
        <v>0</v>
      </c>
      <c r="V161" s="88">
        <v>0</v>
      </c>
      <c r="W161" s="88">
        <v>0</v>
      </c>
      <c r="X161" s="88">
        <v>20</v>
      </c>
      <c r="Y161" s="88">
        <v>0</v>
      </c>
      <c r="Z161" s="88">
        <v>10</v>
      </c>
      <c r="AA161" s="88">
        <v>0</v>
      </c>
      <c r="AB161" s="88">
        <v>1</v>
      </c>
      <c r="AC161" s="88">
        <v>0</v>
      </c>
      <c r="AD161" s="88">
        <v>0</v>
      </c>
      <c r="AE161" s="88" t="s">
        <v>1133</v>
      </c>
      <c r="AF161" s="88">
        <v>0</v>
      </c>
      <c r="AG161" s="88">
        <v>0</v>
      </c>
      <c r="AH161" s="88" t="s">
        <v>1133</v>
      </c>
      <c r="AI161" s="88" t="s">
        <v>1133</v>
      </c>
      <c r="AJ161" s="88" t="s">
        <v>1133</v>
      </c>
      <c r="AK161" s="88">
        <v>2</v>
      </c>
      <c r="AL161" s="88">
        <v>20</v>
      </c>
      <c r="AM161" s="88">
        <v>9</v>
      </c>
      <c r="AN161" s="88">
        <v>0</v>
      </c>
      <c r="AO161" s="88">
        <v>1</v>
      </c>
      <c r="AP161" s="88" t="s">
        <v>1134</v>
      </c>
      <c r="AQ161" s="88" t="s">
        <v>1133</v>
      </c>
      <c r="AR161" s="88">
        <v>0</v>
      </c>
      <c r="AS161" s="88"/>
      <c r="AT161" s="88"/>
      <c r="AU161" s="88">
        <v>0</v>
      </c>
      <c r="AV161" s="88" t="s">
        <v>1133</v>
      </c>
      <c r="AW161" s="88" t="s">
        <v>1133</v>
      </c>
      <c r="AX161" s="88">
        <v>0</v>
      </c>
      <c r="AY161" s="88">
        <v>0</v>
      </c>
      <c r="AZ161" s="88">
        <v>0</v>
      </c>
      <c r="BA161" s="88">
        <v>0</v>
      </c>
      <c r="BB161" s="88" t="s">
        <v>0</v>
      </c>
    </row>
    <row r="162" spans="1:54">
      <c r="A162" s="88">
        <v>162</v>
      </c>
      <c r="B162" s="88">
        <v>162</v>
      </c>
      <c r="C162" s="88"/>
      <c r="D162" s="88" t="s">
        <v>162</v>
      </c>
      <c r="E162" s="88">
        <v>0</v>
      </c>
      <c r="F162" s="88">
        <v>1142</v>
      </c>
      <c r="G162" s="88">
        <v>1</v>
      </c>
      <c r="H162" s="88">
        <v>2</v>
      </c>
      <c r="I162" s="88">
        <v>2</v>
      </c>
      <c r="J162" s="88">
        <v>0</v>
      </c>
      <c r="K162" s="88">
        <v>0</v>
      </c>
      <c r="L162" s="88">
        <v>1</v>
      </c>
      <c r="M162" s="88">
        <v>2</v>
      </c>
      <c r="N162" s="88">
        <v>34</v>
      </c>
      <c r="O162" s="88">
        <v>1</v>
      </c>
      <c r="P162" s="88">
        <v>1</v>
      </c>
      <c r="Q162" s="88">
        <v>1</v>
      </c>
      <c r="R162" s="88">
        <v>20</v>
      </c>
      <c r="S162" s="88">
        <v>10</v>
      </c>
      <c r="T162" s="88">
        <v>0</v>
      </c>
      <c r="U162" s="88">
        <v>0</v>
      </c>
      <c r="V162" s="88">
        <v>0</v>
      </c>
      <c r="W162" s="88">
        <v>0</v>
      </c>
      <c r="X162" s="88">
        <v>20</v>
      </c>
      <c r="Y162" s="88">
        <v>0</v>
      </c>
      <c r="Z162" s="88">
        <v>10</v>
      </c>
      <c r="AA162" s="88">
        <v>0</v>
      </c>
      <c r="AB162" s="88">
        <v>1</v>
      </c>
      <c r="AC162" s="88">
        <v>0</v>
      </c>
      <c r="AD162" s="88">
        <v>0</v>
      </c>
      <c r="AE162" s="88" t="s">
        <v>1133</v>
      </c>
      <c r="AF162" s="88">
        <v>0</v>
      </c>
      <c r="AG162" s="88">
        <v>0</v>
      </c>
      <c r="AH162" s="88" t="s">
        <v>1133</v>
      </c>
      <c r="AI162" s="88" t="s">
        <v>1133</v>
      </c>
      <c r="AJ162" s="88" t="s">
        <v>1133</v>
      </c>
      <c r="AK162" s="88">
        <v>2</v>
      </c>
      <c r="AL162" s="88">
        <v>20</v>
      </c>
      <c r="AM162" s="88">
        <v>9</v>
      </c>
      <c r="AN162" s="88">
        <v>0</v>
      </c>
      <c r="AO162" s="88">
        <v>1</v>
      </c>
      <c r="AP162" s="88" t="s">
        <v>1134</v>
      </c>
      <c r="AQ162" s="88" t="s">
        <v>1133</v>
      </c>
      <c r="AR162" s="88">
        <v>0</v>
      </c>
      <c r="AS162" s="88"/>
      <c r="AT162" s="88"/>
      <c r="AU162" s="88">
        <v>0</v>
      </c>
      <c r="AV162" s="88" t="s">
        <v>1133</v>
      </c>
      <c r="AW162" s="88" t="s">
        <v>1133</v>
      </c>
      <c r="AX162" s="88">
        <v>0</v>
      </c>
      <c r="AY162" s="88">
        <v>0</v>
      </c>
      <c r="AZ162" s="88">
        <v>0</v>
      </c>
      <c r="BA162" s="88">
        <v>0</v>
      </c>
      <c r="BB162" s="88" t="s">
        <v>0</v>
      </c>
    </row>
    <row r="163" spans="1:54">
      <c r="A163" s="88">
        <v>163</v>
      </c>
      <c r="B163" s="88">
        <v>163</v>
      </c>
      <c r="C163" s="88"/>
      <c r="D163" s="88" t="s">
        <v>163</v>
      </c>
      <c r="E163" s="88">
        <v>0</v>
      </c>
      <c r="F163" s="88">
        <v>1142</v>
      </c>
      <c r="G163" s="88">
        <v>1</v>
      </c>
      <c r="H163" s="88">
        <v>2</v>
      </c>
      <c r="I163" s="88">
        <v>2</v>
      </c>
      <c r="J163" s="88">
        <v>0</v>
      </c>
      <c r="K163" s="88">
        <v>0</v>
      </c>
      <c r="L163" s="88">
        <v>1</v>
      </c>
      <c r="M163" s="88">
        <v>5</v>
      </c>
      <c r="N163" s="88">
        <v>34</v>
      </c>
      <c r="O163" s="88">
        <v>1</v>
      </c>
      <c r="P163" s="88">
        <v>1</v>
      </c>
      <c r="Q163" s="88">
        <v>1</v>
      </c>
      <c r="R163" s="88">
        <v>20</v>
      </c>
      <c r="S163" s="88">
        <v>10</v>
      </c>
      <c r="T163" s="88">
        <v>0</v>
      </c>
      <c r="U163" s="88">
        <v>0</v>
      </c>
      <c r="V163" s="88">
        <v>0</v>
      </c>
      <c r="W163" s="88">
        <v>0</v>
      </c>
      <c r="X163" s="88">
        <v>20</v>
      </c>
      <c r="Y163" s="88">
        <v>0</v>
      </c>
      <c r="Z163" s="88">
        <v>10</v>
      </c>
      <c r="AA163" s="88">
        <v>0</v>
      </c>
      <c r="AB163" s="88">
        <v>1</v>
      </c>
      <c r="AC163" s="88">
        <v>0</v>
      </c>
      <c r="AD163" s="88">
        <v>0</v>
      </c>
      <c r="AE163" s="88" t="s">
        <v>1133</v>
      </c>
      <c r="AF163" s="88">
        <v>0</v>
      </c>
      <c r="AG163" s="88">
        <v>0</v>
      </c>
      <c r="AH163" s="88" t="s">
        <v>1133</v>
      </c>
      <c r="AI163" s="88" t="s">
        <v>1133</v>
      </c>
      <c r="AJ163" s="88" t="s">
        <v>1133</v>
      </c>
      <c r="AK163" s="88">
        <v>2</v>
      </c>
      <c r="AL163" s="88">
        <v>20</v>
      </c>
      <c r="AM163" s="88">
        <v>9</v>
      </c>
      <c r="AN163" s="88">
        <v>0</v>
      </c>
      <c r="AO163" s="88">
        <v>1</v>
      </c>
      <c r="AP163" s="88" t="s">
        <v>1134</v>
      </c>
      <c r="AQ163" s="88" t="s">
        <v>1133</v>
      </c>
      <c r="AR163" s="88">
        <v>0</v>
      </c>
      <c r="AS163" s="88"/>
      <c r="AT163" s="88"/>
      <c r="AU163" s="88">
        <v>0</v>
      </c>
      <c r="AV163" s="88" t="s">
        <v>1133</v>
      </c>
      <c r="AW163" s="88" t="s">
        <v>1133</v>
      </c>
      <c r="AX163" s="88">
        <v>0</v>
      </c>
      <c r="AY163" s="88">
        <v>0</v>
      </c>
      <c r="AZ163" s="88">
        <v>0</v>
      </c>
      <c r="BA163" s="88">
        <v>0</v>
      </c>
      <c r="BB163" s="88" t="s">
        <v>0</v>
      </c>
    </row>
    <row r="164" spans="1:54">
      <c r="A164" s="88">
        <v>164</v>
      </c>
      <c r="B164" s="88">
        <v>164</v>
      </c>
      <c r="C164" s="88"/>
      <c r="D164" s="88" t="s">
        <v>164</v>
      </c>
      <c r="E164" s="88">
        <v>0</v>
      </c>
      <c r="F164" s="88">
        <v>1142</v>
      </c>
      <c r="G164" s="88">
        <v>1</v>
      </c>
      <c r="H164" s="88">
        <v>2</v>
      </c>
      <c r="I164" s="88">
        <v>2</v>
      </c>
      <c r="J164" s="88">
        <v>0</v>
      </c>
      <c r="K164" s="88">
        <v>0</v>
      </c>
      <c r="L164" s="88">
        <v>1</v>
      </c>
      <c r="M164" s="88">
        <v>7</v>
      </c>
      <c r="N164" s="88">
        <v>34</v>
      </c>
      <c r="O164" s="88">
        <v>1</v>
      </c>
      <c r="P164" s="88">
        <v>1</v>
      </c>
      <c r="Q164" s="88">
        <v>1</v>
      </c>
      <c r="R164" s="88">
        <v>20</v>
      </c>
      <c r="S164" s="88">
        <v>10</v>
      </c>
      <c r="T164" s="88">
        <v>0</v>
      </c>
      <c r="U164" s="88">
        <v>0</v>
      </c>
      <c r="V164" s="88">
        <v>0</v>
      </c>
      <c r="W164" s="88">
        <v>0</v>
      </c>
      <c r="X164" s="88">
        <v>20</v>
      </c>
      <c r="Y164" s="88">
        <v>0</v>
      </c>
      <c r="Z164" s="88">
        <v>10</v>
      </c>
      <c r="AA164" s="88">
        <v>0</v>
      </c>
      <c r="AB164" s="88">
        <v>1</v>
      </c>
      <c r="AC164" s="88">
        <v>0</v>
      </c>
      <c r="AD164" s="88">
        <v>0</v>
      </c>
      <c r="AE164" s="88" t="s">
        <v>1133</v>
      </c>
      <c r="AF164" s="88">
        <v>0</v>
      </c>
      <c r="AG164" s="88">
        <v>0</v>
      </c>
      <c r="AH164" s="88" t="s">
        <v>1133</v>
      </c>
      <c r="AI164" s="88" t="s">
        <v>1133</v>
      </c>
      <c r="AJ164" s="88" t="s">
        <v>1133</v>
      </c>
      <c r="AK164" s="88">
        <v>2</v>
      </c>
      <c r="AL164" s="88">
        <v>20</v>
      </c>
      <c r="AM164" s="88">
        <v>9</v>
      </c>
      <c r="AN164" s="88">
        <v>0</v>
      </c>
      <c r="AO164" s="88">
        <v>1</v>
      </c>
      <c r="AP164" s="88" t="s">
        <v>1134</v>
      </c>
      <c r="AQ164" s="88" t="s">
        <v>1133</v>
      </c>
      <c r="AR164" s="88">
        <v>0</v>
      </c>
      <c r="AS164" s="88"/>
      <c r="AT164" s="88"/>
      <c r="AU164" s="88">
        <v>0</v>
      </c>
      <c r="AV164" s="88" t="s">
        <v>1133</v>
      </c>
      <c r="AW164" s="88" t="s">
        <v>1133</v>
      </c>
      <c r="AX164" s="88">
        <v>0</v>
      </c>
      <c r="AY164" s="88">
        <v>0</v>
      </c>
      <c r="AZ164" s="88">
        <v>0</v>
      </c>
      <c r="BA164" s="88">
        <v>0</v>
      </c>
      <c r="BB164" s="88" t="s">
        <v>0</v>
      </c>
    </row>
    <row r="165" spans="1:54">
      <c r="A165" s="88">
        <v>165</v>
      </c>
      <c r="B165" s="88">
        <v>165</v>
      </c>
      <c r="C165" s="88"/>
      <c r="D165" s="88" t="s">
        <v>165</v>
      </c>
      <c r="E165" s="88">
        <v>0</v>
      </c>
      <c r="F165" s="88">
        <v>1142</v>
      </c>
      <c r="G165" s="88">
        <v>1</v>
      </c>
      <c r="H165" s="88">
        <v>2</v>
      </c>
      <c r="I165" s="88">
        <v>2</v>
      </c>
      <c r="J165" s="88">
        <v>0</v>
      </c>
      <c r="K165" s="88">
        <v>0</v>
      </c>
      <c r="L165" s="88">
        <v>1</v>
      </c>
      <c r="M165" s="88">
        <v>10</v>
      </c>
      <c r="N165" s="88">
        <v>34</v>
      </c>
      <c r="O165" s="88">
        <v>1</v>
      </c>
      <c r="P165" s="88">
        <v>1</v>
      </c>
      <c r="Q165" s="88">
        <v>1</v>
      </c>
      <c r="R165" s="88">
        <v>20</v>
      </c>
      <c r="S165" s="88">
        <v>10</v>
      </c>
      <c r="T165" s="88">
        <v>0</v>
      </c>
      <c r="U165" s="88">
        <v>0</v>
      </c>
      <c r="V165" s="88">
        <v>0</v>
      </c>
      <c r="W165" s="88">
        <v>0</v>
      </c>
      <c r="X165" s="88">
        <v>20</v>
      </c>
      <c r="Y165" s="88">
        <v>0</v>
      </c>
      <c r="Z165" s="88">
        <v>10</v>
      </c>
      <c r="AA165" s="88">
        <v>0</v>
      </c>
      <c r="AB165" s="88">
        <v>1</v>
      </c>
      <c r="AC165" s="88">
        <v>0</v>
      </c>
      <c r="AD165" s="88">
        <v>0</v>
      </c>
      <c r="AE165" s="88" t="s">
        <v>1133</v>
      </c>
      <c r="AF165" s="88">
        <v>0</v>
      </c>
      <c r="AG165" s="88">
        <v>0</v>
      </c>
      <c r="AH165" s="88" t="s">
        <v>1133</v>
      </c>
      <c r="AI165" s="88" t="s">
        <v>1133</v>
      </c>
      <c r="AJ165" s="88" t="s">
        <v>1133</v>
      </c>
      <c r="AK165" s="88">
        <v>2</v>
      </c>
      <c r="AL165" s="88">
        <v>20</v>
      </c>
      <c r="AM165" s="88">
        <v>9</v>
      </c>
      <c r="AN165" s="88">
        <v>0</v>
      </c>
      <c r="AO165" s="88">
        <v>1</v>
      </c>
      <c r="AP165" s="88" t="s">
        <v>1134</v>
      </c>
      <c r="AQ165" s="88" t="s">
        <v>1133</v>
      </c>
      <c r="AR165" s="88">
        <v>0</v>
      </c>
      <c r="AS165" s="88"/>
      <c r="AT165" s="88"/>
      <c r="AU165" s="88">
        <v>0</v>
      </c>
      <c r="AV165" s="88" t="s">
        <v>1133</v>
      </c>
      <c r="AW165" s="88" t="s">
        <v>1133</v>
      </c>
      <c r="AX165" s="88">
        <v>0</v>
      </c>
      <c r="AY165" s="88">
        <v>0</v>
      </c>
      <c r="AZ165" s="88">
        <v>0</v>
      </c>
      <c r="BA165" s="88">
        <v>0</v>
      </c>
      <c r="BB165" s="88" t="s">
        <v>0</v>
      </c>
    </row>
    <row r="166" spans="1:54">
      <c r="A166" s="88">
        <v>166</v>
      </c>
      <c r="B166" s="88">
        <v>166</v>
      </c>
      <c r="C166" s="88"/>
      <c r="D166" s="88" t="s">
        <v>166</v>
      </c>
      <c r="E166" s="88">
        <v>0</v>
      </c>
      <c r="F166" s="88">
        <v>1142</v>
      </c>
      <c r="G166" s="88">
        <v>1</v>
      </c>
      <c r="H166" s="88">
        <v>2</v>
      </c>
      <c r="I166" s="88">
        <v>2</v>
      </c>
      <c r="J166" s="88">
        <v>0</v>
      </c>
      <c r="K166" s="88">
        <v>0</v>
      </c>
      <c r="L166" s="88">
        <v>1</v>
      </c>
      <c r="M166" s="88">
        <v>14</v>
      </c>
      <c r="N166" s="88">
        <v>34</v>
      </c>
      <c r="O166" s="88">
        <v>1</v>
      </c>
      <c r="P166" s="88">
        <v>1</v>
      </c>
      <c r="Q166" s="88">
        <v>1</v>
      </c>
      <c r="R166" s="88">
        <v>20</v>
      </c>
      <c r="S166" s="88">
        <v>10</v>
      </c>
      <c r="T166" s="88">
        <v>0</v>
      </c>
      <c r="U166" s="88">
        <v>0</v>
      </c>
      <c r="V166" s="88">
        <v>0</v>
      </c>
      <c r="W166" s="88">
        <v>0</v>
      </c>
      <c r="X166" s="88">
        <v>20</v>
      </c>
      <c r="Y166" s="88">
        <v>0</v>
      </c>
      <c r="Z166" s="88">
        <v>10</v>
      </c>
      <c r="AA166" s="88">
        <v>0</v>
      </c>
      <c r="AB166" s="88">
        <v>1</v>
      </c>
      <c r="AC166" s="88">
        <v>0</v>
      </c>
      <c r="AD166" s="88">
        <v>0</v>
      </c>
      <c r="AE166" s="88" t="s">
        <v>1133</v>
      </c>
      <c r="AF166" s="88">
        <v>0</v>
      </c>
      <c r="AG166" s="88">
        <v>0</v>
      </c>
      <c r="AH166" s="88" t="s">
        <v>1133</v>
      </c>
      <c r="AI166" s="88" t="s">
        <v>1133</v>
      </c>
      <c r="AJ166" s="88" t="s">
        <v>1133</v>
      </c>
      <c r="AK166" s="88">
        <v>2</v>
      </c>
      <c r="AL166" s="88">
        <v>20</v>
      </c>
      <c r="AM166" s="88">
        <v>9</v>
      </c>
      <c r="AN166" s="88">
        <v>0</v>
      </c>
      <c r="AO166" s="88">
        <v>1</v>
      </c>
      <c r="AP166" s="88" t="s">
        <v>1134</v>
      </c>
      <c r="AQ166" s="88" t="s">
        <v>1133</v>
      </c>
      <c r="AR166" s="88">
        <v>0</v>
      </c>
      <c r="AS166" s="88"/>
      <c r="AT166" s="88"/>
      <c r="AU166" s="88">
        <v>0</v>
      </c>
      <c r="AV166" s="88" t="s">
        <v>1133</v>
      </c>
      <c r="AW166" s="88" t="s">
        <v>1133</v>
      </c>
      <c r="AX166" s="88">
        <v>0</v>
      </c>
      <c r="AY166" s="88">
        <v>0</v>
      </c>
      <c r="AZ166" s="88">
        <v>0</v>
      </c>
      <c r="BA166" s="88">
        <v>0</v>
      </c>
      <c r="BB166" s="88" t="s">
        <v>0</v>
      </c>
    </row>
    <row r="167" spans="1:54">
      <c r="A167" s="88">
        <v>167</v>
      </c>
      <c r="B167" s="88">
        <v>167</v>
      </c>
      <c r="C167" s="88"/>
      <c r="D167" s="88" t="s">
        <v>167</v>
      </c>
      <c r="E167" s="88">
        <v>0</v>
      </c>
      <c r="F167" s="88">
        <v>1142</v>
      </c>
      <c r="G167" s="88">
        <v>1</v>
      </c>
      <c r="H167" s="88">
        <v>2</v>
      </c>
      <c r="I167" s="88">
        <v>2</v>
      </c>
      <c r="J167" s="88">
        <v>0</v>
      </c>
      <c r="K167" s="88">
        <v>0</v>
      </c>
      <c r="L167" s="88">
        <v>1</v>
      </c>
      <c r="M167" s="88">
        <v>16</v>
      </c>
      <c r="N167" s="88">
        <v>34</v>
      </c>
      <c r="O167" s="88">
        <v>1</v>
      </c>
      <c r="P167" s="88">
        <v>1</v>
      </c>
      <c r="Q167" s="88">
        <v>1</v>
      </c>
      <c r="R167" s="88">
        <v>20</v>
      </c>
      <c r="S167" s="88">
        <v>10</v>
      </c>
      <c r="T167" s="88">
        <v>0</v>
      </c>
      <c r="U167" s="88">
        <v>0</v>
      </c>
      <c r="V167" s="88">
        <v>0</v>
      </c>
      <c r="W167" s="88">
        <v>0</v>
      </c>
      <c r="X167" s="88">
        <v>20</v>
      </c>
      <c r="Y167" s="88">
        <v>0</v>
      </c>
      <c r="Z167" s="88">
        <v>10</v>
      </c>
      <c r="AA167" s="88">
        <v>0</v>
      </c>
      <c r="AB167" s="88">
        <v>1</v>
      </c>
      <c r="AC167" s="88">
        <v>0</v>
      </c>
      <c r="AD167" s="88">
        <v>0</v>
      </c>
      <c r="AE167" s="88" t="s">
        <v>1133</v>
      </c>
      <c r="AF167" s="88">
        <v>0</v>
      </c>
      <c r="AG167" s="88">
        <v>0</v>
      </c>
      <c r="AH167" s="88" t="s">
        <v>1133</v>
      </c>
      <c r="AI167" s="88" t="s">
        <v>1133</v>
      </c>
      <c r="AJ167" s="88" t="s">
        <v>1133</v>
      </c>
      <c r="AK167" s="88">
        <v>2</v>
      </c>
      <c r="AL167" s="88">
        <v>20</v>
      </c>
      <c r="AM167" s="88">
        <v>9</v>
      </c>
      <c r="AN167" s="88">
        <v>0</v>
      </c>
      <c r="AO167" s="88">
        <v>1</v>
      </c>
      <c r="AP167" s="88" t="s">
        <v>1134</v>
      </c>
      <c r="AQ167" s="88" t="s">
        <v>1133</v>
      </c>
      <c r="AR167" s="88">
        <v>0</v>
      </c>
      <c r="AS167" s="88"/>
      <c r="AT167" s="88"/>
      <c r="AU167" s="88">
        <v>0</v>
      </c>
      <c r="AV167" s="88" t="s">
        <v>1133</v>
      </c>
      <c r="AW167" s="88" t="s">
        <v>1133</v>
      </c>
      <c r="AX167" s="88">
        <v>0</v>
      </c>
      <c r="AY167" s="88">
        <v>0</v>
      </c>
      <c r="AZ167" s="88">
        <v>0</v>
      </c>
      <c r="BA167" s="88">
        <v>0</v>
      </c>
      <c r="BB167" s="88" t="s">
        <v>0</v>
      </c>
    </row>
    <row r="168" spans="1:54">
      <c r="A168" s="88">
        <v>168</v>
      </c>
      <c r="B168" s="88">
        <v>168</v>
      </c>
      <c r="C168" s="88"/>
      <c r="D168" s="88" t="s">
        <v>168</v>
      </c>
      <c r="E168" s="88">
        <v>0</v>
      </c>
      <c r="F168" s="88">
        <v>1142</v>
      </c>
      <c r="G168" s="88">
        <v>1</v>
      </c>
      <c r="H168" s="88">
        <v>2</v>
      </c>
      <c r="I168" s="88">
        <v>2</v>
      </c>
      <c r="J168" s="88">
        <v>0</v>
      </c>
      <c r="K168" s="88">
        <v>0</v>
      </c>
      <c r="L168" s="88">
        <v>1</v>
      </c>
      <c r="M168" s="88">
        <v>20</v>
      </c>
      <c r="N168" s="88">
        <v>34</v>
      </c>
      <c r="O168" s="88">
        <v>1</v>
      </c>
      <c r="P168" s="88">
        <v>1</v>
      </c>
      <c r="Q168" s="88">
        <v>1</v>
      </c>
      <c r="R168" s="88">
        <v>20</v>
      </c>
      <c r="S168" s="88">
        <v>10</v>
      </c>
      <c r="T168" s="88">
        <v>0</v>
      </c>
      <c r="U168" s="88">
        <v>0</v>
      </c>
      <c r="V168" s="88">
        <v>0</v>
      </c>
      <c r="W168" s="88">
        <v>0</v>
      </c>
      <c r="X168" s="88">
        <v>20</v>
      </c>
      <c r="Y168" s="88">
        <v>0</v>
      </c>
      <c r="Z168" s="88">
        <v>10</v>
      </c>
      <c r="AA168" s="88">
        <v>0</v>
      </c>
      <c r="AB168" s="88">
        <v>1</v>
      </c>
      <c r="AC168" s="88">
        <v>0</v>
      </c>
      <c r="AD168" s="88">
        <v>0</v>
      </c>
      <c r="AE168" s="88" t="s">
        <v>1133</v>
      </c>
      <c r="AF168" s="88">
        <v>0</v>
      </c>
      <c r="AG168" s="88">
        <v>0</v>
      </c>
      <c r="AH168" s="88" t="s">
        <v>1133</v>
      </c>
      <c r="AI168" s="88" t="s">
        <v>1133</v>
      </c>
      <c r="AJ168" s="88" t="s">
        <v>1133</v>
      </c>
      <c r="AK168" s="88">
        <v>2</v>
      </c>
      <c r="AL168" s="88">
        <v>20</v>
      </c>
      <c r="AM168" s="88">
        <v>9</v>
      </c>
      <c r="AN168" s="88">
        <v>0</v>
      </c>
      <c r="AO168" s="88">
        <v>1</v>
      </c>
      <c r="AP168" s="88" t="s">
        <v>1134</v>
      </c>
      <c r="AQ168" s="88" t="s">
        <v>1133</v>
      </c>
      <c r="AR168" s="88">
        <v>0</v>
      </c>
      <c r="AS168" s="88"/>
      <c r="AT168" s="88"/>
      <c r="AU168" s="88">
        <v>0</v>
      </c>
      <c r="AV168" s="88" t="s">
        <v>1133</v>
      </c>
      <c r="AW168" s="88" t="s">
        <v>1133</v>
      </c>
      <c r="AX168" s="88">
        <v>0</v>
      </c>
      <c r="AY168" s="88">
        <v>0</v>
      </c>
      <c r="AZ168" s="88">
        <v>0</v>
      </c>
      <c r="BA168" s="88">
        <v>0</v>
      </c>
      <c r="BB168" s="88" t="s">
        <v>0</v>
      </c>
    </row>
    <row r="169" spans="1:54">
      <c r="A169" s="88">
        <v>169</v>
      </c>
      <c r="B169" s="88">
        <v>169</v>
      </c>
      <c r="C169" s="88"/>
      <c r="D169" s="88" t="s">
        <v>169</v>
      </c>
      <c r="E169" s="88">
        <v>0</v>
      </c>
      <c r="F169" s="88">
        <v>1142</v>
      </c>
      <c r="G169" s="88">
        <v>1</v>
      </c>
      <c r="H169" s="88">
        <v>2</v>
      </c>
      <c r="I169" s="88">
        <v>2</v>
      </c>
      <c r="J169" s="88">
        <v>0</v>
      </c>
      <c r="K169" s="88">
        <v>0</v>
      </c>
      <c r="L169" s="88">
        <v>1</v>
      </c>
      <c r="M169" s="88">
        <v>30</v>
      </c>
      <c r="N169" s="88">
        <v>34</v>
      </c>
      <c r="O169" s="88">
        <v>1</v>
      </c>
      <c r="P169" s="88">
        <v>1</v>
      </c>
      <c r="Q169" s="88">
        <v>1</v>
      </c>
      <c r="R169" s="88">
        <v>20</v>
      </c>
      <c r="S169" s="88">
        <v>10</v>
      </c>
      <c r="T169" s="88">
        <v>0</v>
      </c>
      <c r="U169" s="88">
        <v>0</v>
      </c>
      <c r="V169" s="88">
        <v>0</v>
      </c>
      <c r="W169" s="88">
        <v>0</v>
      </c>
      <c r="X169" s="88">
        <v>20</v>
      </c>
      <c r="Y169" s="88">
        <v>0</v>
      </c>
      <c r="Z169" s="88">
        <v>10</v>
      </c>
      <c r="AA169" s="88">
        <v>0</v>
      </c>
      <c r="AB169" s="88">
        <v>1</v>
      </c>
      <c r="AC169" s="88">
        <v>0</v>
      </c>
      <c r="AD169" s="88">
        <v>0</v>
      </c>
      <c r="AE169" s="88" t="s">
        <v>1133</v>
      </c>
      <c r="AF169" s="88">
        <v>0</v>
      </c>
      <c r="AG169" s="88">
        <v>0</v>
      </c>
      <c r="AH169" s="88" t="s">
        <v>1133</v>
      </c>
      <c r="AI169" s="88" t="s">
        <v>1133</v>
      </c>
      <c r="AJ169" s="88" t="s">
        <v>1133</v>
      </c>
      <c r="AK169" s="88">
        <v>2</v>
      </c>
      <c r="AL169" s="88">
        <v>20</v>
      </c>
      <c r="AM169" s="88">
        <v>9</v>
      </c>
      <c r="AN169" s="88">
        <v>0</v>
      </c>
      <c r="AO169" s="88">
        <v>1</v>
      </c>
      <c r="AP169" s="88" t="s">
        <v>1134</v>
      </c>
      <c r="AQ169" s="88" t="s">
        <v>1133</v>
      </c>
      <c r="AR169" s="88">
        <v>0</v>
      </c>
      <c r="AS169" s="88"/>
      <c r="AT169" s="88"/>
      <c r="AU169" s="88">
        <v>0</v>
      </c>
      <c r="AV169" s="88" t="s">
        <v>1133</v>
      </c>
      <c r="AW169" s="88" t="s">
        <v>1133</v>
      </c>
      <c r="AX169" s="88">
        <v>0</v>
      </c>
      <c r="AY169" s="88">
        <v>0</v>
      </c>
      <c r="AZ169" s="88">
        <v>0</v>
      </c>
      <c r="BA169" s="88">
        <v>0</v>
      </c>
      <c r="BB169" s="88" t="s">
        <v>0</v>
      </c>
    </row>
    <row r="170" spans="1:54">
      <c r="A170" s="88">
        <v>170</v>
      </c>
      <c r="B170" s="88">
        <v>170</v>
      </c>
      <c r="C170" s="88"/>
      <c r="D170" s="88" t="s">
        <v>170</v>
      </c>
      <c r="E170" s="88">
        <v>0</v>
      </c>
      <c r="F170" s="88">
        <v>1142</v>
      </c>
      <c r="G170" s="88">
        <v>1</v>
      </c>
      <c r="H170" s="88">
        <v>2</v>
      </c>
      <c r="I170" s="88">
        <v>2</v>
      </c>
      <c r="J170" s="88">
        <v>0</v>
      </c>
      <c r="K170" s="88">
        <v>0</v>
      </c>
      <c r="L170" s="88">
        <v>1</v>
      </c>
      <c r="M170" s="88">
        <v>40</v>
      </c>
      <c r="N170" s="88">
        <v>34</v>
      </c>
      <c r="O170" s="88">
        <v>1</v>
      </c>
      <c r="P170" s="88">
        <v>1</v>
      </c>
      <c r="Q170" s="88">
        <v>1</v>
      </c>
      <c r="R170" s="88">
        <v>20</v>
      </c>
      <c r="S170" s="88">
        <v>10</v>
      </c>
      <c r="T170" s="88">
        <v>0</v>
      </c>
      <c r="U170" s="88">
        <v>0</v>
      </c>
      <c r="V170" s="88">
        <v>0</v>
      </c>
      <c r="W170" s="88">
        <v>0</v>
      </c>
      <c r="X170" s="88">
        <v>20</v>
      </c>
      <c r="Y170" s="88">
        <v>0</v>
      </c>
      <c r="Z170" s="88">
        <v>10</v>
      </c>
      <c r="AA170" s="88">
        <v>0</v>
      </c>
      <c r="AB170" s="88">
        <v>1</v>
      </c>
      <c r="AC170" s="88">
        <v>0</v>
      </c>
      <c r="AD170" s="88">
        <v>0</v>
      </c>
      <c r="AE170" s="88" t="s">
        <v>1133</v>
      </c>
      <c r="AF170" s="88">
        <v>0</v>
      </c>
      <c r="AG170" s="88">
        <v>0</v>
      </c>
      <c r="AH170" s="88" t="s">
        <v>1133</v>
      </c>
      <c r="AI170" s="88" t="s">
        <v>1133</v>
      </c>
      <c r="AJ170" s="88" t="s">
        <v>1133</v>
      </c>
      <c r="AK170" s="88">
        <v>2</v>
      </c>
      <c r="AL170" s="88">
        <v>20</v>
      </c>
      <c r="AM170" s="88">
        <v>9</v>
      </c>
      <c r="AN170" s="88">
        <v>0</v>
      </c>
      <c r="AO170" s="88">
        <v>1</v>
      </c>
      <c r="AP170" s="88" t="s">
        <v>1134</v>
      </c>
      <c r="AQ170" s="88" t="s">
        <v>1133</v>
      </c>
      <c r="AR170" s="88">
        <v>0</v>
      </c>
      <c r="AS170" s="88"/>
      <c r="AT170" s="88"/>
      <c r="AU170" s="88">
        <v>0</v>
      </c>
      <c r="AV170" s="88" t="s">
        <v>1133</v>
      </c>
      <c r="AW170" s="88" t="s">
        <v>1133</v>
      </c>
      <c r="AX170" s="88">
        <v>0</v>
      </c>
      <c r="AY170" s="88">
        <v>0</v>
      </c>
      <c r="AZ170" s="88">
        <v>0</v>
      </c>
      <c r="BA170" s="88">
        <v>0</v>
      </c>
      <c r="BB170" s="88" t="s">
        <v>0</v>
      </c>
    </row>
    <row r="171" spans="1:54">
      <c r="A171" s="88">
        <v>171</v>
      </c>
      <c r="B171" s="88">
        <v>171</v>
      </c>
      <c r="C171" s="88"/>
      <c r="D171" s="88" t="s">
        <v>171</v>
      </c>
      <c r="E171" s="88">
        <v>0</v>
      </c>
      <c r="F171" s="88">
        <v>1142</v>
      </c>
      <c r="G171" s="88">
        <v>1</v>
      </c>
      <c r="H171" s="88">
        <v>2</v>
      </c>
      <c r="I171" s="88">
        <v>2</v>
      </c>
      <c r="J171" s="88">
        <v>0</v>
      </c>
      <c r="K171" s="88">
        <v>0</v>
      </c>
      <c r="L171" s="88">
        <v>1</v>
      </c>
      <c r="M171" s="88">
        <v>50</v>
      </c>
      <c r="N171" s="88">
        <v>34</v>
      </c>
      <c r="O171" s="88">
        <v>1</v>
      </c>
      <c r="P171" s="88">
        <v>1</v>
      </c>
      <c r="Q171" s="88">
        <v>1</v>
      </c>
      <c r="R171" s="88">
        <v>20</v>
      </c>
      <c r="S171" s="88">
        <v>10</v>
      </c>
      <c r="T171" s="88">
        <v>0</v>
      </c>
      <c r="U171" s="88">
        <v>0</v>
      </c>
      <c r="V171" s="88">
        <v>0</v>
      </c>
      <c r="W171" s="88">
        <v>0</v>
      </c>
      <c r="X171" s="88">
        <v>20</v>
      </c>
      <c r="Y171" s="88">
        <v>0</v>
      </c>
      <c r="Z171" s="88">
        <v>10</v>
      </c>
      <c r="AA171" s="88">
        <v>0</v>
      </c>
      <c r="AB171" s="88">
        <v>1</v>
      </c>
      <c r="AC171" s="88">
        <v>0</v>
      </c>
      <c r="AD171" s="88">
        <v>0</v>
      </c>
      <c r="AE171" s="88" t="s">
        <v>1133</v>
      </c>
      <c r="AF171" s="88">
        <v>0</v>
      </c>
      <c r="AG171" s="88">
        <v>0</v>
      </c>
      <c r="AH171" s="88" t="s">
        <v>1133</v>
      </c>
      <c r="AI171" s="88" t="s">
        <v>1133</v>
      </c>
      <c r="AJ171" s="88" t="s">
        <v>1133</v>
      </c>
      <c r="AK171" s="88">
        <v>2</v>
      </c>
      <c r="AL171" s="88">
        <v>20</v>
      </c>
      <c r="AM171" s="88">
        <v>9</v>
      </c>
      <c r="AN171" s="88">
        <v>0</v>
      </c>
      <c r="AO171" s="88">
        <v>1</v>
      </c>
      <c r="AP171" s="88" t="s">
        <v>1134</v>
      </c>
      <c r="AQ171" s="88" t="s">
        <v>1133</v>
      </c>
      <c r="AR171" s="88">
        <v>0</v>
      </c>
      <c r="AS171" s="88"/>
      <c r="AT171" s="88"/>
      <c r="AU171" s="88">
        <v>0</v>
      </c>
      <c r="AV171" s="88" t="s">
        <v>1133</v>
      </c>
      <c r="AW171" s="88" t="s">
        <v>1133</v>
      </c>
      <c r="AX171" s="88">
        <v>0</v>
      </c>
      <c r="AY171" s="88">
        <v>0</v>
      </c>
      <c r="AZ171" s="88">
        <v>0</v>
      </c>
      <c r="BA171" s="88">
        <v>0</v>
      </c>
      <c r="BB171" s="88" t="s">
        <v>0</v>
      </c>
    </row>
    <row r="172" spans="1:54">
      <c r="A172" s="88">
        <v>172</v>
      </c>
      <c r="B172" s="88">
        <v>172</v>
      </c>
      <c r="C172" s="88"/>
      <c r="D172" s="88" t="s">
        <v>172</v>
      </c>
      <c r="E172" s="88">
        <v>0</v>
      </c>
      <c r="F172" s="88">
        <v>1142</v>
      </c>
      <c r="G172" s="88">
        <v>1</v>
      </c>
      <c r="H172" s="88">
        <v>2</v>
      </c>
      <c r="I172" s="88">
        <v>2</v>
      </c>
      <c r="J172" s="88">
        <v>0</v>
      </c>
      <c r="K172" s="88">
        <v>0</v>
      </c>
      <c r="L172" s="88">
        <v>1</v>
      </c>
      <c r="M172" s="88">
        <v>80</v>
      </c>
      <c r="N172" s="88">
        <v>34</v>
      </c>
      <c r="O172" s="88">
        <v>1</v>
      </c>
      <c r="P172" s="88">
        <v>1</v>
      </c>
      <c r="Q172" s="88">
        <v>1</v>
      </c>
      <c r="R172" s="88">
        <v>20</v>
      </c>
      <c r="S172" s="88">
        <v>10</v>
      </c>
      <c r="T172" s="88">
        <v>0</v>
      </c>
      <c r="U172" s="88">
        <v>0</v>
      </c>
      <c r="V172" s="88">
        <v>0</v>
      </c>
      <c r="W172" s="88">
        <v>0</v>
      </c>
      <c r="X172" s="88">
        <v>20</v>
      </c>
      <c r="Y172" s="88">
        <v>0</v>
      </c>
      <c r="Z172" s="88">
        <v>10</v>
      </c>
      <c r="AA172" s="88">
        <v>0</v>
      </c>
      <c r="AB172" s="88">
        <v>1</v>
      </c>
      <c r="AC172" s="88">
        <v>0</v>
      </c>
      <c r="AD172" s="88">
        <v>0</v>
      </c>
      <c r="AE172" s="88" t="s">
        <v>1133</v>
      </c>
      <c r="AF172" s="88">
        <v>0</v>
      </c>
      <c r="AG172" s="88">
        <v>0</v>
      </c>
      <c r="AH172" s="88" t="s">
        <v>1133</v>
      </c>
      <c r="AI172" s="88" t="s">
        <v>1133</v>
      </c>
      <c r="AJ172" s="88" t="s">
        <v>1133</v>
      </c>
      <c r="AK172" s="88">
        <v>2</v>
      </c>
      <c r="AL172" s="88">
        <v>20</v>
      </c>
      <c r="AM172" s="88">
        <v>9</v>
      </c>
      <c r="AN172" s="88">
        <v>0</v>
      </c>
      <c r="AO172" s="88">
        <v>1</v>
      </c>
      <c r="AP172" s="88" t="s">
        <v>1134</v>
      </c>
      <c r="AQ172" s="88" t="s">
        <v>1133</v>
      </c>
      <c r="AR172" s="88">
        <v>0</v>
      </c>
      <c r="AS172" s="88"/>
      <c r="AT172" s="88"/>
      <c r="AU172" s="88">
        <v>0</v>
      </c>
      <c r="AV172" s="88" t="s">
        <v>1133</v>
      </c>
      <c r="AW172" s="88" t="s">
        <v>1133</v>
      </c>
      <c r="AX172" s="88">
        <v>0</v>
      </c>
      <c r="AY172" s="88">
        <v>0</v>
      </c>
      <c r="AZ172" s="88">
        <v>0</v>
      </c>
      <c r="BA172" s="88">
        <v>0</v>
      </c>
      <c r="BB172" s="88" t="s">
        <v>0</v>
      </c>
    </row>
    <row r="173" spans="1:54">
      <c r="A173" s="88">
        <v>173</v>
      </c>
      <c r="B173" s="88">
        <v>173</v>
      </c>
      <c r="C173" s="88"/>
      <c r="D173" s="88" t="s">
        <v>173</v>
      </c>
      <c r="E173" s="88">
        <v>0</v>
      </c>
      <c r="F173" s="88">
        <v>1142</v>
      </c>
      <c r="G173" s="88">
        <v>1</v>
      </c>
      <c r="H173" s="88">
        <v>2</v>
      </c>
      <c r="I173" s="88">
        <v>2</v>
      </c>
      <c r="J173" s="88">
        <v>0</v>
      </c>
      <c r="K173" s="88">
        <v>0</v>
      </c>
      <c r="L173" s="88">
        <v>1</v>
      </c>
      <c r="M173" s="88">
        <v>2</v>
      </c>
      <c r="N173" s="88">
        <v>34</v>
      </c>
      <c r="O173" s="88">
        <v>1</v>
      </c>
      <c r="P173" s="88">
        <v>1</v>
      </c>
      <c r="Q173" s="88">
        <v>1</v>
      </c>
      <c r="R173" s="88">
        <v>20</v>
      </c>
      <c r="S173" s="88">
        <v>10</v>
      </c>
      <c r="T173" s="88">
        <v>0</v>
      </c>
      <c r="U173" s="88">
        <v>0</v>
      </c>
      <c r="V173" s="88">
        <v>0</v>
      </c>
      <c r="W173" s="88">
        <v>0</v>
      </c>
      <c r="X173" s="88">
        <v>20</v>
      </c>
      <c r="Y173" s="88">
        <v>0</v>
      </c>
      <c r="Z173" s="88">
        <v>10</v>
      </c>
      <c r="AA173" s="88">
        <v>0</v>
      </c>
      <c r="AB173" s="88">
        <v>1</v>
      </c>
      <c r="AC173" s="88">
        <v>0</v>
      </c>
      <c r="AD173" s="88">
        <v>0</v>
      </c>
      <c r="AE173" s="88" t="s">
        <v>1133</v>
      </c>
      <c r="AF173" s="88">
        <v>0</v>
      </c>
      <c r="AG173" s="88">
        <v>0</v>
      </c>
      <c r="AH173" s="88" t="s">
        <v>1133</v>
      </c>
      <c r="AI173" s="88" t="s">
        <v>1133</v>
      </c>
      <c r="AJ173" s="88" t="s">
        <v>1133</v>
      </c>
      <c r="AK173" s="88">
        <v>2</v>
      </c>
      <c r="AL173" s="88">
        <v>20</v>
      </c>
      <c r="AM173" s="88">
        <v>9</v>
      </c>
      <c r="AN173" s="88">
        <v>0</v>
      </c>
      <c r="AO173" s="88">
        <v>1</v>
      </c>
      <c r="AP173" s="88" t="s">
        <v>1134</v>
      </c>
      <c r="AQ173" s="88" t="s">
        <v>1133</v>
      </c>
      <c r="AR173" s="88">
        <v>0</v>
      </c>
      <c r="AS173" s="88"/>
      <c r="AT173" s="88"/>
      <c r="AU173" s="88">
        <v>0</v>
      </c>
      <c r="AV173" s="88" t="s">
        <v>1133</v>
      </c>
      <c r="AW173" s="88" t="s">
        <v>1133</v>
      </c>
      <c r="AX173" s="88">
        <v>0</v>
      </c>
      <c r="AY173" s="88">
        <v>0</v>
      </c>
      <c r="AZ173" s="88">
        <v>0</v>
      </c>
      <c r="BA173" s="88">
        <v>0</v>
      </c>
      <c r="BB173" s="88" t="s">
        <v>0</v>
      </c>
    </row>
    <row r="174" spans="1:54">
      <c r="A174" s="88">
        <v>174</v>
      </c>
      <c r="B174" s="88">
        <v>174</v>
      </c>
      <c r="C174" s="88"/>
      <c r="D174" s="88" t="s">
        <v>174</v>
      </c>
      <c r="E174" s="88">
        <v>0</v>
      </c>
      <c r="F174" s="88">
        <v>1142</v>
      </c>
      <c r="G174" s="88">
        <v>1</v>
      </c>
      <c r="H174" s="88">
        <v>2</v>
      </c>
      <c r="I174" s="88">
        <v>2</v>
      </c>
      <c r="J174" s="88">
        <v>0</v>
      </c>
      <c r="K174" s="88">
        <v>0</v>
      </c>
      <c r="L174" s="88">
        <v>1</v>
      </c>
      <c r="M174" s="88">
        <v>5</v>
      </c>
      <c r="N174" s="88">
        <v>34</v>
      </c>
      <c r="O174" s="88">
        <v>1</v>
      </c>
      <c r="P174" s="88">
        <v>1</v>
      </c>
      <c r="Q174" s="88">
        <v>1</v>
      </c>
      <c r="R174" s="88">
        <v>20</v>
      </c>
      <c r="S174" s="88">
        <v>10</v>
      </c>
      <c r="T174" s="88">
        <v>0</v>
      </c>
      <c r="U174" s="88">
        <v>0</v>
      </c>
      <c r="V174" s="88">
        <v>0</v>
      </c>
      <c r="W174" s="88">
        <v>0</v>
      </c>
      <c r="X174" s="88">
        <v>20</v>
      </c>
      <c r="Y174" s="88">
        <v>0</v>
      </c>
      <c r="Z174" s="88">
        <v>10</v>
      </c>
      <c r="AA174" s="88">
        <v>0</v>
      </c>
      <c r="AB174" s="88">
        <v>1</v>
      </c>
      <c r="AC174" s="88">
        <v>0</v>
      </c>
      <c r="AD174" s="88">
        <v>0</v>
      </c>
      <c r="AE174" s="88" t="s">
        <v>1133</v>
      </c>
      <c r="AF174" s="88">
        <v>0</v>
      </c>
      <c r="AG174" s="88">
        <v>0</v>
      </c>
      <c r="AH174" s="88" t="s">
        <v>1133</v>
      </c>
      <c r="AI174" s="88" t="s">
        <v>1133</v>
      </c>
      <c r="AJ174" s="88" t="s">
        <v>1133</v>
      </c>
      <c r="AK174" s="88">
        <v>2</v>
      </c>
      <c r="AL174" s="88">
        <v>20</v>
      </c>
      <c r="AM174" s="88">
        <v>9</v>
      </c>
      <c r="AN174" s="88">
        <v>0</v>
      </c>
      <c r="AO174" s="88">
        <v>1</v>
      </c>
      <c r="AP174" s="88" t="s">
        <v>1134</v>
      </c>
      <c r="AQ174" s="88" t="s">
        <v>1133</v>
      </c>
      <c r="AR174" s="88">
        <v>0</v>
      </c>
      <c r="AS174" s="88"/>
      <c r="AT174" s="88"/>
      <c r="AU174" s="88">
        <v>0</v>
      </c>
      <c r="AV174" s="88" t="s">
        <v>1133</v>
      </c>
      <c r="AW174" s="88" t="s">
        <v>1133</v>
      </c>
      <c r="AX174" s="88">
        <v>0</v>
      </c>
      <c r="AY174" s="88">
        <v>0</v>
      </c>
      <c r="AZ174" s="88">
        <v>0</v>
      </c>
      <c r="BA174" s="88">
        <v>0</v>
      </c>
      <c r="BB174" s="88" t="s">
        <v>0</v>
      </c>
    </row>
    <row r="175" spans="1:54">
      <c r="A175" s="88">
        <v>175</v>
      </c>
      <c r="B175" s="88">
        <v>175</v>
      </c>
      <c r="C175" s="88"/>
      <c r="D175" s="88" t="s">
        <v>175</v>
      </c>
      <c r="E175" s="88">
        <v>0</v>
      </c>
      <c r="F175" s="88">
        <v>1142</v>
      </c>
      <c r="G175" s="88">
        <v>1</v>
      </c>
      <c r="H175" s="88">
        <v>2</v>
      </c>
      <c r="I175" s="88">
        <v>2</v>
      </c>
      <c r="J175" s="88">
        <v>0</v>
      </c>
      <c r="K175" s="88">
        <v>0</v>
      </c>
      <c r="L175" s="88">
        <v>1</v>
      </c>
      <c r="M175" s="88">
        <v>7</v>
      </c>
      <c r="N175" s="88">
        <v>34</v>
      </c>
      <c r="O175" s="88">
        <v>1</v>
      </c>
      <c r="P175" s="88">
        <v>1</v>
      </c>
      <c r="Q175" s="88">
        <v>1</v>
      </c>
      <c r="R175" s="88">
        <v>20</v>
      </c>
      <c r="S175" s="88">
        <v>10</v>
      </c>
      <c r="T175" s="88">
        <v>0</v>
      </c>
      <c r="U175" s="88">
        <v>0</v>
      </c>
      <c r="V175" s="88">
        <v>0</v>
      </c>
      <c r="W175" s="88">
        <v>0</v>
      </c>
      <c r="X175" s="88">
        <v>20</v>
      </c>
      <c r="Y175" s="88">
        <v>0</v>
      </c>
      <c r="Z175" s="88">
        <v>10</v>
      </c>
      <c r="AA175" s="88">
        <v>0</v>
      </c>
      <c r="AB175" s="88">
        <v>1</v>
      </c>
      <c r="AC175" s="88">
        <v>0</v>
      </c>
      <c r="AD175" s="88">
        <v>0</v>
      </c>
      <c r="AE175" s="88" t="s">
        <v>1133</v>
      </c>
      <c r="AF175" s="88">
        <v>0</v>
      </c>
      <c r="AG175" s="88">
        <v>0</v>
      </c>
      <c r="AH175" s="88" t="s">
        <v>1133</v>
      </c>
      <c r="AI175" s="88" t="s">
        <v>1133</v>
      </c>
      <c r="AJ175" s="88" t="s">
        <v>1133</v>
      </c>
      <c r="AK175" s="88">
        <v>2</v>
      </c>
      <c r="AL175" s="88">
        <v>20</v>
      </c>
      <c r="AM175" s="88">
        <v>9</v>
      </c>
      <c r="AN175" s="88">
        <v>0</v>
      </c>
      <c r="AO175" s="88">
        <v>1</v>
      </c>
      <c r="AP175" s="88" t="s">
        <v>1134</v>
      </c>
      <c r="AQ175" s="88" t="s">
        <v>1133</v>
      </c>
      <c r="AR175" s="88">
        <v>0</v>
      </c>
      <c r="AS175" s="88"/>
      <c r="AT175" s="88"/>
      <c r="AU175" s="88">
        <v>0</v>
      </c>
      <c r="AV175" s="88" t="s">
        <v>1133</v>
      </c>
      <c r="AW175" s="88" t="s">
        <v>1133</v>
      </c>
      <c r="AX175" s="88">
        <v>0</v>
      </c>
      <c r="AY175" s="88">
        <v>0</v>
      </c>
      <c r="AZ175" s="88">
        <v>0</v>
      </c>
      <c r="BA175" s="88">
        <v>0</v>
      </c>
      <c r="BB175" s="88" t="s">
        <v>0</v>
      </c>
    </row>
    <row r="176" spans="1:54">
      <c r="A176" s="88">
        <v>176</v>
      </c>
      <c r="B176" s="88">
        <v>176</v>
      </c>
      <c r="C176" s="88"/>
      <c r="D176" s="88" t="s">
        <v>176</v>
      </c>
      <c r="E176" s="88">
        <v>0</v>
      </c>
      <c r="F176" s="88">
        <v>1142</v>
      </c>
      <c r="G176" s="88">
        <v>1</v>
      </c>
      <c r="H176" s="88">
        <v>2</v>
      </c>
      <c r="I176" s="88">
        <v>2</v>
      </c>
      <c r="J176" s="88">
        <v>0</v>
      </c>
      <c r="K176" s="88">
        <v>0</v>
      </c>
      <c r="L176" s="88">
        <v>1</v>
      </c>
      <c r="M176" s="88">
        <v>10</v>
      </c>
      <c r="N176" s="88">
        <v>34</v>
      </c>
      <c r="O176" s="88">
        <v>1</v>
      </c>
      <c r="P176" s="88">
        <v>1</v>
      </c>
      <c r="Q176" s="88">
        <v>1</v>
      </c>
      <c r="R176" s="88">
        <v>20</v>
      </c>
      <c r="S176" s="88">
        <v>10</v>
      </c>
      <c r="T176" s="88">
        <v>0</v>
      </c>
      <c r="U176" s="88">
        <v>0</v>
      </c>
      <c r="V176" s="88">
        <v>0</v>
      </c>
      <c r="W176" s="88">
        <v>0</v>
      </c>
      <c r="X176" s="88">
        <v>20</v>
      </c>
      <c r="Y176" s="88">
        <v>0</v>
      </c>
      <c r="Z176" s="88">
        <v>10</v>
      </c>
      <c r="AA176" s="88">
        <v>0</v>
      </c>
      <c r="AB176" s="88">
        <v>1</v>
      </c>
      <c r="AC176" s="88">
        <v>0</v>
      </c>
      <c r="AD176" s="88">
        <v>0</v>
      </c>
      <c r="AE176" s="88" t="s">
        <v>1133</v>
      </c>
      <c r="AF176" s="88">
        <v>0</v>
      </c>
      <c r="AG176" s="88">
        <v>0</v>
      </c>
      <c r="AH176" s="88" t="s">
        <v>1133</v>
      </c>
      <c r="AI176" s="88" t="s">
        <v>1133</v>
      </c>
      <c r="AJ176" s="88" t="s">
        <v>1133</v>
      </c>
      <c r="AK176" s="88">
        <v>2</v>
      </c>
      <c r="AL176" s="88">
        <v>20</v>
      </c>
      <c r="AM176" s="88">
        <v>9</v>
      </c>
      <c r="AN176" s="88">
        <v>0</v>
      </c>
      <c r="AO176" s="88">
        <v>1</v>
      </c>
      <c r="AP176" s="88" t="s">
        <v>1134</v>
      </c>
      <c r="AQ176" s="88" t="s">
        <v>1133</v>
      </c>
      <c r="AR176" s="88">
        <v>0</v>
      </c>
      <c r="AS176" s="88"/>
      <c r="AT176" s="88"/>
      <c r="AU176" s="88">
        <v>0</v>
      </c>
      <c r="AV176" s="88" t="s">
        <v>1133</v>
      </c>
      <c r="AW176" s="88" t="s">
        <v>1133</v>
      </c>
      <c r="AX176" s="88">
        <v>0</v>
      </c>
      <c r="AY176" s="88">
        <v>0</v>
      </c>
      <c r="AZ176" s="88">
        <v>0</v>
      </c>
      <c r="BA176" s="88">
        <v>0</v>
      </c>
      <c r="BB176" s="88" t="s">
        <v>0</v>
      </c>
    </row>
    <row r="177" spans="1:54">
      <c r="A177" s="88">
        <v>177</v>
      </c>
      <c r="B177" s="88">
        <v>177</v>
      </c>
      <c r="C177" s="88"/>
      <c r="D177" s="88" t="s">
        <v>177</v>
      </c>
      <c r="E177" s="88">
        <v>0</v>
      </c>
      <c r="F177" s="88">
        <v>1142</v>
      </c>
      <c r="G177" s="88">
        <v>1</v>
      </c>
      <c r="H177" s="88">
        <v>2</v>
      </c>
      <c r="I177" s="88">
        <v>2</v>
      </c>
      <c r="J177" s="88">
        <v>0</v>
      </c>
      <c r="K177" s="88">
        <v>0</v>
      </c>
      <c r="L177" s="88">
        <v>1</v>
      </c>
      <c r="M177" s="88">
        <v>14</v>
      </c>
      <c r="N177" s="88">
        <v>34</v>
      </c>
      <c r="O177" s="88">
        <v>1</v>
      </c>
      <c r="P177" s="88">
        <v>1</v>
      </c>
      <c r="Q177" s="88">
        <v>1</v>
      </c>
      <c r="R177" s="88">
        <v>20</v>
      </c>
      <c r="S177" s="88">
        <v>10</v>
      </c>
      <c r="T177" s="88">
        <v>0</v>
      </c>
      <c r="U177" s="88">
        <v>0</v>
      </c>
      <c r="V177" s="88">
        <v>0</v>
      </c>
      <c r="W177" s="88">
        <v>0</v>
      </c>
      <c r="X177" s="88">
        <v>20</v>
      </c>
      <c r="Y177" s="88">
        <v>0</v>
      </c>
      <c r="Z177" s="88">
        <v>10</v>
      </c>
      <c r="AA177" s="88">
        <v>0</v>
      </c>
      <c r="AB177" s="88">
        <v>1</v>
      </c>
      <c r="AC177" s="88">
        <v>0</v>
      </c>
      <c r="AD177" s="88">
        <v>0</v>
      </c>
      <c r="AE177" s="88" t="s">
        <v>1133</v>
      </c>
      <c r="AF177" s="88">
        <v>0</v>
      </c>
      <c r="AG177" s="88">
        <v>0</v>
      </c>
      <c r="AH177" s="88" t="s">
        <v>1133</v>
      </c>
      <c r="AI177" s="88" t="s">
        <v>1133</v>
      </c>
      <c r="AJ177" s="88" t="s">
        <v>1133</v>
      </c>
      <c r="AK177" s="88">
        <v>2</v>
      </c>
      <c r="AL177" s="88">
        <v>20</v>
      </c>
      <c r="AM177" s="88">
        <v>9</v>
      </c>
      <c r="AN177" s="88">
        <v>0</v>
      </c>
      <c r="AO177" s="88">
        <v>1</v>
      </c>
      <c r="AP177" s="88" t="s">
        <v>1134</v>
      </c>
      <c r="AQ177" s="88" t="s">
        <v>1133</v>
      </c>
      <c r="AR177" s="88">
        <v>0</v>
      </c>
      <c r="AS177" s="88"/>
      <c r="AT177" s="88"/>
      <c r="AU177" s="88">
        <v>0</v>
      </c>
      <c r="AV177" s="88" t="s">
        <v>1133</v>
      </c>
      <c r="AW177" s="88" t="s">
        <v>1133</v>
      </c>
      <c r="AX177" s="88">
        <v>0</v>
      </c>
      <c r="AY177" s="88">
        <v>0</v>
      </c>
      <c r="AZ177" s="88">
        <v>0</v>
      </c>
      <c r="BA177" s="88">
        <v>0</v>
      </c>
      <c r="BB177" s="88" t="s">
        <v>0</v>
      </c>
    </row>
    <row r="178" spans="1:54">
      <c r="A178" s="88">
        <v>178</v>
      </c>
      <c r="B178" s="88">
        <v>178</v>
      </c>
      <c r="C178" s="88"/>
      <c r="D178" s="88" t="s">
        <v>178</v>
      </c>
      <c r="E178" s="88">
        <v>0</v>
      </c>
      <c r="F178" s="88">
        <v>1142</v>
      </c>
      <c r="G178" s="88">
        <v>1</v>
      </c>
      <c r="H178" s="88">
        <v>2</v>
      </c>
      <c r="I178" s="88">
        <v>2</v>
      </c>
      <c r="J178" s="88">
        <v>0</v>
      </c>
      <c r="K178" s="88">
        <v>0</v>
      </c>
      <c r="L178" s="88">
        <v>1</v>
      </c>
      <c r="M178" s="88">
        <v>16</v>
      </c>
      <c r="N178" s="88">
        <v>34</v>
      </c>
      <c r="O178" s="88">
        <v>1</v>
      </c>
      <c r="P178" s="88">
        <v>1</v>
      </c>
      <c r="Q178" s="88">
        <v>1</v>
      </c>
      <c r="R178" s="88">
        <v>20</v>
      </c>
      <c r="S178" s="88">
        <v>10</v>
      </c>
      <c r="T178" s="88">
        <v>0</v>
      </c>
      <c r="U178" s="88">
        <v>0</v>
      </c>
      <c r="V178" s="88">
        <v>0</v>
      </c>
      <c r="W178" s="88">
        <v>0</v>
      </c>
      <c r="X178" s="88">
        <v>20</v>
      </c>
      <c r="Y178" s="88">
        <v>0</v>
      </c>
      <c r="Z178" s="88">
        <v>10</v>
      </c>
      <c r="AA178" s="88">
        <v>0</v>
      </c>
      <c r="AB178" s="88">
        <v>1</v>
      </c>
      <c r="AC178" s="88">
        <v>0</v>
      </c>
      <c r="AD178" s="88">
        <v>0</v>
      </c>
      <c r="AE178" s="88" t="s">
        <v>1133</v>
      </c>
      <c r="AF178" s="88">
        <v>0</v>
      </c>
      <c r="AG178" s="88">
        <v>0</v>
      </c>
      <c r="AH178" s="88" t="s">
        <v>1133</v>
      </c>
      <c r="AI178" s="88" t="s">
        <v>1133</v>
      </c>
      <c r="AJ178" s="88" t="s">
        <v>1133</v>
      </c>
      <c r="AK178" s="88">
        <v>2</v>
      </c>
      <c r="AL178" s="88">
        <v>20</v>
      </c>
      <c r="AM178" s="88">
        <v>9</v>
      </c>
      <c r="AN178" s="88">
        <v>0</v>
      </c>
      <c r="AO178" s="88">
        <v>1</v>
      </c>
      <c r="AP178" s="88" t="s">
        <v>1134</v>
      </c>
      <c r="AQ178" s="88" t="s">
        <v>1133</v>
      </c>
      <c r="AR178" s="88">
        <v>0</v>
      </c>
      <c r="AS178" s="88"/>
      <c r="AT178" s="88"/>
      <c r="AU178" s="88">
        <v>0</v>
      </c>
      <c r="AV178" s="88" t="s">
        <v>1133</v>
      </c>
      <c r="AW178" s="88" t="s">
        <v>1133</v>
      </c>
      <c r="AX178" s="88">
        <v>0</v>
      </c>
      <c r="AY178" s="88">
        <v>0</v>
      </c>
      <c r="AZ178" s="88">
        <v>0</v>
      </c>
      <c r="BA178" s="88">
        <v>0</v>
      </c>
      <c r="BB178" s="88" t="s">
        <v>0</v>
      </c>
    </row>
    <row r="179" spans="1:54">
      <c r="A179" s="88">
        <v>179</v>
      </c>
      <c r="B179" s="88">
        <v>179</v>
      </c>
      <c r="C179" s="88"/>
      <c r="D179" s="88" t="s">
        <v>179</v>
      </c>
      <c r="E179" s="88">
        <v>0</v>
      </c>
      <c r="F179" s="88">
        <v>1142</v>
      </c>
      <c r="G179" s="88">
        <v>1</v>
      </c>
      <c r="H179" s="88">
        <v>2</v>
      </c>
      <c r="I179" s="88">
        <v>2</v>
      </c>
      <c r="J179" s="88">
        <v>0</v>
      </c>
      <c r="K179" s="88">
        <v>0</v>
      </c>
      <c r="L179" s="88">
        <v>1</v>
      </c>
      <c r="M179" s="88">
        <v>20</v>
      </c>
      <c r="N179" s="88">
        <v>34</v>
      </c>
      <c r="O179" s="88">
        <v>1</v>
      </c>
      <c r="P179" s="88">
        <v>1</v>
      </c>
      <c r="Q179" s="88">
        <v>1</v>
      </c>
      <c r="R179" s="88">
        <v>20</v>
      </c>
      <c r="S179" s="88">
        <v>10</v>
      </c>
      <c r="T179" s="88">
        <v>0</v>
      </c>
      <c r="U179" s="88">
        <v>0</v>
      </c>
      <c r="V179" s="88">
        <v>0</v>
      </c>
      <c r="W179" s="88">
        <v>0</v>
      </c>
      <c r="X179" s="88">
        <v>20</v>
      </c>
      <c r="Y179" s="88">
        <v>0</v>
      </c>
      <c r="Z179" s="88">
        <v>10</v>
      </c>
      <c r="AA179" s="88">
        <v>0</v>
      </c>
      <c r="AB179" s="88">
        <v>1</v>
      </c>
      <c r="AC179" s="88">
        <v>0</v>
      </c>
      <c r="AD179" s="88">
        <v>0</v>
      </c>
      <c r="AE179" s="88" t="s">
        <v>1133</v>
      </c>
      <c r="AF179" s="88">
        <v>0</v>
      </c>
      <c r="AG179" s="88">
        <v>0</v>
      </c>
      <c r="AH179" s="88" t="s">
        <v>1133</v>
      </c>
      <c r="AI179" s="88" t="s">
        <v>1133</v>
      </c>
      <c r="AJ179" s="88" t="s">
        <v>1133</v>
      </c>
      <c r="AK179" s="88">
        <v>2</v>
      </c>
      <c r="AL179" s="88">
        <v>20</v>
      </c>
      <c r="AM179" s="88">
        <v>9</v>
      </c>
      <c r="AN179" s="88">
        <v>0</v>
      </c>
      <c r="AO179" s="88">
        <v>1</v>
      </c>
      <c r="AP179" s="88" t="s">
        <v>1134</v>
      </c>
      <c r="AQ179" s="88" t="s">
        <v>1133</v>
      </c>
      <c r="AR179" s="88">
        <v>0</v>
      </c>
      <c r="AS179" s="88"/>
      <c r="AT179" s="88"/>
      <c r="AU179" s="88">
        <v>0</v>
      </c>
      <c r="AV179" s="88" t="s">
        <v>1133</v>
      </c>
      <c r="AW179" s="88" t="s">
        <v>1133</v>
      </c>
      <c r="AX179" s="88">
        <v>0</v>
      </c>
      <c r="AY179" s="88">
        <v>0</v>
      </c>
      <c r="AZ179" s="88">
        <v>0</v>
      </c>
      <c r="BA179" s="88">
        <v>0</v>
      </c>
      <c r="BB179" s="88" t="s">
        <v>0</v>
      </c>
    </row>
    <row r="180" spans="1:54">
      <c r="A180" s="88">
        <v>180</v>
      </c>
      <c r="B180" s="88">
        <v>180</v>
      </c>
      <c r="C180" s="88"/>
      <c r="D180" s="88" t="s">
        <v>180</v>
      </c>
      <c r="E180" s="88">
        <v>0</v>
      </c>
      <c r="F180" s="88">
        <v>1142</v>
      </c>
      <c r="G180" s="88">
        <v>1</v>
      </c>
      <c r="H180" s="88">
        <v>2</v>
      </c>
      <c r="I180" s="88">
        <v>2</v>
      </c>
      <c r="J180" s="88">
        <v>0</v>
      </c>
      <c r="K180" s="88">
        <v>0</v>
      </c>
      <c r="L180" s="88">
        <v>1</v>
      </c>
      <c r="M180" s="88">
        <v>30</v>
      </c>
      <c r="N180" s="88">
        <v>34</v>
      </c>
      <c r="O180" s="88">
        <v>1</v>
      </c>
      <c r="P180" s="88">
        <v>1</v>
      </c>
      <c r="Q180" s="88">
        <v>1</v>
      </c>
      <c r="R180" s="88">
        <v>20</v>
      </c>
      <c r="S180" s="88">
        <v>10</v>
      </c>
      <c r="T180" s="88">
        <v>0</v>
      </c>
      <c r="U180" s="88">
        <v>0</v>
      </c>
      <c r="V180" s="88">
        <v>0</v>
      </c>
      <c r="W180" s="88">
        <v>0</v>
      </c>
      <c r="X180" s="88">
        <v>20</v>
      </c>
      <c r="Y180" s="88">
        <v>0</v>
      </c>
      <c r="Z180" s="88">
        <v>10</v>
      </c>
      <c r="AA180" s="88">
        <v>0</v>
      </c>
      <c r="AB180" s="88">
        <v>1</v>
      </c>
      <c r="AC180" s="88">
        <v>0</v>
      </c>
      <c r="AD180" s="88">
        <v>0</v>
      </c>
      <c r="AE180" s="88" t="s">
        <v>1133</v>
      </c>
      <c r="AF180" s="88">
        <v>0</v>
      </c>
      <c r="AG180" s="88">
        <v>0</v>
      </c>
      <c r="AH180" s="88" t="s">
        <v>1133</v>
      </c>
      <c r="AI180" s="88" t="s">
        <v>1133</v>
      </c>
      <c r="AJ180" s="88" t="s">
        <v>1133</v>
      </c>
      <c r="AK180" s="88">
        <v>2</v>
      </c>
      <c r="AL180" s="88">
        <v>20</v>
      </c>
      <c r="AM180" s="88">
        <v>9</v>
      </c>
      <c r="AN180" s="88">
        <v>0</v>
      </c>
      <c r="AO180" s="88">
        <v>1</v>
      </c>
      <c r="AP180" s="88" t="s">
        <v>1134</v>
      </c>
      <c r="AQ180" s="88" t="s">
        <v>1133</v>
      </c>
      <c r="AR180" s="88">
        <v>0</v>
      </c>
      <c r="AS180" s="88"/>
      <c r="AT180" s="88"/>
      <c r="AU180" s="88">
        <v>0</v>
      </c>
      <c r="AV180" s="88" t="s">
        <v>1133</v>
      </c>
      <c r="AW180" s="88" t="s">
        <v>1133</v>
      </c>
      <c r="AX180" s="88">
        <v>0</v>
      </c>
      <c r="AY180" s="88">
        <v>0</v>
      </c>
      <c r="AZ180" s="88">
        <v>0</v>
      </c>
      <c r="BA180" s="88">
        <v>0</v>
      </c>
      <c r="BB180" s="88" t="s">
        <v>0</v>
      </c>
    </row>
    <row r="181" spans="1:54">
      <c r="A181" s="88">
        <v>181</v>
      </c>
      <c r="B181" s="88">
        <v>181</v>
      </c>
      <c r="C181" s="88"/>
      <c r="D181" s="88" t="s">
        <v>181</v>
      </c>
      <c r="E181" s="88">
        <v>0</v>
      </c>
      <c r="F181" s="88">
        <v>1142</v>
      </c>
      <c r="G181" s="88">
        <v>1</v>
      </c>
      <c r="H181" s="88">
        <v>2</v>
      </c>
      <c r="I181" s="88">
        <v>2</v>
      </c>
      <c r="J181" s="88">
        <v>0</v>
      </c>
      <c r="K181" s="88">
        <v>0</v>
      </c>
      <c r="L181" s="88">
        <v>1</v>
      </c>
      <c r="M181" s="88">
        <v>40</v>
      </c>
      <c r="N181" s="88">
        <v>34</v>
      </c>
      <c r="O181" s="88">
        <v>1</v>
      </c>
      <c r="P181" s="88">
        <v>1</v>
      </c>
      <c r="Q181" s="88">
        <v>1</v>
      </c>
      <c r="R181" s="88">
        <v>20</v>
      </c>
      <c r="S181" s="88">
        <v>10</v>
      </c>
      <c r="T181" s="88">
        <v>0</v>
      </c>
      <c r="U181" s="88">
        <v>0</v>
      </c>
      <c r="V181" s="88">
        <v>0</v>
      </c>
      <c r="W181" s="88">
        <v>0</v>
      </c>
      <c r="X181" s="88">
        <v>20</v>
      </c>
      <c r="Y181" s="88">
        <v>0</v>
      </c>
      <c r="Z181" s="88">
        <v>10</v>
      </c>
      <c r="AA181" s="88">
        <v>0</v>
      </c>
      <c r="AB181" s="88">
        <v>1</v>
      </c>
      <c r="AC181" s="88">
        <v>0</v>
      </c>
      <c r="AD181" s="88">
        <v>0</v>
      </c>
      <c r="AE181" s="88" t="s">
        <v>1133</v>
      </c>
      <c r="AF181" s="88">
        <v>0</v>
      </c>
      <c r="AG181" s="88">
        <v>0</v>
      </c>
      <c r="AH181" s="88" t="s">
        <v>1133</v>
      </c>
      <c r="AI181" s="88" t="s">
        <v>1133</v>
      </c>
      <c r="AJ181" s="88" t="s">
        <v>1133</v>
      </c>
      <c r="AK181" s="88">
        <v>2</v>
      </c>
      <c r="AL181" s="88">
        <v>20</v>
      </c>
      <c r="AM181" s="88">
        <v>9</v>
      </c>
      <c r="AN181" s="88">
        <v>0</v>
      </c>
      <c r="AO181" s="88">
        <v>1</v>
      </c>
      <c r="AP181" s="88" t="s">
        <v>1134</v>
      </c>
      <c r="AQ181" s="88" t="s">
        <v>1133</v>
      </c>
      <c r="AR181" s="88">
        <v>0</v>
      </c>
      <c r="AS181" s="88"/>
      <c r="AT181" s="88"/>
      <c r="AU181" s="88">
        <v>0</v>
      </c>
      <c r="AV181" s="88" t="s">
        <v>1133</v>
      </c>
      <c r="AW181" s="88" t="s">
        <v>1133</v>
      </c>
      <c r="AX181" s="88">
        <v>0</v>
      </c>
      <c r="AY181" s="88">
        <v>0</v>
      </c>
      <c r="AZ181" s="88">
        <v>0</v>
      </c>
      <c r="BA181" s="88">
        <v>0</v>
      </c>
      <c r="BB181" s="88" t="s">
        <v>0</v>
      </c>
    </row>
    <row r="182" spans="1:54">
      <c r="A182" s="88">
        <v>182</v>
      </c>
      <c r="B182" s="88">
        <v>182</v>
      </c>
      <c r="C182" s="88"/>
      <c r="D182" s="88" t="s">
        <v>182</v>
      </c>
      <c r="E182" s="88">
        <v>0</v>
      </c>
      <c r="F182" s="88">
        <v>1142</v>
      </c>
      <c r="G182" s="88">
        <v>1</v>
      </c>
      <c r="H182" s="88">
        <v>2</v>
      </c>
      <c r="I182" s="88">
        <v>2</v>
      </c>
      <c r="J182" s="88">
        <v>0</v>
      </c>
      <c r="K182" s="88">
        <v>0</v>
      </c>
      <c r="L182" s="88">
        <v>1</v>
      </c>
      <c r="M182" s="88">
        <v>50</v>
      </c>
      <c r="N182" s="88">
        <v>34</v>
      </c>
      <c r="O182" s="88">
        <v>1</v>
      </c>
      <c r="P182" s="88">
        <v>1</v>
      </c>
      <c r="Q182" s="88">
        <v>1</v>
      </c>
      <c r="R182" s="88">
        <v>20</v>
      </c>
      <c r="S182" s="88">
        <v>10</v>
      </c>
      <c r="T182" s="88">
        <v>0</v>
      </c>
      <c r="U182" s="88">
        <v>0</v>
      </c>
      <c r="V182" s="88">
        <v>0</v>
      </c>
      <c r="W182" s="88">
        <v>0</v>
      </c>
      <c r="X182" s="88">
        <v>20</v>
      </c>
      <c r="Y182" s="88">
        <v>0</v>
      </c>
      <c r="Z182" s="88">
        <v>10</v>
      </c>
      <c r="AA182" s="88">
        <v>0</v>
      </c>
      <c r="AB182" s="88">
        <v>1</v>
      </c>
      <c r="AC182" s="88">
        <v>0</v>
      </c>
      <c r="AD182" s="88">
        <v>0</v>
      </c>
      <c r="AE182" s="88" t="s">
        <v>1133</v>
      </c>
      <c r="AF182" s="88">
        <v>0</v>
      </c>
      <c r="AG182" s="88">
        <v>0</v>
      </c>
      <c r="AH182" s="88" t="s">
        <v>1133</v>
      </c>
      <c r="AI182" s="88" t="s">
        <v>1133</v>
      </c>
      <c r="AJ182" s="88" t="s">
        <v>1133</v>
      </c>
      <c r="AK182" s="88">
        <v>2</v>
      </c>
      <c r="AL182" s="88">
        <v>20</v>
      </c>
      <c r="AM182" s="88">
        <v>9</v>
      </c>
      <c r="AN182" s="88">
        <v>0</v>
      </c>
      <c r="AO182" s="88">
        <v>1</v>
      </c>
      <c r="AP182" s="88" t="s">
        <v>1134</v>
      </c>
      <c r="AQ182" s="88" t="s">
        <v>1133</v>
      </c>
      <c r="AR182" s="88">
        <v>0</v>
      </c>
      <c r="AS182" s="88"/>
      <c r="AT182" s="88"/>
      <c r="AU182" s="88">
        <v>0</v>
      </c>
      <c r="AV182" s="88" t="s">
        <v>1133</v>
      </c>
      <c r="AW182" s="88" t="s">
        <v>1133</v>
      </c>
      <c r="AX182" s="88">
        <v>0</v>
      </c>
      <c r="AY182" s="88">
        <v>0</v>
      </c>
      <c r="AZ182" s="88">
        <v>0</v>
      </c>
      <c r="BA182" s="88">
        <v>0</v>
      </c>
      <c r="BB182" s="88" t="s">
        <v>0</v>
      </c>
    </row>
    <row r="183" spans="1:54">
      <c r="A183" s="88">
        <v>183</v>
      </c>
      <c r="B183" s="88">
        <v>183</v>
      </c>
      <c r="C183" s="88"/>
      <c r="D183" s="88" t="s">
        <v>183</v>
      </c>
      <c r="E183" s="88">
        <v>0</v>
      </c>
      <c r="F183" s="88">
        <v>1142</v>
      </c>
      <c r="G183" s="88">
        <v>1</v>
      </c>
      <c r="H183" s="88">
        <v>2</v>
      </c>
      <c r="I183" s="88">
        <v>2</v>
      </c>
      <c r="J183" s="88">
        <v>0</v>
      </c>
      <c r="K183" s="88">
        <v>0</v>
      </c>
      <c r="L183" s="88">
        <v>1</v>
      </c>
      <c r="M183" s="88">
        <v>80</v>
      </c>
      <c r="N183" s="88">
        <v>34</v>
      </c>
      <c r="O183" s="88">
        <v>1</v>
      </c>
      <c r="P183" s="88">
        <v>1</v>
      </c>
      <c r="Q183" s="88">
        <v>1</v>
      </c>
      <c r="R183" s="88">
        <v>20</v>
      </c>
      <c r="S183" s="88">
        <v>10</v>
      </c>
      <c r="T183" s="88">
        <v>0</v>
      </c>
      <c r="U183" s="88">
        <v>0</v>
      </c>
      <c r="V183" s="88">
        <v>0</v>
      </c>
      <c r="W183" s="88">
        <v>0</v>
      </c>
      <c r="X183" s="88">
        <v>20</v>
      </c>
      <c r="Y183" s="88">
        <v>0</v>
      </c>
      <c r="Z183" s="88">
        <v>10</v>
      </c>
      <c r="AA183" s="88">
        <v>0</v>
      </c>
      <c r="AB183" s="88">
        <v>1</v>
      </c>
      <c r="AC183" s="88">
        <v>0</v>
      </c>
      <c r="AD183" s="88">
        <v>0</v>
      </c>
      <c r="AE183" s="88" t="s">
        <v>1133</v>
      </c>
      <c r="AF183" s="88">
        <v>0</v>
      </c>
      <c r="AG183" s="88">
        <v>0</v>
      </c>
      <c r="AH183" s="88" t="s">
        <v>1133</v>
      </c>
      <c r="AI183" s="88" t="s">
        <v>1133</v>
      </c>
      <c r="AJ183" s="88" t="s">
        <v>1133</v>
      </c>
      <c r="AK183" s="88">
        <v>2</v>
      </c>
      <c r="AL183" s="88">
        <v>20</v>
      </c>
      <c r="AM183" s="88">
        <v>9</v>
      </c>
      <c r="AN183" s="88">
        <v>0</v>
      </c>
      <c r="AO183" s="88">
        <v>1</v>
      </c>
      <c r="AP183" s="88" t="s">
        <v>1134</v>
      </c>
      <c r="AQ183" s="88" t="s">
        <v>1133</v>
      </c>
      <c r="AR183" s="88">
        <v>0</v>
      </c>
      <c r="AS183" s="88"/>
      <c r="AT183" s="88"/>
      <c r="AU183" s="88">
        <v>0</v>
      </c>
      <c r="AV183" s="88" t="s">
        <v>1133</v>
      </c>
      <c r="AW183" s="88" t="s">
        <v>1133</v>
      </c>
      <c r="AX183" s="88">
        <v>0</v>
      </c>
      <c r="AY183" s="88">
        <v>0</v>
      </c>
      <c r="AZ183" s="88">
        <v>0</v>
      </c>
      <c r="BA183" s="88">
        <v>0</v>
      </c>
      <c r="BB183" s="88" t="s">
        <v>0</v>
      </c>
    </row>
    <row r="184" spans="1:54">
      <c r="A184" s="88">
        <v>184</v>
      </c>
      <c r="B184" s="88">
        <v>184</v>
      </c>
      <c r="C184" s="88"/>
      <c r="D184" s="88" t="s">
        <v>184</v>
      </c>
      <c r="E184" s="88">
        <v>0</v>
      </c>
      <c r="F184" s="88">
        <v>1149</v>
      </c>
      <c r="G184" s="88">
        <v>1</v>
      </c>
      <c r="H184" s="88">
        <v>2</v>
      </c>
      <c r="I184" s="88">
        <v>2</v>
      </c>
      <c r="J184" s="88">
        <v>0</v>
      </c>
      <c r="K184" s="88">
        <v>0</v>
      </c>
      <c r="L184" s="88">
        <v>1</v>
      </c>
      <c r="M184" s="88">
        <v>2</v>
      </c>
      <c r="N184" s="88">
        <v>34</v>
      </c>
      <c r="O184" s="88">
        <v>1</v>
      </c>
      <c r="P184" s="88">
        <v>1</v>
      </c>
      <c r="Q184" s="88">
        <v>1</v>
      </c>
      <c r="R184" s="88">
        <v>20</v>
      </c>
      <c r="S184" s="88">
        <v>10</v>
      </c>
      <c r="T184" s="88">
        <v>0</v>
      </c>
      <c r="U184" s="88">
        <v>0</v>
      </c>
      <c r="V184" s="88">
        <v>0</v>
      </c>
      <c r="W184" s="88">
        <v>0</v>
      </c>
      <c r="X184" s="88">
        <v>20</v>
      </c>
      <c r="Y184" s="88">
        <v>0</v>
      </c>
      <c r="Z184" s="88">
        <v>10</v>
      </c>
      <c r="AA184" s="88">
        <v>0</v>
      </c>
      <c r="AB184" s="88">
        <v>1</v>
      </c>
      <c r="AC184" s="88">
        <v>0</v>
      </c>
      <c r="AD184" s="88">
        <v>0</v>
      </c>
      <c r="AE184" s="88" t="s">
        <v>1133</v>
      </c>
      <c r="AF184" s="88">
        <v>0</v>
      </c>
      <c r="AG184" s="88">
        <v>0</v>
      </c>
      <c r="AH184" s="88" t="s">
        <v>1133</v>
      </c>
      <c r="AI184" s="88" t="s">
        <v>1133</v>
      </c>
      <c r="AJ184" s="88" t="s">
        <v>1133</v>
      </c>
      <c r="AK184" s="88">
        <v>2</v>
      </c>
      <c r="AL184" s="88">
        <v>20</v>
      </c>
      <c r="AM184" s="88">
        <v>9</v>
      </c>
      <c r="AN184" s="88">
        <v>0</v>
      </c>
      <c r="AO184" s="88">
        <v>1</v>
      </c>
      <c r="AP184" s="88" t="s">
        <v>1134</v>
      </c>
      <c r="AQ184" s="88" t="s">
        <v>1133</v>
      </c>
      <c r="AR184" s="88">
        <v>0</v>
      </c>
      <c r="AS184" s="88"/>
      <c r="AT184" s="88"/>
      <c r="AU184" s="88">
        <v>0</v>
      </c>
      <c r="AV184" s="88" t="s">
        <v>1133</v>
      </c>
      <c r="AW184" s="88" t="s">
        <v>1133</v>
      </c>
      <c r="AX184" s="88">
        <v>0</v>
      </c>
      <c r="AY184" s="88">
        <v>0</v>
      </c>
      <c r="AZ184" s="88">
        <v>0</v>
      </c>
      <c r="BA184" s="88">
        <v>0</v>
      </c>
      <c r="BB184" s="88" t="s">
        <v>0</v>
      </c>
    </row>
    <row r="185" spans="1:54">
      <c r="A185" s="88">
        <v>185</v>
      </c>
      <c r="B185" s="88">
        <v>185</v>
      </c>
      <c r="C185" s="88"/>
      <c r="D185" s="88" t="s">
        <v>1149</v>
      </c>
      <c r="E185" s="88">
        <v>0</v>
      </c>
      <c r="F185" s="88">
        <v>1149</v>
      </c>
      <c r="G185" s="88">
        <v>1</v>
      </c>
      <c r="H185" s="88">
        <v>2</v>
      </c>
      <c r="I185" s="88">
        <v>2</v>
      </c>
      <c r="J185" s="88">
        <v>0</v>
      </c>
      <c r="K185" s="88">
        <v>0</v>
      </c>
      <c r="L185" s="88">
        <v>1</v>
      </c>
      <c r="M185" s="88">
        <v>5</v>
      </c>
      <c r="N185" s="88">
        <v>34</v>
      </c>
      <c r="O185" s="88">
        <v>1</v>
      </c>
      <c r="P185" s="88">
        <v>1</v>
      </c>
      <c r="Q185" s="88">
        <v>1</v>
      </c>
      <c r="R185" s="88">
        <v>20</v>
      </c>
      <c r="S185" s="88">
        <v>10</v>
      </c>
      <c r="T185" s="88">
        <v>0</v>
      </c>
      <c r="U185" s="88">
        <v>0</v>
      </c>
      <c r="V185" s="88">
        <v>0</v>
      </c>
      <c r="W185" s="88">
        <v>0</v>
      </c>
      <c r="X185" s="88">
        <v>20</v>
      </c>
      <c r="Y185" s="88">
        <v>0</v>
      </c>
      <c r="Z185" s="88">
        <v>10</v>
      </c>
      <c r="AA185" s="88">
        <v>0</v>
      </c>
      <c r="AB185" s="88">
        <v>1</v>
      </c>
      <c r="AC185" s="88">
        <v>0</v>
      </c>
      <c r="AD185" s="88">
        <v>0</v>
      </c>
      <c r="AE185" s="88" t="s">
        <v>1133</v>
      </c>
      <c r="AF185" s="88">
        <v>0</v>
      </c>
      <c r="AG185" s="88">
        <v>0</v>
      </c>
      <c r="AH185" s="88" t="s">
        <v>1133</v>
      </c>
      <c r="AI185" s="88" t="s">
        <v>1133</v>
      </c>
      <c r="AJ185" s="88" t="s">
        <v>1133</v>
      </c>
      <c r="AK185" s="88">
        <v>2</v>
      </c>
      <c r="AL185" s="88">
        <v>20</v>
      </c>
      <c r="AM185" s="88">
        <v>9</v>
      </c>
      <c r="AN185" s="88">
        <v>0</v>
      </c>
      <c r="AO185" s="88">
        <v>1</v>
      </c>
      <c r="AP185" s="88" t="s">
        <v>1134</v>
      </c>
      <c r="AQ185" s="88" t="s">
        <v>1133</v>
      </c>
      <c r="AR185" s="88">
        <v>0</v>
      </c>
      <c r="AS185" s="88"/>
      <c r="AT185" s="88"/>
      <c r="AU185" s="88">
        <v>0</v>
      </c>
      <c r="AV185" s="88" t="s">
        <v>1133</v>
      </c>
      <c r="AW185" s="88" t="s">
        <v>1133</v>
      </c>
      <c r="AX185" s="88">
        <v>0</v>
      </c>
      <c r="AY185" s="88">
        <v>0</v>
      </c>
      <c r="AZ185" s="88">
        <v>0</v>
      </c>
      <c r="BA185" s="88">
        <v>0</v>
      </c>
      <c r="BB185" s="88" t="s">
        <v>0</v>
      </c>
    </row>
    <row r="186" spans="1:54">
      <c r="A186" s="88">
        <v>186</v>
      </c>
      <c r="B186" s="88">
        <v>186</v>
      </c>
      <c r="C186" s="88"/>
      <c r="D186" s="88" t="s">
        <v>1150</v>
      </c>
      <c r="E186" s="88">
        <v>0</v>
      </c>
      <c r="F186" s="88">
        <v>1149</v>
      </c>
      <c r="G186" s="88">
        <v>1</v>
      </c>
      <c r="H186" s="88">
        <v>2</v>
      </c>
      <c r="I186" s="88">
        <v>2</v>
      </c>
      <c r="J186" s="88">
        <v>0</v>
      </c>
      <c r="K186" s="88">
        <v>0</v>
      </c>
      <c r="L186" s="88">
        <v>1</v>
      </c>
      <c r="M186" s="88">
        <v>7</v>
      </c>
      <c r="N186" s="88">
        <v>34</v>
      </c>
      <c r="O186" s="88">
        <v>1</v>
      </c>
      <c r="P186" s="88">
        <v>1</v>
      </c>
      <c r="Q186" s="88">
        <v>1</v>
      </c>
      <c r="R186" s="88">
        <v>20</v>
      </c>
      <c r="S186" s="88">
        <v>10</v>
      </c>
      <c r="T186" s="88">
        <v>0</v>
      </c>
      <c r="U186" s="88">
        <v>0</v>
      </c>
      <c r="V186" s="88">
        <v>0</v>
      </c>
      <c r="W186" s="88">
        <v>0</v>
      </c>
      <c r="X186" s="88">
        <v>20</v>
      </c>
      <c r="Y186" s="88">
        <v>0</v>
      </c>
      <c r="Z186" s="88">
        <v>10</v>
      </c>
      <c r="AA186" s="88">
        <v>0</v>
      </c>
      <c r="AB186" s="88">
        <v>1</v>
      </c>
      <c r="AC186" s="88">
        <v>0</v>
      </c>
      <c r="AD186" s="88">
        <v>0</v>
      </c>
      <c r="AE186" s="88" t="s">
        <v>1133</v>
      </c>
      <c r="AF186" s="88">
        <v>0</v>
      </c>
      <c r="AG186" s="88">
        <v>0</v>
      </c>
      <c r="AH186" s="88" t="s">
        <v>1133</v>
      </c>
      <c r="AI186" s="88" t="s">
        <v>1133</v>
      </c>
      <c r="AJ186" s="88" t="s">
        <v>1133</v>
      </c>
      <c r="AK186" s="88">
        <v>2</v>
      </c>
      <c r="AL186" s="88">
        <v>20</v>
      </c>
      <c r="AM186" s="88">
        <v>9</v>
      </c>
      <c r="AN186" s="88">
        <v>0</v>
      </c>
      <c r="AO186" s="88">
        <v>1</v>
      </c>
      <c r="AP186" s="88" t="s">
        <v>1134</v>
      </c>
      <c r="AQ186" s="88" t="s">
        <v>1133</v>
      </c>
      <c r="AR186" s="88">
        <v>0</v>
      </c>
      <c r="AS186" s="88"/>
      <c r="AT186" s="88"/>
      <c r="AU186" s="88">
        <v>0</v>
      </c>
      <c r="AV186" s="88" t="s">
        <v>1133</v>
      </c>
      <c r="AW186" s="88" t="s">
        <v>1133</v>
      </c>
      <c r="AX186" s="88">
        <v>0</v>
      </c>
      <c r="AY186" s="88">
        <v>0</v>
      </c>
      <c r="AZ186" s="88">
        <v>0</v>
      </c>
      <c r="BA186" s="88">
        <v>0</v>
      </c>
      <c r="BB186" s="88" t="s">
        <v>0</v>
      </c>
    </row>
    <row r="187" spans="1:54">
      <c r="A187" s="88">
        <v>187</v>
      </c>
      <c r="B187" s="88">
        <v>187</v>
      </c>
      <c r="C187" s="88"/>
      <c r="D187" s="88" t="s">
        <v>1151</v>
      </c>
      <c r="E187" s="88">
        <v>0</v>
      </c>
      <c r="F187" s="88">
        <v>1149</v>
      </c>
      <c r="G187" s="88">
        <v>1</v>
      </c>
      <c r="H187" s="88">
        <v>2</v>
      </c>
      <c r="I187" s="88">
        <v>2</v>
      </c>
      <c r="J187" s="88">
        <v>0</v>
      </c>
      <c r="K187" s="88">
        <v>0</v>
      </c>
      <c r="L187" s="88">
        <v>1</v>
      </c>
      <c r="M187" s="88">
        <v>10</v>
      </c>
      <c r="N187" s="88">
        <v>34</v>
      </c>
      <c r="O187" s="88">
        <v>1</v>
      </c>
      <c r="P187" s="88">
        <v>1</v>
      </c>
      <c r="Q187" s="88">
        <v>1</v>
      </c>
      <c r="R187" s="88">
        <v>20</v>
      </c>
      <c r="S187" s="88">
        <v>10</v>
      </c>
      <c r="T187" s="88">
        <v>0</v>
      </c>
      <c r="U187" s="88">
        <v>0</v>
      </c>
      <c r="V187" s="88">
        <v>0</v>
      </c>
      <c r="W187" s="88">
        <v>0</v>
      </c>
      <c r="X187" s="88">
        <v>20</v>
      </c>
      <c r="Y187" s="88">
        <v>0</v>
      </c>
      <c r="Z187" s="88">
        <v>10</v>
      </c>
      <c r="AA187" s="88">
        <v>0</v>
      </c>
      <c r="AB187" s="88">
        <v>1</v>
      </c>
      <c r="AC187" s="88">
        <v>0</v>
      </c>
      <c r="AD187" s="88">
        <v>0</v>
      </c>
      <c r="AE187" s="88" t="s">
        <v>1133</v>
      </c>
      <c r="AF187" s="88">
        <v>0</v>
      </c>
      <c r="AG187" s="88">
        <v>0</v>
      </c>
      <c r="AH187" s="88" t="s">
        <v>1133</v>
      </c>
      <c r="AI187" s="88" t="s">
        <v>1133</v>
      </c>
      <c r="AJ187" s="88" t="s">
        <v>1133</v>
      </c>
      <c r="AK187" s="88">
        <v>2</v>
      </c>
      <c r="AL187" s="88">
        <v>20</v>
      </c>
      <c r="AM187" s="88">
        <v>9</v>
      </c>
      <c r="AN187" s="88">
        <v>0</v>
      </c>
      <c r="AO187" s="88">
        <v>1</v>
      </c>
      <c r="AP187" s="88" t="s">
        <v>1134</v>
      </c>
      <c r="AQ187" s="88" t="s">
        <v>1133</v>
      </c>
      <c r="AR187" s="88">
        <v>0</v>
      </c>
      <c r="AS187" s="88"/>
      <c r="AT187" s="88"/>
      <c r="AU187" s="88">
        <v>0</v>
      </c>
      <c r="AV187" s="88" t="s">
        <v>1133</v>
      </c>
      <c r="AW187" s="88" t="s">
        <v>1133</v>
      </c>
      <c r="AX187" s="88">
        <v>0</v>
      </c>
      <c r="AY187" s="88">
        <v>0</v>
      </c>
      <c r="AZ187" s="88">
        <v>0</v>
      </c>
      <c r="BA187" s="88">
        <v>0</v>
      </c>
      <c r="BB187" s="88" t="s">
        <v>0</v>
      </c>
    </row>
    <row r="188" spans="1:54">
      <c r="A188" s="88">
        <v>188</v>
      </c>
      <c r="B188" s="88">
        <v>188</v>
      </c>
      <c r="C188" s="88"/>
      <c r="D188" s="88" t="s">
        <v>1152</v>
      </c>
      <c r="E188" s="88">
        <v>0</v>
      </c>
      <c r="F188" s="88">
        <v>1149</v>
      </c>
      <c r="G188" s="88">
        <v>1</v>
      </c>
      <c r="H188" s="88">
        <v>2</v>
      </c>
      <c r="I188" s="88">
        <v>2</v>
      </c>
      <c r="J188" s="88">
        <v>0</v>
      </c>
      <c r="K188" s="88">
        <v>0</v>
      </c>
      <c r="L188" s="88">
        <v>1</v>
      </c>
      <c r="M188" s="88">
        <v>14</v>
      </c>
      <c r="N188" s="88">
        <v>34</v>
      </c>
      <c r="O188" s="88">
        <v>1</v>
      </c>
      <c r="P188" s="88">
        <v>1</v>
      </c>
      <c r="Q188" s="88">
        <v>1</v>
      </c>
      <c r="R188" s="88">
        <v>20</v>
      </c>
      <c r="S188" s="88">
        <v>10</v>
      </c>
      <c r="T188" s="88">
        <v>0</v>
      </c>
      <c r="U188" s="88">
        <v>0</v>
      </c>
      <c r="V188" s="88">
        <v>0</v>
      </c>
      <c r="W188" s="88">
        <v>0</v>
      </c>
      <c r="X188" s="88">
        <v>20</v>
      </c>
      <c r="Y188" s="88">
        <v>0</v>
      </c>
      <c r="Z188" s="88">
        <v>10</v>
      </c>
      <c r="AA188" s="88">
        <v>0</v>
      </c>
      <c r="AB188" s="88">
        <v>1</v>
      </c>
      <c r="AC188" s="88">
        <v>0</v>
      </c>
      <c r="AD188" s="88">
        <v>0</v>
      </c>
      <c r="AE188" s="88" t="s">
        <v>1133</v>
      </c>
      <c r="AF188" s="88">
        <v>0</v>
      </c>
      <c r="AG188" s="88">
        <v>0</v>
      </c>
      <c r="AH188" s="88" t="s">
        <v>1133</v>
      </c>
      <c r="AI188" s="88" t="s">
        <v>1133</v>
      </c>
      <c r="AJ188" s="88" t="s">
        <v>1133</v>
      </c>
      <c r="AK188" s="88">
        <v>2</v>
      </c>
      <c r="AL188" s="88">
        <v>20</v>
      </c>
      <c r="AM188" s="88">
        <v>9</v>
      </c>
      <c r="AN188" s="88">
        <v>0</v>
      </c>
      <c r="AO188" s="88">
        <v>1</v>
      </c>
      <c r="AP188" s="88" t="s">
        <v>1134</v>
      </c>
      <c r="AQ188" s="88" t="s">
        <v>1133</v>
      </c>
      <c r="AR188" s="88">
        <v>0</v>
      </c>
      <c r="AS188" s="88"/>
      <c r="AT188" s="88"/>
      <c r="AU188" s="88">
        <v>0</v>
      </c>
      <c r="AV188" s="88" t="s">
        <v>1133</v>
      </c>
      <c r="AW188" s="88" t="s">
        <v>1133</v>
      </c>
      <c r="AX188" s="88">
        <v>0</v>
      </c>
      <c r="AY188" s="88">
        <v>0</v>
      </c>
      <c r="AZ188" s="88">
        <v>0</v>
      </c>
      <c r="BA188" s="88">
        <v>0</v>
      </c>
      <c r="BB188" s="88" t="s">
        <v>0</v>
      </c>
    </row>
    <row r="189" spans="1:54">
      <c r="A189" s="88">
        <v>189</v>
      </c>
      <c r="B189" s="88">
        <v>189</v>
      </c>
      <c r="C189" s="88"/>
      <c r="D189" s="88" t="s">
        <v>189</v>
      </c>
      <c r="E189" s="88">
        <v>0</v>
      </c>
      <c r="F189" s="88">
        <v>1149</v>
      </c>
      <c r="G189" s="88">
        <v>1</v>
      </c>
      <c r="H189" s="88">
        <v>2</v>
      </c>
      <c r="I189" s="88">
        <v>2</v>
      </c>
      <c r="J189" s="88">
        <v>0</v>
      </c>
      <c r="K189" s="88">
        <v>0</v>
      </c>
      <c r="L189" s="88">
        <v>1</v>
      </c>
      <c r="M189" s="88">
        <v>16</v>
      </c>
      <c r="N189" s="88">
        <v>34</v>
      </c>
      <c r="O189" s="88">
        <v>1</v>
      </c>
      <c r="P189" s="88">
        <v>1</v>
      </c>
      <c r="Q189" s="88">
        <v>1</v>
      </c>
      <c r="R189" s="88">
        <v>20</v>
      </c>
      <c r="S189" s="88">
        <v>10</v>
      </c>
      <c r="T189" s="88">
        <v>0</v>
      </c>
      <c r="U189" s="88">
        <v>0</v>
      </c>
      <c r="V189" s="88">
        <v>0</v>
      </c>
      <c r="W189" s="88">
        <v>0</v>
      </c>
      <c r="X189" s="88">
        <v>20</v>
      </c>
      <c r="Y189" s="88">
        <v>0</v>
      </c>
      <c r="Z189" s="88">
        <v>10</v>
      </c>
      <c r="AA189" s="88">
        <v>0</v>
      </c>
      <c r="AB189" s="88">
        <v>1</v>
      </c>
      <c r="AC189" s="88">
        <v>0</v>
      </c>
      <c r="AD189" s="88">
        <v>0</v>
      </c>
      <c r="AE189" s="88" t="s">
        <v>1133</v>
      </c>
      <c r="AF189" s="88">
        <v>0</v>
      </c>
      <c r="AG189" s="88">
        <v>0</v>
      </c>
      <c r="AH189" s="88" t="s">
        <v>1133</v>
      </c>
      <c r="AI189" s="88" t="s">
        <v>1133</v>
      </c>
      <c r="AJ189" s="88" t="s">
        <v>1133</v>
      </c>
      <c r="AK189" s="88">
        <v>2</v>
      </c>
      <c r="AL189" s="88">
        <v>20</v>
      </c>
      <c r="AM189" s="88">
        <v>9</v>
      </c>
      <c r="AN189" s="88">
        <v>0</v>
      </c>
      <c r="AO189" s="88">
        <v>1</v>
      </c>
      <c r="AP189" s="88" t="s">
        <v>1134</v>
      </c>
      <c r="AQ189" s="88" t="s">
        <v>1133</v>
      </c>
      <c r="AR189" s="88">
        <v>0</v>
      </c>
      <c r="AS189" s="88"/>
      <c r="AT189" s="88"/>
      <c r="AU189" s="88">
        <v>0</v>
      </c>
      <c r="AV189" s="88" t="s">
        <v>1133</v>
      </c>
      <c r="AW189" s="88" t="s">
        <v>1133</v>
      </c>
      <c r="AX189" s="88">
        <v>0</v>
      </c>
      <c r="AY189" s="88">
        <v>0</v>
      </c>
      <c r="AZ189" s="88">
        <v>0</v>
      </c>
      <c r="BA189" s="88">
        <v>0</v>
      </c>
      <c r="BB189" s="88" t="s">
        <v>0</v>
      </c>
    </row>
    <row r="190" spans="1:54">
      <c r="A190" s="88">
        <v>190</v>
      </c>
      <c r="B190" s="88">
        <v>190</v>
      </c>
      <c r="C190" s="88"/>
      <c r="D190" s="88" t="s">
        <v>190</v>
      </c>
      <c r="E190" s="88">
        <v>0</v>
      </c>
      <c r="F190" s="88">
        <v>1149</v>
      </c>
      <c r="G190" s="88">
        <v>1</v>
      </c>
      <c r="H190" s="88">
        <v>2</v>
      </c>
      <c r="I190" s="88">
        <v>2</v>
      </c>
      <c r="J190" s="88">
        <v>0</v>
      </c>
      <c r="K190" s="88">
        <v>0</v>
      </c>
      <c r="L190" s="88">
        <v>1</v>
      </c>
      <c r="M190" s="88">
        <v>20</v>
      </c>
      <c r="N190" s="88">
        <v>34</v>
      </c>
      <c r="O190" s="88">
        <v>1</v>
      </c>
      <c r="P190" s="88">
        <v>1</v>
      </c>
      <c r="Q190" s="88">
        <v>1</v>
      </c>
      <c r="R190" s="88">
        <v>20</v>
      </c>
      <c r="S190" s="88">
        <v>10</v>
      </c>
      <c r="T190" s="88">
        <v>0</v>
      </c>
      <c r="U190" s="88">
        <v>0</v>
      </c>
      <c r="V190" s="88">
        <v>0</v>
      </c>
      <c r="W190" s="88">
        <v>0</v>
      </c>
      <c r="X190" s="88">
        <v>20</v>
      </c>
      <c r="Y190" s="88">
        <v>0</v>
      </c>
      <c r="Z190" s="88">
        <v>10</v>
      </c>
      <c r="AA190" s="88">
        <v>0</v>
      </c>
      <c r="AB190" s="88">
        <v>1</v>
      </c>
      <c r="AC190" s="88">
        <v>0</v>
      </c>
      <c r="AD190" s="88">
        <v>0</v>
      </c>
      <c r="AE190" s="88" t="s">
        <v>1133</v>
      </c>
      <c r="AF190" s="88">
        <v>0</v>
      </c>
      <c r="AG190" s="88">
        <v>0</v>
      </c>
      <c r="AH190" s="88" t="s">
        <v>1133</v>
      </c>
      <c r="AI190" s="88" t="s">
        <v>1133</v>
      </c>
      <c r="AJ190" s="88" t="s">
        <v>1133</v>
      </c>
      <c r="AK190" s="88">
        <v>2</v>
      </c>
      <c r="AL190" s="88">
        <v>20</v>
      </c>
      <c r="AM190" s="88">
        <v>9</v>
      </c>
      <c r="AN190" s="88">
        <v>0</v>
      </c>
      <c r="AO190" s="88">
        <v>1</v>
      </c>
      <c r="AP190" s="88" t="s">
        <v>1134</v>
      </c>
      <c r="AQ190" s="88" t="s">
        <v>1133</v>
      </c>
      <c r="AR190" s="88">
        <v>0</v>
      </c>
      <c r="AS190" s="88"/>
      <c r="AT190" s="88"/>
      <c r="AU190" s="88">
        <v>0</v>
      </c>
      <c r="AV190" s="88" t="s">
        <v>1133</v>
      </c>
      <c r="AW190" s="88" t="s">
        <v>1133</v>
      </c>
      <c r="AX190" s="88">
        <v>0</v>
      </c>
      <c r="AY190" s="88">
        <v>0</v>
      </c>
      <c r="AZ190" s="88">
        <v>0</v>
      </c>
      <c r="BA190" s="88">
        <v>0</v>
      </c>
      <c r="BB190" s="88" t="s">
        <v>0</v>
      </c>
    </row>
    <row r="191" spans="1:54">
      <c r="A191" s="88">
        <v>191</v>
      </c>
      <c r="B191" s="88">
        <v>191</v>
      </c>
      <c r="C191" s="88"/>
      <c r="D191" s="88" t="s">
        <v>191</v>
      </c>
      <c r="E191" s="88">
        <v>0</v>
      </c>
      <c r="F191" s="88">
        <v>1149</v>
      </c>
      <c r="G191" s="88">
        <v>1</v>
      </c>
      <c r="H191" s="88">
        <v>2</v>
      </c>
      <c r="I191" s="88">
        <v>2</v>
      </c>
      <c r="J191" s="88">
        <v>0</v>
      </c>
      <c r="K191" s="88">
        <v>0</v>
      </c>
      <c r="L191" s="88">
        <v>1</v>
      </c>
      <c r="M191" s="88">
        <v>30</v>
      </c>
      <c r="N191" s="88">
        <v>34</v>
      </c>
      <c r="O191" s="88">
        <v>1</v>
      </c>
      <c r="P191" s="88">
        <v>1</v>
      </c>
      <c r="Q191" s="88">
        <v>1</v>
      </c>
      <c r="R191" s="88">
        <v>20</v>
      </c>
      <c r="S191" s="88">
        <v>10</v>
      </c>
      <c r="T191" s="88">
        <v>0</v>
      </c>
      <c r="U191" s="88">
        <v>0</v>
      </c>
      <c r="V191" s="88">
        <v>0</v>
      </c>
      <c r="W191" s="88">
        <v>0</v>
      </c>
      <c r="X191" s="88">
        <v>20</v>
      </c>
      <c r="Y191" s="88">
        <v>0</v>
      </c>
      <c r="Z191" s="88">
        <v>10</v>
      </c>
      <c r="AA191" s="88">
        <v>0</v>
      </c>
      <c r="AB191" s="88">
        <v>1</v>
      </c>
      <c r="AC191" s="88">
        <v>0</v>
      </c>
      <c r="AD191" s="88">
        <v>0</v>
      </c>
      <c r="AE191" s="88" t="s">
        <v>1133</v>
      </c>
      <c r="AF191" s="88">
        <v>0</v>
      </c>
      <c r="AG191" s="88">
        <v>0</v>
      </c>
      <c r="AH191" s="88" t="s">
        <v>1133</v>
      </c>
      <c r="AI191" s="88" t="s">
        <v>1133</v>
      </c>
      <c r="AJ191" s="88" t="s">
        <v>1133</v>
      </c>
      <c r="AK191" s="88">
        <v>2</v>
      </c>
      <c r="AL191" s="88">
        <v>20</v>
      </c>
      <c r="AM191" s="88">
        <v>9</v>
      </c>
      <c r="AN191" s="88">
        <v>0</v>
      </c>
      <c r="AO191" s="88">
        <v>1</v>
      </c>
      <c r="AP191" s="88" t="s">
        <v>1134</v>
      </c>
      <c r="AQ191" s="88" t="s">
        <v>1133</v>
      </c>
      <c r="AR191" s="88">
        <v>0</v>
      </c>
      <c r="AS191" s="88"/>
      <c r="AT191" s="88"/>
      <c r="AU191" s="88">
        <v>0</v>
      </c>
      <c r="AV191" s="88" t="s">
        <v>1133</v>
      </c>
      <c r="AW191" s="88" t="s">
        <v>1133</v>
      </c>
      <c r="AX191" s="88">
        <v>0</v>
      </c>
      <c r="AY191" s="88">
        <v>0</v>
      </c>
      <c r="AZ191" s="88">
        <v>0</v>
      </c>
      <c r="BA191" s="88">
        <v>0</v>
      </c>
      <c r="BB191" s="88" t="s">
        <v>0</v>
      </c>
    </row>
    <row r="192" spans="1:54">
      <c r="A192" s="88">
        <v>192</v>
      </c>
      <c r="B192" s="88">
        <v>192</v>
      </c>
      <c r="C192" s="88"/>
      <c r="D192" s="88" t="s">
        <v>1153</v>
      </c>
      <c r="E192" s="88">
        <v>0</v>
      </c>
      <c r="F192" s="88">
        <v>1149</v>
      </c>
      <c r="G192" s="88">
        <v>1</v>
      </c>
      <c r="H192" s="88">
        <v>2</v>
      </c>
      <c r="I192" s="88">
        <v>2</v>
      </c>
      <c r="J192" s="88">
        <v>0</v>
      </c>
      <c r="K192" s="88">
        <v>0</v>
      </c>
      <c r="L192" s="88">
        <v>1</v>
      </c>
      <c r="M192" s="88">
        <v>40</v>
      </c>
      <c r="N192" s="88">
        <v>34</v>
      </c>
      <c r="O192" s="88">
        <v>1</v>
      </c>
      <c r="P192" s="88">
        <v>1</v>
      </c>
      <c r="Q192" s="88">
        <v>1</v>
      </c>
      <c r="R192" s="88">
        <v>20</v>
      </c>
      <c r="S192" s="88">
        <v>10</v>
      </c>
      <c r="T192" s="88">
        <v>0</v>
      </c>
      <c r="U192" s="88">
        <v>0</v>
      </c>
      <c r="V192" s="88">
        <v>0</v>
      </c>
      <c r="W192" s="88">
        <v>0</v>
      </c>
      <c r="X192" s="88">
        <v>20</v>
      </c>
      <c r="Y192" s="88">
        <v>0</v>
      </c>
      <c r="Z192" s="88">
        <v>10</v>
      </c>
      <c r="AA192" s="88">
        <v>0</v>
      </c>
      <c r="AB192" s="88">
        <v>1</v>
      </c>
      <c r="AC192" s="88">
        <v>0</v>
      </c>
      <c r="AD192" s="88">
        <v>0</v>
      </c>
      <c r="AE192" s="88" t="s">
        <v>1133</v>
      </c>
      <c r="AF192" s="88">
        <v>0</v>
      </c>
      <c r="AG192" s="88">
        <v>0</v>
      </c>
      <c r="AH192" s="88" t="s">
        <v>1133</v>
      </c>
      <c r="AI192" s="88" t="s">
        <v>1133</v>
      </c>
      <c r="AJ192" s="88" t="s">
        <v>1133</v>
      </c>
      <c r="AK192" s="88">
        <v>2</v>
      </c>
      <c r="AL192" s="88">
        <v>20</v>
      </c>
      <c r="AM192" s="88">
        <v>9</v>
      </c>
      <c r="AN192" s="88">
        <v>0</v>
      </c>
      <c r="AO192" s="88">
        <v>1</v>
      </c>
      <c r="AP192" s="88" t="s">
        <v>1134</v>
      </c>
      <c r="AQ192" s="88" t="s">
        <v>1133</v>
      </c>
      <c r="AR192" s="88">
        <v>0</v>
      </c>
      <c r="AS192" s="88"/>
      <c r="AT192" s="88"/>
      <c r="AU192" s="88">
        <v>0</v>
      </c>
      <c r="AV192" s="88" t="s">
        <v>1133</v>
      </c>
      <c r="AW192" s="88" t="s">
        <v>1133</v>
      </c>
      <c r="AX192" s="88">
        <v>0</v>
      </c>
      <c r="AY192" s="88">
        <v>0</v>
      </c>
      <c r="AZ192" s="88">
        <v>0</v>
      </c>
      <c r="BA192" s="88">
        <v>0</v>
      </c>
      <c r="BB192" s="88" t="s">
        <v>0</v>
      </c>
    </row>
    <row r="193" spans="1:54">
      <c r="A193" s="88">
        <v>193</v>
      </c>
      <c r="B193" s="88">
        <v>193</v>
      </c>
      <c r="C193" s="88"/>
      <c r="D193" s="88" t="s">
        <v>1154</v>
      </c>
      <c r="E193" s="88">
        <v>0</v>
      </c>
      <c r="F193" s="88">
        <v>1149</v>
      </c>
      <c r="G193" s="88">
        <v>1</v>
      </c>
      <c r="H193" s="88">
        <v>2</v>
      </c>
      <c r="I193" s="88">
        <v>2</v>
      </c>
      <c r="J193" s="88">
        <v>0</v>
      </c>
      <c r="K193" s="88">
        <v>0</v>
      </c>
      <c r="L193" s="88">
        <v>1</v>
      </c>
      <c r="M193" s="88">
        <v>50</v>
      </c>
      <c r="N193" s="88">
        <v>34</v>
      </c>
      <c r="O193" s="88">
        <v>1</v>
      </c>
      <c r="P193" s="88">
        <v>1</v>
      </c>
      <c r="Q193" s="88">
        <v>1</v>
      </c>
      <c r="R193" s="88">
        <v>20</v>
      </c>
      <c r="S193" s="88">
        <v>10</v>
      </c>
      <c r="T193" s="88">
        <v>0</v>
      </c>
      <c r="U193" s="88">
        <v>0</v>
      </c>
      <c r="V193" s="88">
        <v>0</v>
      </c>
      <c r="W193" s="88">
        <v>0</v>
      </c>
      <c r="X193" s="88">
        <v>20</v>
      </c>
      <c r="Y193" s="88">
        <v>0</v>
      </c>
      <c r="Z193" s="88">
        <v>10</v>
      </c>
      <c r="AA193" s="88">
        <v>0</v>
      </c>
      <c r="AB193" s="88">
        <v>1</v>
      </c>
      <c r="AC193" s="88">
        <v>0</v>
      </c>
      <c r="AD193" s="88">
        <v>0</v>
      </c>
      <c r="AE193" s="88" t="s">
        <v>1133</v>
      </c>
      <c r="AF193" s="88">
        <v>0</v>
      </c>
      <c r="AG193" s="88">
        <v>0</v>
      </c>
      <c r="AH193" s="88" t="s">
        <v>1133</v>
      </c>
      <c r="AI193" s="88" t="s">
        <v>1133</v>
      </c>
      <c r="AJ193" s="88" t="s">
        <v>1133</v>
      </c>
      <c r="AK193" s="88">
        <v>2</v>
      </c>
      <c r="AL193" s="88">
        <v>20</v>
      </c>
      <c r="AM193" s="88">
        <v>9</v>
      </c>
      <c r="AN193" s="88">
        <v>0</v>
      </c>
      <c r="AO193" s="88">
        <v>1</v>
      </c>
      <c r="AP193" s="88" t="s">
        <v>1134</v>
      </c>
      <c r="AQ193" s="88" t="s">
        <v>1133</v>
      </c>
      <c r="AR193" s="88">
        <v>0</v>
      </c>
      <c r="AS193" s="88"/>
      <c r="AT193" s="88"/>
      <c r="AU193" s="88">
        <v>0</v>
      </c>
      <c r="AV193" s="88" t="s">
        <v>1133</v>
      </c>
      <c r="AW193" s="88" t="s">
        <v>1133</v>
      </c>
      <c r="AX193" s="88">
        <v>0</v>
      </c>
      <c r="AY193" s="88">
        <v>0</v>
      </c>
      <c r="AZ193" s="88">
        <v>0</v>
      </c>
      <c r="BA193" s="88">
        <v>0</v>
      </c>
      <c r="BB193" s="88" t="s">
        <v>0</v>
      </c>
    </row>
    <row r="194" spans="1:54">
      <c r="A194" s="88">
        <v>194</v>
      </c>
      <c r="B194" s="88">
        <v>194</v>
      </c>
      <c r="C194" s="88"/>
      <c r="D194" s="88" t="s">
        <v>194</v>
      </c>
      <c r="E194" s="88">
        <v>0</v>
      </c>
      <c r="F194" s="88">
        <v>1149</v>
      </c>
      <c r="G194" s="88">
        <v>1</v>
      </c>
      <c r="H194" s="88">
        <v>2</v>
      </c>
      <c r="I194" s="88">
        <v>2</v>
      </c>
      <c r="J194" s="88">
        <v>0</v>
      </c>
      <c r="K194" s="88">
        <v>0</v>
      </c>
      <c r="L194" s="88">
        <v>1</v>
      </c>
      <c r="M194" s="88">
        <v>80</v>
      </c>
      <c r="N194" s="88">
        <v>34</v>
      </c>
      <c r="O194" s="88">
        <v>1</v>
      </c>
      <c r="P194" s="88">
        <v>1</v>
      </c>
      <c r="Q194" s="88">
        <v>1</v>
      </c>
      <c r="R194" s="88">
        <v>20</v>
      </c>
      <c r="S194" s="88">
        <v>10</v>
      </c>
      <c r="T194" s="88">
        <v>0</v>
      </c>
      <c r="U194" s="88">
        <v>0</v>
      </c>
      <c r="V194" s="88">
        <v>0</v>
      </c>
      <c r="W194" s="88">
        <v>0</v>
      </c>
      <c r="X194" s="88">
        <v>20</v>
      </c>
      <c r="Y194" s="88">
        <v>0</v>
      </c>
      <c r="Z194" s="88">
        <v>10</v>
      </c>
      <c r="AA194" s="88">
        <v>0</v>
      </c>
      <c r="AB194" s="88">
        <v>1</v>
      </c>
      <c r="AC194" s="88">
        <v>0</v>
      </c>
      <c r="AD194" s="88">
        <v>0</v>
      </c>
      <c r="AE194" s="88" t="s">
        <v>1133</v>
      </c>
      <c r="AF194" s="88">
        <v>0</v>
      </c>
      <c r="AG194" s="88">
        <v>0</v>
      </c>
      <c r="AH194" s="88" t="s">
        <v>1133</v>
      </c>
      <c r="AI194" s="88" t="s">
        <v>1133</v>
      </c>
      <c r="AJ194" s="88" t="s">
        <v>1133</v>
      </c>
      <c r="AK194" s="88">
        <v>2</v>
      </c>
      <c r="AL194" s="88">
        <v>20</v>
      </c>
      <c r="AM194" s="88">
        <v>9</v>
      </c>
      <c r="AN194" s="88">
        <v>0</v>
      </c>
      <c r="AO194" s="88">
        <v>1</v>
      </c>
      <c r="AP194" s="88" t="s">
        <v>1134</v>
      </c>
      <c r="AQ194" s="88" t="s">
        <v>1133</v>
      </c>
      <c r="AR194" s="88">
        <v>0</v>
      </c>
      <c r="AS194" s="88"/>
      <c r="AT194" s="88"/>
      <c r="AU194" s="88">
        <v>0</v>
      </c>
      <c r="AV194" s="88" t="s">
        <v>1133</v>
      </c>
      <c r="AW194" s="88" t="s">
        <v>1133</v>
      </c>
      <c r="AX194" s="88">
        <v>0</v>
      </c>
      <c r="AY194" s="88">
        <v>0</v>
      </c>
      <c r="AZ194" s="88">
        <v>0</v>
      </c>
      <c r="BA194" s="88">
        <v>0</v>
      </c>
      <c r="BB194" s="88" t="s">
        <v>0</v>
      </c>
    </row>
    <row r="195" spans="1:54">
      <c r="A195" s="88">
        <v>195</v>
      </c>
      <c r="B195" s="88">
        <v>195</v>
      </c>
      <c r="C195" s="88"/>
      <c r="D195" s="88" t="s">
        <v>1155</v>
      </c>
      <c r="E195" s="88">
        <v>0</v>
      </c>
      <c r="F195" s="88">
        <v>1149</v>
      </c>
      <c r="G195" s="88">
        <v>1</v>
      </c>
      <c r="H195" s="88">
        <v>2</v>
      </c>
      <c r="I195" s="88">
        <v>2</v>
      </c>
      <c r="J195" s="88">
        <v>0</v>
      </c>
      <c r="K195" s="88">
        <v>0</v>
      </c>
      <c r="L195" s="88">
        <v>1</v>
      </c>
      <c r="M195" s="88">
        <v>600</v>
      </c>
      <c r="N195" s="88">
        <v>34</v>
      </c>
      <c r="O195" s="88">
        <v>1</v>
      </c>
      <c r="P195" s="88">
        <v>1</v>
      </c>
      <c r="Q195" s="88">
        <v>1</v>
      </c>
      <c r="R195" s="88">
        <v>20</v>
      </c>
      <c r="S195" s="88">
        <v>10</v>
      </c>
      <c r="T195" s="88">
        <v>0</v>
      </c>
      <c r="U195" s="88">
        <v>0</v>
      </c>
      <c r="V195" s="88">
        <v>0</v>
      </c>
      <c r="W195" s="88">
        <v>0</v>
      </c>
      <c r="X195" s="88">
        <v>20</v>
      </c>
      <c r="Y195" s="88">
        <v>0</v>
      </c>
      <c r="Z195" s="88">
        <v>10</v>
      </c>
      <c r="AA195" s="88">
        <v>0</v>
      </c>
      <c r="AB195" s="88">
        <v>1</v>
      </c>
      <c r="AC195" s="88">
        <v>0</v>
      </c>
      <c r="AD195" s="88">
        <v>0</v>
      </c>
      <c r="AE195" s="88" t="s">
        <v>1133</v>
      </c>
      <c r="AF195" s="88">
        <v>0</v>
      </c>
      <c r="AG195" s="88">
        <v>0</v>
      </c>
      <c r="AH195" s="88" t="s">
        <v>1133</v>
      </c>
      <c r="AI195" s="88" t="s">
        <v>1133</v>
      </c>
      <c r="AJ195" s="88" t="s">
        <v>1133</v>
      </c>
      <c r="AK195" s="88">
        <v>2</v>
      </c>
      <c r="AL195" s="88">
        <v>20</v>
      </c>
      <c r="AM195" s="88">
        <v>9</v>
      </c>
      <c r="AN195" s="88">
        <v>0</v>
      </c>
      <c r="AO195" s="88">
        <v>1</v>
      </c>
      <c r="AP195" s="88" t="s">
        <v>1134</v>
      </c>
      <c r="AQ195" s="88" t="s">
        <v>1133</v>
      </c>
      <c r="AR195" s="88">
        <v>0</v>
      </c>
      <c r="AS195" s="88"/>
      <c r="AT195" s="88"/>
      <c r="AU195" s="88">
        <v>0</v>
      </c>
      <c r="AV195" s="88" t="s">
        <v>1133</v>
      </c>
      <c r="AW195" s="88" t="s">
        <v>1133</v>
      </c>
      <c r="AX195" s="88">
        <v>0</v>
      </c>
      <c r="AY195" s="88">
        <v>0</v>
      </c>
      <c r="AZ195" s="88">
        <v>0</v>
      </c>
      <c r="BA195" s="88">
        <v>0</v>
      </c>
      <c r="BB195" s="88" t="s">
        <v>0</v>
      </c>
    </row>
    <row r="196" spans="1:54">
      <c r="A196" s="88">
        <v>196</v>
      </c>
      <c r="B196" s="88">
        <v>196</v>
      </c>
      <c r="C196" s="88"/>
      <c r="D196" s="88" t="s">
        <v>196</v>
      </c>
      <c r="E196" s="88">
        <v>0</v>
      </c>
      <c r="F196" s="88">
        <v>1149</v>
      </c>
      <c r="G196" s="88">
        <v>1</v>
      </c>
      <c r="H196" s="88">
        <v>2</v>
      </c>
      <c r="I196" s="88">
        <v>2</v>
      </c>
      <c r="J196" s="88">
        <v>0</v>
      </c>
      <c r="K196" s="88">
        <v>0</v>
      </c>
      <c r="L196" s="88">
        <v>1</v>
      </c>
      <c r="M196" s="88">
        <v>800</v>
      </c>
      <c r="N196" s="88">
        <v>34</v>
      </c>
      <c r="O196" s="88">
        <v>1</v>
      </c>
      <c r="P196" s="88">
        <v>1</v>
      </c>
      <c r="Q196" s="88">
        <v>1</v>
      </c>
      <c r="R196" s="88">
        <v>20</v>
      </c>
      <c r="S196" s="88">
        <v>10</v>
      </c>
      <c r="T196" s="88">
        <v>0</v>
      </c>
      <c r="U196" s="88">
        <v>0</v>
      </c>
      <c r="V196" s="88">
        <v>0</v>
      </c>
      <c r="W196" s="88">
        <v>0</v>
      </c>
      <c r="X196" s="88">
        <v>20</v>
      </c>
      <c r="Y196" s="88">
        <v>0</v>
      </c>
      <c r="Z196" s="88">
        <v>10</v>
      </c>
      <c r="AA196" s="88">
        <v>0</v>
      </c>
      <c r="AB196" s="88">
        <v>1</v>
      </c>
      <c r="AC196" s="88">
        <v>0</v>
      </c>
      <c r="AD196" s="88">
        <v>0</v>
      </c>
      <c r="AE196" s="88" t="s">
        <v>1133</v>
      </c>
      <c r="AF196" s="88">
        <v>0</v>
      </c>
      <c r="AG196" s="88">
        <v>0</v>
      </c>
      <c r="AH196" s="88" t="s">
        <v>1133</v>
      </c>
      <c r="AI196" s="88" t="s">
        <v>1133</v>
      </c>
      <c r="AJ196" s="88" t="s">
        <v>1133</v>
      </c>
      <c r="AK196" s="88">
        <v>2</v>
      </c>
      <c r="AL196" s="88">
        <v>20</v>
      </c>
      <c r="AM196" s="88">
        <v>9</v>
      </c>
      <c r="AN196" s="88">
        <v>0</v>
      </c>
      <c r="AO196" s="88">
        <v>1</v>
      </c>
      <c r="AP196" s="88" t="s">
        <v>1134</v>
      </c>
      <c r="AQ196" s="88" t="s">
        <v>1133</v>
      </c>
      <c r="AR196" s="88">
        <v>0</v>
      </c>
      <c r="AS196" s="88"/>
      <c r="AT196" s="88"/>
      <c r="AU196" s="88">
        <v>0</v>
      </c>
      <c r="AV196" s="88" t="s">
        <v>1133</v>
      </c>
      <c r="AW196" s="88" t="s">
        <v>1133</v>
      </c>
      <c r="AX196" s="88">
        <v>0</v>
      </c>
      <c r="AY196" s="88">
        <v>0</v>
      </c>
      <c r="AZ196" s="88">
        <v>0</v>
      </c>
      <c r="BA196" s="88">
        <v>0</v>
      </c>
      <c r="BB196" s="88" t="s">
        <v>0</v>
      </c>
    </row>
    <row r="197" spans="1:54">
      <c r="A197" s="88">
        <v>197</v>
      </c>
      <c r="B197" s="88">
        <v>197</v>
      </c>
      <c r="C197" s="88"/>
      <c r="D197" s="88" t="s">
        <v>197</v>
      </c>
      <c r="E197" s="88">
        <v>0</v>
      </c>
      <c r="F197" s="88">
        <v>1149</v>
      </c>
      <c r="G197" s="88">
        <v>1</v>
      </c>
      <c r="H197" s="88">
        <v>2</v>
      </c>
      <c r="I197" s="88">
        <v>2</v>
      </c>
      <c r="J197" s="88">
        <v>0</v>
      </c>
      <c r="K197" s="88">
        <v>0</v>
      </c>
      <c r="L197" s="88">
        <v>1</v>
      </c>
      <c r="M197" s="88">
        <v>960</v>
      </c>
      <c r="N197" s="88">
        <v>34</v>
      </c>
      <c r="O197" s="88">
        <v>1</v>
      </c>
      <c r="P197" s="88">
        <v>1</v>
      </c>
      <c r="Q197" s="88">
        <v>1</v>
      </c>
      <c r="R197" s="88">
        <v>20</v>
      </c>
      <c r="S197" s="88">
        <v>10</v>
      </c>
      <c r="T197" s="88">
        <v>0</v>
      </c>
      <c r="U197" s="88">
        <v>0</v>
      </c>
      <c r="V197" s="88">
        <v>0</v>
      </c>
      <c r="W197" s="88">
        <v>0</v>
      </c>
      <c r="X197" s="88">
        <v>20</v>
      </c>
      <c r="Y197" s="88">
        <v>0</v>
      </c>
      <c r="Z197" s="88">
        <v>10</v>
      </c>
      <c r="AA197" s="88">
        <v>0</v>
      </c>
      <c r="AB197" s="88">
        <v>1</v>
      </c>
      <c r="AC197" s="88">
        <v>0</v>
      </c>
      <c r="AD197" s="88">
        <v>0</v>
      </c>
      <c r="AE197" s="88" t="s">
        <v>1133</v>
      </c>
      <c r="AF197" s="88">
        <v>0</v>
      </c>
      <c r="AG197" s="88">
        <v>0</v>
      </c>
      <c r="AH197" s="88" t="s">
        <v>1133</v>
      </c>
      <c r="AI197" s="88" t="s">
        <v>1133</v>
      </c>
      <c r="AJ197" s="88" t="s">
        <v>1133</v>
      </c>
      <c r="AK197" s="88">
        <v>2</v>
      </c>
      <c r="AL197" s="88">
        <v>20</v>
      </c>
      <c r="AM197" s="88">
        <v>9</v>
      </c>
      <c r="AN197" s="88">
        <v>0</v>
      </c>
      <c r="AO197" s="88">
        <v>1</v>
      </c>
      <c r="AP197" s="88" t="s">
        <v>1134</v>
      </c>
      <c r="AQ197" s="88" t="s">
        <v>1133</v>
      </c>
      <c r="AR197" s="88">
        <v>0</v>
      </c>
      <c r="AS197" s="88"/>
      <c r="AT197" s="88"/>
      <c r="AU197" s="88">
        <v>0</v>
      </c>
      <c r="AV197" s="88" t="s">
        <v>1133</v>
      </c>
      <c r="AW197" s="88" t="s">
        <v>1133</v>
      </c>
      <c r="AX197" s="88">
        <v>0</v>
      </c>
      <c r="AY197" s="88">
        <v>0</v>
      </c>
      <c r="AZ197" s="88">
        <v>0</v>
      </c>
      <c r="BA197" s="88">
        <v>0</v>
      </c>
      <c r="BB197" s="88" t="s">
        <v>0</v>
      </c>
    </row>
    <row r="198" spans="1:54">
      <c r="A198" s="88">
        <v>198</v>
      </c>
      <c r="B198" s="88">
        <v>198</v>
      </c>
      <c r="C198" s="88"/>
      <c r="D198" s="88" t="s">
        <v>198</v>
      </c>
      <c r="E198" s="88">
        <v>0</v>
      </c>
      <c r="F198" s="88">
        <v>1149</v>
      </c>
      <c r="G198" s="88">
        <v>1</v>
      </c>
      <c r="H198" s="88">
        <v>2</v>
      </c>
      <c r="I198" s="88">
        <v>2</v>
      </c>
      <c r="J198" s="88">
        <v>0</v>
      </c>
      <c r="K198" s="88">
        <v>0</v>
      </c>
      <c r="L198" s="88">
        <v>1</v>
      </c>
      <c r="M198" s="88">
        <v>1280</v>
      </c>
      <c r="N198" s="88">
        <v>34</v>
      </c>
      <c r="O198" s="88">
        <v>1</v>
      </c>
      <c r="P198" s="88">
        <v>1</v>
      </c>
      <c r="Q198" s="88">
        <v>1</v>
      </c>
      <c r="R198" s="88">
        <v>20</v>
      </c>
      <c r="S198" s="88">
        <v>10</v>
      </c>
      <c r="T198" s="88">
        <v>0</v>
      </c>
      <c r="U198" s="88">
        <v>0</v>
      </c>
      <c r="V198" s="88">
        <v>0</v>
      </c>
      <c r="W198" s="88">
        <v>0</v>
      </c>
      <c r="X198" s="88">
        <v>20</v>
      </c>
      <c r="Y198" s="88">
        <v>0</v>
      </c>
      <c r="Z198" s="88">
        <v>10</v>
      </c>
      <c r="AA198" s="88">
        <v>0</v>
      </c>
      <c r="AB198" s="88">
        <v>1</v>
      </c>
      <c r="AC198" s="88">
        <v>0</v>
      </c>
      <c r="AD198" s="88">
        <v>0</v>
      </c>
      <c r="AE198" s="88" t="s">
        <v>1133</v>
      </c>
      <c r="AF198" s="88">
        <v>0</v>
      </c>
      <c r="AG198" s="88">
        <v>0</v>
      </c>
      <c r="AH198" s="88" t="s">
        <v>1133</v>
      </c>
      <c r="AI198" s="88" t="s">
        <v>1133</v>
      </c>
      <c r="AJ198" s="88" t="s">
        <v>1133</v>
      </c>
      <c r="AK198" s="88">
        <v>2</v>
      </c>
      <c r="AL198" s="88">
        <v>20</v>
      </c>
      <c r="AM198" s="88">
        <v>9</v>
      </c>
      <c r="AN198" s="88">
        <v>0</v>
      </c>
      <c r="AO198" s="88">
        <v>1</v>
      </c>
      <c r="AP198" s="88" t="s">
        <v>1134</v>
      </c>
      <c r="AQ198" s="88" t="s">
        <v>1133</v>
      </c>
      <c r="AR198" s="88">
        <v>0</v>
      </c>
      <c r="AS198" s="88"/>
      <c r="AT198" s="88"/>
      <c r="AU198" s="88">
        <v>0</v>
      </c>
      <c r="AV198" s="88" t="s">
        <v>1133</v>
      </c>
      <c r="AW198" s="88" t="s">
        <v>1133</v>
      </c>
      <c r="AX198" s="88">
        <v>0</v>
      </c>
      <c r="AY198" s="88">
        <v>0</v>
      </c>
      <c r="AZ198" s="88">
        <v>0</v>
      </c>
      <c r="BA198" s="88">
        <v>0</v>
      </c>
      <c r="BB198" s="88" t="s">
        <v>0</v>
      </c>
    </row>
    <row r="199" spans="1:54">
      <c r="A199" s="88">
        <v>199</v>
      </c>
      <c r="B199" s="88">
        <v>199</v>
      </c>
      <c r="C199" s="88"/>
      <c r="D199" s="88" t="s">
        <v>199</v>
      </c>
      <c r="E199" s="88">
        <v>0</v>
      </c>
      <c r="F199" s="88">
        <v>1149</v>
      </c>
      <c r="G199" s="88">
        <v>1</v>
      </c>
      <c r="H199" s="88">
        <v>2</v>
      </c>
      <c r="I199" s="88">
        <v>2</v>
      </c>
      <c r="J199" s="88">
        <v>0</v>
      </c>
      <c r="K199" s="88">
        <v>0</v>
      </c>
      <c r="L199" s="88">
        <v>1</v>
      </c>
      <c r="M199" s="88">
        <v>2</v>
      </c>
      <c r="N199" s="88">
        <v>34</v>
      </c>
      <c r="O199" s="88">
        <v>1</v>
      </c>
      <c r="P199" s="88">
        <v>1</v>
      </c>
      <c r="Q199" s="88">
        <v>1</v>
      </c>
      <c r="R199" s="88">
        <v>20</v>
      </c>
      <c r="S199" s="88">
        <v>10</v>
      </c>
      <c r="T199" s="88">
        <v>0</v>
      </c>
      <c r="U199" s="88">
        <v>0</v>
      </c>
      <c r="V199" s="88">
        <v>0</v>
      </c>
      <c r="W199" s="88">
        <v>0</v>
      </c>
      <c r="X199" s="88">
        <v>20</v>
      </c>
      <c r="Y199" s="88">
        <v>0</v>
      </c>
      <c r="Z199" s="88">
        <v>10</v>
      </c>
      <c r="AA199" s="88">
        <v>0</v>
      </c>
      <c r="AB199" s="88">
        <v>1</v>
      </c>
      <c r="AC199" s="88">
        <v>0</v>
      </c>
      <c r="AD199" s="88">
        <v>0</v>
      </c>
      <c r="AE199" s="88" t="s">
        <v>1133</v>
      </c>
      <c r="AF199" s="88">
        <v>0</v>
      </c>
      <c r="AG199" s="88">
        <v>0</v>
      </c>
      <c r="AH199" s="88" t="s">
        <v>1133</v>
      </c>
      <c r="AI199" s="88" t="s">
        <v>1133</v>
      </c>
      <c r="AJ199" s="88" t="s">
        <v>1133</v>
      </c>
      <c r="AK199" s="88">
        <v>2</v>
      </c>
      <c r="AL199" s="88">
        <v>20</v>
      </c>
      <c r="AM199" s="88">
        <v>9</v>
      </c>
      <c r="AN199" s="88">
        <v>0</v>
      </c>
      <c r="AO199" s="88">
        <v>1</v>
      </c>
      <c r="AP199" s="88" t="s">
        <v>1134</v>
      </c>
      <c r="AQ199" s="88" t="s">
        <v>1133</v>
      </c>
      <c r="AR199" s="88">
        <v>0</v>
      </c>
      <c r="AS199" s="88"/>
      <c r="AT199" s="88"/>
      <c r="AU199" s="88">
        <v>0</v>
      </c>
      <c r="AV199" s="88" t="s">
        <v>1133</v>
      </c>
      <c r="AW199" s="88" t="s">
        <v>1133</v>
      </c>
      <c r="AX199" s="88">
        <v>0</v>
      </c>
      <c r="AY199" s="88">
        <v>0</v>
      </c>
      <c r="AZ199" s="88">
        <v>0</v>
      </c>
      <c r="BA199" s="88">
        <v>0</v>
      </c>
      <c r="BB199" s="88" t="s">
        <v>0</v>
      </c>
    </row>
    <row r="200" spans="1:54">
      <c r="A200" s="88">
        <v>200</v>
      </c>
      <c r="B200" s="88">
        <v>200</v>
      </c>
      <c r="C200" s="88"/>
      <c r="D200" s="88" t="s">
        <v>200</v>
      </c>
      <c r="E200" s="88">
        <v>0</v>
      </c>
      <c r="F200" s="88">
        <v>1149</v>
      </c>
      <c r="G200" s="88">
        <v>1</v>
      </c>
      <c r="H200" s="88">
        <v>2</v>
      </c>
      <c r="I200" s="88">
        <v>2</v>
      </c>
      <c r="J200" s="88">
        <v>0</v>
      </c>
      <c r="K200" s="88">
        <v>0</v>
      </c>
      <c r="L200" s="88">
        <v>1</v>
      </c>
      <c r="M200" s="88">
        <v>5</v>
      </c>
      <c r="N200" s="88">
        <v>34</v>
      </c>
      <c r="O200" s="88">
        <v>1</v>
      </c>
      <c r="P200" s="88">
        <v>1</v>
      </c>
      <c r="Q200" s="88">
        <v>1</v>
      </c>
      <c r="R200" s="88">
        <v>20</v>
      </c>
      <c r="S200" s="88">
        <v>10</v>
      </c>
      <c r="T200" s="88">
        <v>0</v>
      </c>
      <c r="U200" s="88">
        <v>0</v>
      </c>
      <c r="V200" s="88">
        <v>0</v>
      </c>
      <c r="W200" s="88">
        <v>0</v>
      </c>
      <c r="X200" s="88">
        <v>20</v>
      </c>
      <c r="Y200" s="88">
        <v>0</v>
      </c>
      <c r="Z200" s="88">
        <v>10</v>
      </c>
      <c r="AA200" s="88">
        <v>0</v>
      </c>
      <c r="AB200" s="88">
        <v>1</v>
      </c>
      <c r="AC200" s="88">
        <v>0</v>
      </c>
      <c r="AD200" s="88">
        <v>0</v>
      </c>
      <c r="AE200" s="88" t="s">
        <v>1133</v>
      </c>
      <c r="AF200" s="88">
        <v>0</v>
      </c>
      <c r="AG200" s="88">
        <v>0</v>
      </c>
      <c r="AH200" s="88" t="s">
        <v>1133</v>
      </c>
      <c r="AI200" s="88" t="s">
        <v>1133</v>
      </c>
      <c r="AJ200" s="88" t="s">
        <v>1133</v>
      </c>
      <c r="AK200" s="88">
        <v>2</v>
      </c>
      <c r="AL200" s="88">
        <v>20</v>
      </c>
      <c r="AM200" s="88">
        <v>9</v>
      </c>
      <c r="AN200" s="88">
        <v>0</v>
      </c>
      <c r="AO200" s="88">
        <v>1</v>
      </c>
      <c r="AP200" s="88" t="s">
        <v>1134</v>
      </c>
      <c r="AQ200" s="88" t="s">
        <v>1133</v>
      </c>
      <c r="AR200" s="88">
        <v>0</v>
      </c>
      <c r="AS200" s="88"/>
      <c r="AT200" s="88"/>
      <c r="AU200" s="88">
        <v>0</v>
      </c>
      <c r="AV200" s="88" t="s">
        <v>1133</v>
      </c>
      <c r="AW200" s="88" t="s">
        <v>1133</v>
      </c>
      <c r="AX200" s="88">
        <v>0</v>
      </c>
      <c r="AY200" s="88">
        <v>0</v>
      </c>
      <c r="AZ200" s="88">
        <v>0</v>
      </c>
      <c r="BA200" s="88">
        <v>0</v>
      </c>
      <c r="BB200" s="88" t="s">
        <v>0</v>
      </c>
    </row>
    <row r="201" spans="1:54">
      <c r="A201" s="88">
        <v>201</v>
      </c>
      <c r="B201" s="88">
        <v>201</v>
      </c>
      <c r="C201" s="88"/>
      <c r="D201" s="88" t="s">
        <v>201</v>
      </c>
      <c r="E201" s="88">
        <v>0</v>
      </c>
      <c r="F201" s="88">
        <v>1149</v>
      </c>
      <c r="G201" s="88">
        <v>1</v>
      </c>
      <c r="H201" s="88">
        <v>2</v>
      </c>
      <c r="I201" s="88">
        <v>2</v>
      </c>
      <c r="J201" s="88">
        <v>0</v>
      </c>
      <c r="K201" s="88">
        <v>0</v>
      </c>
      <c r="L201" s="88">
        <v>1</v>
      </c>
      <c r="M201" s="88">
        <v>7</v>
      </c>
      <c r="N201" s="88">
        <v>34</v>
      </c>
      <c r="O201" s="88">
        <v>1</v>
      </c>
      <c r="P201" s="88">
        <v>1</v>
      </c>
      <c r="Q201" s="88">
        <v>1</v>
      </c>
      <c r="R201" s="88">
        <v>20</v>
      </c>
      <c r="S201" s="88">
        <v>10</v>
      </c>
      <c r="T201" s="88">
        <v>0</v>
      </c>
      <c r="U201" s="88">
        <v>0</v>
      </c>
      <c r="V201" s="88">
        <v>0</v>
      </c>
      <c r="W201" s="88">
        <v>0</v>
      </c>
      <c r="X201" s="88">
        <v>20</v>
      </c>
      <c r="Y201" s="88">
        <v>0</v>
      </c>
      <c r="Z201" s="88">
        <v>10</v>
      </c>
      <c r="AA201" s="88">
        <v>0</v>
      </c>
      <c r="AB201" s="88">
        <v>1</v>
      </c>
      <c r="AC201" s="88">
        <v>0</v>
      </c>
      <c r="AD201" s="88">
        <v>0</v>
      </c>
      <c r="AE201" s="88" t="s">
        <v>1133</v>
      </c>
      <c r="AF201" s="88">
        <v>0</v>
      </c>
      <c r="AG201" s="88">
        <v>0</v>
      </c>
      <c r="AH201" s="88" t="s">
        <v>1133</v>
      </c>
      <c r="AI201" s="88" t="s">
        <v>1133</v>
      </c>
      <c r="AJ201" s="88" t="s">
        <v>1133</v>
      </c>
      <c r="AK201" s="88">
        <v>2</v>
      </c>
      <c r="AL201" s="88">
        <v>20</v>
      </c>
      <c r="AM201" s="88">
        <v>9</v>
      </c>
      <c r="AN201" s="88">
        <v>0</v>
      </c>
      <c r="AO201" s="88">
        <v>1</v>
      </c>
      <c r="AP201" s="88" t="s">
        <v>1134</v>
      </c>
      <c r="AQ201" s="88" t="s">
        <v>1133</v>
      </c>
      <c r="AR201" s="88">
        <v>0</v>
      </c>
      <c r="AS201" s="88"/>
      <c r="AT201" s="88"/>
      <c r="AU201" s="88">
        <v>0</v>
      </c>
      <c r="AV201" s="88" t="s">
        <v>1133</v>
      </c>
      <c r="AW201" s="88" t="s">
        <v>1133</v>
      </c>
      <c r="AX201" s="88">
        <v>0</v>
      </c>
      <c r="AY201" s="88">
        <v>0</v>
      </c>
      <c r="AZ201" s="88">
        <v>0</v>
      </c>
      <c r="BA201" s="88">
        <v>0</v>
      </c>
      <c r="BB201" s="88" t="s">
        <v>0</v>
      </c>
    </row>
    <row r="202" spans="1:54">
      <c r="A202" s="88">
        <v>202</v>
      </c>
      <c r="B202" s="88">
        <v>202</v>
      </c>
      <c r="C202" s="88"/>
      <c r="D202" s="88" t="s">
        <v>202</v>
      </c>
      <c r="E202" s="88">
        <v>0</v>
      </c>
      <c r="F202" s="88">
        <v>1149</v>
      </c>
      <c r="G202" s="88">
        <v>1</v>
      </c>
      <c r="H202" s="88">
        <v>2</v>
      </c>
      <c r="I202" s="88">
        <v>2</v>
      </c>
      <c r="J202" s="88">
        <v>0</v>
      </c>
      <c r="K202" s="88">
        <v>0</v>
      </c>
      <c r="L202" s="88">
        <v>1</v>
      </c>
      <c r="M202" s="88">
        <v>10</v>
      </c>
      <c r="N202" s="88">
        <v>34</v>
      </c>
      <c r="O202" s="88">
        <v>1</v>
      </c>
      <c r="P202" s="88">
        <v>1</v>
      </c>
      <c r="Q202" s="88">
        <v>1</v>
      </c>
      <c r="R202" s="88">
        <v>20</v>
      </c>
      <c r="S202" s="88">
        <v>10</v>
      </c>
      <c r="T202" s="88">
        <v>0</v>
      </c>
      <c r="U202" s="88">
        <v>0</v>
      </c>
      <c r="V202" s="88">
        <v>0</v>
      </c>
      <c r="W202" s="88">
        <v>0</v>
      </c>
      <c r="X202" s="88">
        <v>20</v>
      </c>
      <c r="Y202" s="88">
        <v>0</v>
      </c>
      <c r="Z202" s="88">
        <v>10</v>
      </c>
      <c r="AA202" s="88">
        <v>0</v>
      </c>
      <c r="AB202" s="88">
        <v>1</v>
      </c>
      <c r="AC202" s="88">
        <v>0</v>
      </c>
      <c r="AD202" s="88">
        <v>0</v>
      </c>
      <c r="AE202" s="88" t="s">
        <v>1133</v>
      </c>
      <c r="AF202" s="88">
        <v>0</v>
      </c>
      <c r="AG202" s="88">
        <v>0</v>
      </c>
      <c r="AH202" s="88" t="s">
        <v>1133</v>
      </c>
      <c r="AI202" s="88" t="s">
        <v>1133</v>
      </c>
      <c r="AJ202" s="88" t="s">
        <v>1133</v>
      </c>
      <c r="AK202" s="88">
        <v>2</v>
      </c>
      <c r="AL202" s="88">
        <v>20</v>
      </c>
      <c r="AM202" s="88">
        <v>9</v>
      </c>
      <c r="AN202" s="88">
        <v>0</v>
      </c>
      <c r="AO202" s="88">
        <v>1</v>
      </c>
      <c r="AP202" s="88" t="s">
        <v>1134</v>
      </c>
      <c r="AQ202" s="88" t="s">
        <v>1133</v>
      </c>
      <c r="AR202" s="88">
        <v>0</v>
      </c>
      <c r="AS202" s="88"/>
      <c r="AT202" s="88"/>
      <c r="AU202" s="88">
        <v>0</v>
      </c>
      <c r="AV202" s="88" t="s">
        <v>1133</v>
      </c>
      <c r="AW202" s="88" t="s">
        <v>1133</v>
      </c>
      <c r="AX202" s="88">
        <v>0</v>
      </c>
      <c r="AY202" s="88">
        <v>0</v>
      </c>
      <c r="AZ202" s="88">
        <v>0</v>
      </c>
      <c r="BA202" s="88">
        <v>0</v>
      </c>
      <c r="BB202" s="88" t="s">
        <v>0</v>
      </c>
    </row>
    <row r="203" spans="1:54">
      <c r="A203" s="88">
        <v>203</v>
      </c>
      <c r="B203" s="88">
        <v>203</v>
      </c>
      <c r="C203" s="88"/>
      <c r="D203" s="88" t="s">
        <v>203</v>
      </c>
      <c r="E203" s="88">
        <v>0</v>
      </c>
      <c r="F203" s="88">
        <v>1149</v>
      </c>
      <c r="G203" s="88">
        <v>1</v>
      </c>
      <c r="H203" s="88">
        <v>2</v>
      </c>
      <c r="I203" s="88">
        <v>2</v>
      </c>
      <c r="J203" s="88">
        <v>0</v>
      </c>
      <c r="K203" s="88">
        <v>0</v>
      </c>
      <c r="L203" s="88">
        <v>1</v>
      </c>
      <c r="M203" s="88">
        <v>14</v>
      </c>
      <c r="N203" s="88">
        <v>34</v>
      </c>
      <c r="O203" s="88">
        <v>1</v>
      </c>
      <c r="P203" s="88">
        <v>1</v>
      </c>
      <c r="Q203" s="88">
        <v>1</v>
      </c>
      <c r="R203" s="88">
        <v>20</v>
      </c>
      <c r="S203" s="88">
        <v>10</v>
      </c>
      <c r="T203" s="88">
        <v>0</v>
      </c>
      <c r="U203" s="88">
        <v>0</v>
      </c>
      <c r="V203" s="88">
        <v>0</v>
      </c>
      <c r="W203" s="88">
        <v>0</v>
      </c>
      <c r="X203" s="88">
        <v>20</v>
      </c>
      <c r="Y203" s="88">
        <v>0</v>
      </c>
      <c r="Z203" s="88">
        <v>10</v>
      </c>
      <c r="AA203" s="88">
        <v>0</v>
      </c>
      <c r="AB203" s="88">
        <v>1</v>
      </c>
      <c r="AC203" s="88">
        <v>0</v>
      </c>
      <c r="AD203" s="88">
        <v>0</v>
      </c>
      <c r="AE203" s="88" t="s">
        <v>1133</v>
      </c>
      <c r="AF203" s="88">
        <v>0</v>
      </c>
      <c r="AG203" s="88">
        <v>0</v>
      </c>
      <c r="AH203" s="88" t="s">
        <v>1133</v>
      </c>
      <c r="AI203" s="88" t="s">
        <v>1133</v>
      </c>
      <c r="AJ203" s="88" t="s">
        <v>1133</v>
      </c>
      <c r="AK203" s="88">
        <v>2</v>
      </c>
      <c r="AL203" s="88">
        <v>20</v>
      </c>
      <c r="AM203" s="88">
        <v>9</v>
      </c>
      <c r="AN203" s="88">
        <v>0</v>
      </c>
      <c r="AO203" s="88">
        <v>1</v>
      </c>
      <c r="AP203" s="88" t="s">
        <v>1134</v>
      </c>
      <c r="AQ203" s="88" t="s">
        <v>1133</v>
      </c>
      <c r="AR203" s="88">
        <v>0</v>
      </c>
      <c r="AS203" s="88"/>
      <c r="AT203" s="88"/>
      <c r="AU203" s="88">
        <v>0</v>
      </c>
      <c r="AV203" s="88" t="s">
        <v>1133</v>
      </c>
      <c r="AW203" s="88" t="s">
        <v>1133</v>
      </c>
      <c r="AX203" s="88">
        <v>0</v>
      </c>
      <c r="AY203" s="88">
        <v>0</v>
      </c>
      <c r="AZ203" s="88">
        <v>0</v>
      </c>
      <c r="BA203" s="88">
        <v>0</v>
      </c>
      <c r="BB203" s="88" t="s">
        <v>0</v>
      </c>
    </row>
    <row r="204" spans="1:54">
      <c r="A204" s="88">
        <v>204</v>
      </c>
      <c r="B204" s="88">
        <v>204</v>
      </c>
      <c r="C204" s="88"/>
      <c r="D204" s="88" t="s">
        <v>204</v>
      </c>
      <c r="E204" s="88">
        <v>0</v>
      </c>
      <c r="F204" s="88">
        <v>1149</v>
      </c>
      <c r="G204" s="88">
        <v>1</v>
      </c>
      <c r="H204" s="88">
        <v>2</v>
      </c>
      <c r="I204" s="88">
        <v>2</v>
      </c>
      <c r="J204" s="88">
        <v>0</v>
      </c>
      <c r="K204" s="88">
        <v>0</v>
      </c>
      <c r="L204" s="88">
        <v>1</v>
      </c>
      <c r="M204" s="88">
        <v>16</v>
      </c>
      <c r="N204" s="88">
        <v>34</v>
      </c>
      <c r="O204" s="88">
        <v>1</v>
      </c>
      <c r="P204" s="88">
        <v>1</v>
      </c>
      <c r="Q204" s="88">
        <v>1</v>
      </c>
      <c r="R204" s="88">
        <v>20</v>
      </c>
      <c r="S204" s="88">
        <v>10</v>
      </c>
      <c r="T204" s="88">
        <v>0</v>
      </c>
      <c r="U204" s="88">
        <v>0</v>
      </c>
      <c r="V204" s="88">
        <v>0</v>
      </c>
      <c r="W204" s="88">
        <v>0</v>
      </c>
      <c r="X204" s="88">
        <v>20</v>
      </c>
      <c r="Y204" s="88">
        <v>0</v>
      </c>
      <c r="Z204" s="88">
        <v>10</v>
      </c>
      <c r="AA204" s="88">
        <v>0</v>
      </c>
      <c r="AB204" s="88">
        <v>1</v>
      </c>
      <c r="AC204" s="88">
        <v>0</v>
      </c>
      <c r="AD204" s="88">
        <v>0</v>
      </c>
      <c r="AE204" s="88" t="s">
        <v>1133</v>
      </c>
      <c r="AF204" s="88">
        <v>0</v>
      </c>
      <c r="AG204" s="88">
        <v>0</v>
      </c>
      <c r="AH204" s="88" t="s">
        <v>1133</v>
      </c>
      <c r="AI204" s="88" t="s">
        <v>1133</v>
      </c>
      <c r="AJ204" s="88" t="s">
        <v>1133</v>
      </c>
      <c r="AK204" s="88">
        <v>2</v>
      </c>
      <c r="AL204" s="88">
        <v>20</v>
      </c>
      <c r="AM204" s="88">
        <v>9</v>
      </c>
      <c r="AN204" s="88">
        <v>0</v>
      </c>
      <c r="AO204" s="88">
        <v>1</v>
      </c>
      <c r="AP204" s="88" t="s">
        <v>1134</v>
      </c>
      <c r="AQ204" s="88" t="s">
        <v>1133</v>
      </c>
      <c r="AR204" s="88">
        <v>0</v>
      </c>
      <c r="AS204" s="88"/>
      <c r="AT204" s="88"/>
      <c r="AU204" s="88">
        <v>0</v>
      </c>
      <c r="AV204" s="88" t="s">
        <v>1133</v>
      </c>
      <c r="AW204" s="88" t="s">
        <v>1133</v>
      </c>
      <c r="AX204" s="88">
        <v>0</v>
      </c>
      <c r="AY204" s="88">
        <v>0</v>
      </c>
      <c r="AZ204" s="88">
        <v>0</v>
      </c>
      <c r="BA204" s="88">
        <v>0</v>
      </c>
      <c r="BB204" s="88" t="s">
        <v>0</v>
      </c>
    </row>
    <row r="205" spans="1:54">
      <c r="A205" s="88">
        <v>205</v>
      </c>
      <c r="B205" s="88">
        <v>205</v>
      </c>
      <c r="C205" s="88"/>
      <c r="D205" s="88" t="s">
        <v>205</v>
      </c>
      <c r="E205" s="88">
        <v>0</v>
      </c>
      <c r="F205" s="88">
        <v>1149</v>
      </c>
      <c r="G205" s="88">
        <v>1</v>
      </c>
      <c r="H205" s="88">
        <v>2</v>
      </c>
      <c r="I205" s="88">
        <v>2</v>
      </c>
      <c r="J205" s="88">
        <v>0</v>
      </c>
      <c r="K205" s="88">
        <v>0</v>
      </c>
      <c r="L205" s="88">
        <v>1</v>
      </c>
      <c r="M205" s="88">
        <v>20</v>
      </c>
      <c r="N205" s="88">
        <v>34</v>
      </c>
      <c r="O205" s="88">
        <v>1</v>
      </c>
      <c r="P205" s="88">
        <v>1</v>
      </c>
      <c r="Q205" s="88">
        <v>1</v>
      </c>
      <c r="R205" s="88">
        <v>20</v>
      </c>
      <c r="S205" s="88">
        <v>10</v>
      </c>
      <c r="T205" s="88">
        <v>0</v>
      </c>
      <c r="U205" s="88">
        <v>0</v>
      </c>
      <c r="V205" s="88">
        <v>0</v>
      </c>
      <c r="W205" s="88">
        <v>0</v>
      </c>
      <c r="X205" s="88">
        <v>20</v>
      </c>
      <c r="Y205" s="88">
        <v>0</v>
      </c>
      <c r="Z205" s="88">
        <v>10</v>
      </c>
      <c r="AA205" s="88">
        <v>0</v>
      </c>
      <c r="AB205" s="88">
        <v>1</v>
      </c>
      <c r="AC205" s="88">
        <v>0</v>
      </c>
      <c r="AD205" s="88">
        <v>0</v>
      </c>
      <c r="AE205" s="88" t="s">
        <v>1133</v>
      </c>
      <c r="AF205" s="88">
        <v>0</v>
      </c>
      <c r="AG205" s="88">
        <v>0</v>
      </c>
      <c r="AH205" s="88" t="s">
        <v>1133</v>
      </c>
      <c r="AI205" s="88" t="s">
        <v>1133</v>
      </c>
      <c r="AJ205" s="88" t="s">
        <v>1133</v>
      </c>
      <c r="AK205" s="88">
        <v>2</v>
      </c>
      <c r="AL205" s="88">
        <v>20</v>
      </c>
      <c r="AM205" s="88">
        <v>9</v>
      </c>
      <c r="AN205" s="88">
        <v>0</v>
      </c>
      <c r="AO205" s="88">
        <v>1</v>
      </c>
      <c r="AP205" s="88" t="s">
        <v>1134</v>
      </c>
      <c r="AQ205" s="88" t="s">
        <v>1133</v>
      </c>
      <c r="AR205" s="88">
        <v>0</v>
      </c>
      <c r="AS205" s="88"/>
      <c r="AT205" s="88"/>
      <c r="AU205" s="88">
        <v>0</v>
      </c>
      <c r="AV205" s="88" t="s">
        <v>1133</v>
      </c>
      <c r="AW205" s="88" t="s">
        <v>1133</v>
      </c>
      <c r="AX205" s="88">
        <v>0</v>
      </c>
      <c r="AY205" s="88">
        <v>0</v>
      </c>
      <c r="AZ205" s="88">
        <v>0</v>
      </c>
      <c r="BA205" s="88">
        <v>0</v>
      </c>
      <c r="BB205" s="88" t="s">
        <v>0</v>
      </c>
    </row>
    <row r="206" spans="1:54">
      <c r="A206" s="88">
        <v>206</v>
      </c>
      <c r="B206" s="88">
        <v>206</v>
      </c>
      <c r="C206" s="88"/>
      <c r="D206" s="88" t="s">
        <v>206</v>
      </c>
      <c r="E206" s="88">
        <v>0</v>
      </c>
      <c r="F206" s="88">
        <v>1149</v>
      </c>
      <c r="G206" s="88">
        <v>1</v>
      </c>
      <c r="H206" s="88">
        <v>2</v>
      </c>
      <c r="I206" s="88">
        <v>2</v>
      </c>
      <c r="J206" s="88">
        <v>0</v>
      </c>
      <c r="K206" s="88">
        <v>0</v>
      </c>
      <c r="L206" s="88">
        <v>1</v>
      </c>
      <c r="M206" s="88">
        <v>30</v>
      </c>
      <c r="N206" s="88">
        <v>34</v>
      </c>
      <c r="O206" s="88">
        <v>1</v>
      </c>
      <c r="P206" s="88">
        <v>1</v>
      </c>
      <c r="Q206" s="88">
        <v>1</v>
      </c>
      <c r="R206" s="88">
        <v>20</v>
      </c>
      <c r="S206" s="88">
        <v>10</v>
      </c>
      <c r="T206" s="88">
        <v>0</v>
      </c>
      <c r="U206" s="88">
        <v>0</v>
      </c>
      <c r="V206" s="88">
        <v>0</v>
      </c>
      <c r="W206" s="88">
        <v>0</v>
      </c>
      <c r="X206" s="88">
        <v>20</v>
      </c>
      <c r="Y206" s="88">
        <v>0</v>
      </c>
      <c r="Z206" s="88">
        <v>10</v>
      </c>
      <c r="AA206" s="88">
        <v>0</v>
      </c>
      <c r="AB206" s="88">
        <v>1</v>
      </c>
      <c r="AC206" s="88">
        <v>0</v>
      </c>
      <c r="AD206" s="88">
        <v>0</v>
      </c>
      <c r="AE206" s="88" t="s">
        <v>1133</v>
      </c>
      <c r="AF206" s="88">
        <v>0</v>
      </c>
      <c r="AG206" s="88">
        <v>0</v>
      </c>
      <c r="AH206" s="88" t="s">
        <v>1133</v>
      </c>
      <c r="AI206" s="88" t="s">
        <v>1133</v>
      </c>
      <c r="AJ206" s="88" t="s">
        <v>1133</v>
      </c>
      <c r="AK206" s="88">
        <v>2</v>
      </c>
      <c r="AL206" s="88">
        <v>20</v>
      </c>
      <c r="AM206" s="88">
        <v>9</v>
      </c>
      <c r="AN206" s="88">
        <v>0</v>
      </c>
      <c r="AO206" s="88">
        <v>1</v>
      </c>
      <c r="AP206" s="88" t="s">
        <v>1134</v>
      </c>
      <c r="AQ206" s="88" t="s">
        <v>1133</v>
      </c>
      <c r="AR206" s="88">
        <v>0</v>
      </c>
      <c r="AS206" s="88"/>
      <c r="AT206" s="88"/>
      <c r="AU206" s="88">
        <v>0</v>
      </c>
      <c r="AV206" s="88" t="s">
        <v>1133</v>
      </c>
      <c r="AW206" s="88" t="s">
        <v>1133</v>
      </c>
      <c r="AX206" s="88">
        <v>0</v>
      </c>
      <c r="AY206" s="88">
        <v>0</v>
      </c>
      <c r="AZ206" s="88">
        <v>0</v>
      </c>
      <c r="BA206" s="88">
        <v>0</v>
      </c>
      <c r="BB206" s="88" t="s">
        <v>0</v>
      </c>
    </row>
    <row r="207" spans="1:54">
      <c r="A207" s="88">
        <v>207</v>
      </c>
      <c r="B207" s="88">
        <v>207</v>
      </c>
      <c r="C207" s="88"/>
      <c r="D207" s="88" t="s">
        <v>207</v>
      </c>
      <c r="E207" s="88">
        <v>0</v>
      </c>
      <c r="F207" s="88">
        <v>1149</v>
      </c>
      <c r="G207" s="88">
        <v>1</v>
      </c>
      <c r="H207" s="88">
        <v>2</v>
      </c>
      <c r="I207" s="88">
        <v>2</v>
      </c>
      <c r="J207" s="88">
        <v>0</v>
      </c>
      <c r="K207" s="88">
        <v>0</v>
      </c>
      <c r="L207" s="88">
        <v>1</v>
      </c>
      <c r="M207" s="88">
        <v>40</v>
      </c>
      <c r="N207" s="88">
        <v>34</v>
      </c>
      <c r="O207" s="88">
        <v>1</v>
      </c>
      <c r="P207" s="88">
        <v>1</v>
      </c>
      <c r="Q207" s="88">
        <v>1</v>
      </c>
      <c r="R207" s="88">
        <v>20</v>
      </c>
      <c r="S207" s="88">
        <v>10</v>
      </c>
      <c r="T207" s="88">
        <v>0</v>
      </c>
      <c r="U207" s="88">
        <v>0</v>
      </c>
      <c r="V207" s="88">
        <v>0</v>
      </c>
      <c r="W207" s="88">
        <v>0</v>
      </c>
      <c r="X207" s="88">
        <v>20</v>
      </c>
      <c r="Y207" s="88">
        <v>0</v>
      </c>
      <c r="Z207" s="88">
        <v>10</v>
      </c>
      <c r="AA207" s="88">
        <v>0</v>
      </c>
      <c r="AB207" s="88">
        <v>1</v>
      </c>
      <c r="AC207" s="88">
        <v>0</v>
      </c>
      <c r="AD207" s="88">
        <v>0</v>
      </c>
      <c r="AE207" s="88" t="s">
        <v>1133</v>
      </c>
      <c r="AF207" s="88">
        <v>0</v>
      </c>
      <c r="AG207" s="88">
        <v>0</v>
      </c>
      <c r="AH207" s="88" t="s">
        <v>1133</v>
      </c>
      <c r="AI207" s="88" t="s">
        <v>1133</v>
      </c>
      <c r="AJ207" s="88" t="s">
        <v>1133</v>
      </c>
      <c r="AK207" s="88">
        <v>2</v>
      </c>
      <c r="AL207" s="88">
        <v>20</v>
      </c>
      <c r="AM207" s="88">
        <v>9</v>
      </c>
      <c r="AN207" s="88">
        <v>0</v>
      </c>
      <c r="AO207" s="88">
        <v>1</v>
      </c>
      <c r="AP207" s="88" t="s">
        <v>1134</v>
      </c>
      <c r="AQ207" s="88" t="s">
        <v>1133</v>
      </c>
      <c r="AR207" s="88">
        <v>0</v>
      </c>
      <c r="AS207" s="88"/>
      <c r="AT207" s="88"/>
      <c r="AU207" s="88">
        <v>0</v>
      </c>
      <c r="AV207" s="88" t="s">
        <v>1133</v>
      </c>
      <c r="AW207" s="88" t="s">
        <v>1133</v>
      </c>
      <c r="AX207" s="88">
        <v>0</v>
      </c>
      <c r="AY207" s="88">
        <v>0</v>
      </c>
      <c r="AZ207" s="88">
        <v>0</v>
      </c>
      <c r="BA207" s="88">
        <v>0</v>
      </c>
      <c r="BB207" s="88" t="s">
        <v>0</v>
      </c>
    </row>
    <row r="208" spans="1:54">
      <c r="A208" s="88">
        <v>208</v>
      </c>
      <c r="B208" s="88">
        <v>208</v>
      </c>
      <c r="C208" s="88"/>
      <c r="D208" s="88" t="s">
        <v>208</v>
      </c>
      <c r="E208" s="88">
        <v>0</v>
      </c>
      <c r="F208" s="88">
        <v>1149</v>
      </c>
      <c r="G208" s="88">
        <v>1</v>
      </c>
      <c r="H208" s="88">
        <v>2</v>
      </c>
      <c r="I208" s="88">
        <v>2</v>
      </c>
      <c r="J208" s="88">
        <v>0</v>
      </c>
      <c r="K208" s="88">
        <v>0</v>
      </c>
      <c r="L208" s="88">
        <v>1</v>
      </c>
      <c r="M208" s="88">
        <v>50</v>
      </c>
      <c r="N208" s="88">
        <v>34</v>
      </c>
      <c r="O208" s="88">
        <v>1</v>
      </c>
      <c r="P208" s="88">
        <v>1</v>
      </c>
      <c r="Q208" s="88">
        <v>1</v>
      </c>
      <c r="R208" s="88">
        <v>20</v>
      </c>
      <c r="S208" s="88">
        <v>10</v>
      </c>
      <c r="T208" s="88">
        <v>0</v>
      </c>
      <c r="U208" s="88">
        <v>0</v>
      </c>
      <c r="V208" s="88">
        <v>0</v>
      </c>
      <c r="W208" s="88">
        <v>0</v>
      </c>
      <c r="X208" s="88">
        <v>20</v>
      </c>
      <c r="Y208" s="88">
        <v>0</v>
      </c>
      <c r="Z208" s="88">
        <v>10</v>
      </c>
      <c r="AA208" s="88">
        <v>0</v>
      </c>
      <c r="AB208" s="88">
        <v>1</v>
      </c>
      <c r="AC208" s="88">
        <v>0</v>
      </c>
      <c r="AD208" s="88">
        <v>0</v>
      </c>
      <c r="AE208" s="88" t="s">
        <v>1133</v>
      </c>
      <c r="AF208" s="88">
        <v>0</v>
      </c>
      <c r="AG208" s="88">
        <v>0</v>
      </c>
      <c r="AH208" s="88" t="s">
        <v>1133</v>
      </c>
      <c r="AI208" s="88" t="s">
        <v>1133</v>
      </c>
      <c r="AJ208" s="88" t="s">
        <v>1133</v>
      </c>
      <c r="AK208" s="88">
        <v>2</v>
      </c>
      <c r="AL208" s="88">
        <v>20</v>
      </c>
      <c r="AM208" s="88">
        <v>9</v>
      </c>
      <c r="AN208" s="88">
        <v>0</v>
      </c>
      <c r="AO208" s="88">
        <v>1</v>
      </c>
      <c r="AP208" s="88" t="s">
        <v>1134</v>
      </c>
      <c r="AQ208" s="88" t="s">
        <v>1133</v>
      </c>
      <c r="AR208" s="88">
        <v>0</v>
      </c>
      <c r="AS208" s="88"/>
      <c r="AT208" s="88"/>
      <c r="AU208" s="88">
        <v>0</v>
      </c>
      <c r="AV208" s="88" t="s">
        <v>1133</v>
      </c>
      <c r="AW208" s="88" t="s">
        <v>1133</v>
      </c>
      <c r="AX208" s="88">
        <v>0</v>
      </c>
      <c r="AY208" s="88">
        <v>0</v>
      </c>
      <c r="AZ208" s="88">
        <v>0</v>
      </c>
      <c r="BA208" s="88">
        <v>0</v>
      </c>
      <c r="BB208" s="88" t="s">
        <v>0</v>
      </c>
    </row>
    <row r="209" spans="1:54">
      <c r="A209" s="88">
        <v>209</v>
      </c>
      <c r="B209" s="88">
        <v>209</v>
      </c>
      <c r="C209" s="88"/>
      <c r="D209" s="88" t="s">
        <v>209</v>
      </c>
      <c r="E209" s="88">
        <v>0</v>
      </c>
      <c r="F209" s="88">
        <v>1149</v>
      </c>
      <c r="G209" s="88">
        <v>1</v>
      </c>
      <c r="H209" s="88">
        <v>2</v>
      </c>
      <c r="I209" s="88">
        <v>2</v>
      </c>
      <c r="J209" s="88">
        <v>0</v>
      </c>
      <c r="K209" s="88">
        <v>0</v>
      </c>
      <c r="L209" s="88">
        <v>1</v>
      </c>
      <c r="M209" s="88">
        <v>80</v>
      </c>
      <c r="N209" s="88">
        <v>34</v>
      </c>
      <c r="O209" s="88">
        <v>1</v>
      </c>
      <c r="P209" s="88">
        <v>1</v>
      </c>
      <c r="Q209" s="88">
        <v>1</v>
      </c>
      <c r="R209" s="88">
        <v>20</v>
      </c>
      <c r="S209" s="88">
        <v>10</v>
      </c>
      <c r="T209" s="88">
        <v>0</v>
      </c>
      <c r="U209" s="88">
        <v>0</v>
      </c>
      <c r="V209" s="88">
        <v>0</v>
      </c>
      <c r="W209" s="88">
        <v>0</v>
      </c>
      <c r="X209" s="88">
        <v>20</v>
      </c>
      <c r="Y209" s="88">
        <v>0</v>
      </c>
      <c r="Z209" s="88">
        <v>10</v>
      </c>
      <c r="AA209" s="88">
        <v>0</v>
      </c>
      <c r="AB209" s="88">
        <v>1</v>
      </c>
      <c r="AC209" s="88">
        <v>0</v>
      </c>
      <c r="AD209" s="88">
        <v>0</v>
      </c>
      <c r="AE209" s="88" t="s">
        <v>1133</v>
      </c>
      <c r="AF209" s="88">
        <v>0</v>
      </c>
      <c r="AG209" s="88">
        <v>0</v>
      </c>
      <c r="AH209" s="88" t="s">
        <v>1133</v>
      </c>
      <c r="AI209" s="88" t="s">
        <v>1133</v>
      </c>
      <c r="AJ209" s="88" t="s">
        <v>1133</v>
      </c>
      <c r="AK209" s="88">
        <v>2</v>
      </c>
      <c r="AL209" s="88">
        <v>20</v>
      </c>
      <c r="AM209" s="88">
        <v>9</v>
      </c>
      <c r="AN209" s="88">
        <v>0</v>
      </c>
      <c r="AO209" s="88">
        <v>1</v>
      </c>
      <c r="AP209" s="88" t="s">
        <v>1134</v>
      </c>
      <c r="AQ209" s="88" t="s">
        <v>1133</v>
      </c>
      <c r="AR209" s="88">
        <v>0</v>
      </c>
      <c r="AS209" s="88"/>
      <c r="AT209" s="88"/>
      <c r="AU209" s="88">
        <v>0</v>
      </c>
      <c r="AV209" s="88" t="s">
        <v>1133</v>
      </c>
      <c r="AW209" s="88" t="s">
        <v>1133</v>
      </c>
      <c r="AX209" s="88">
        <v>0</v>
      </c>
      <c r="AY209" s="88">
        <v>0</v>
      </c>
      <c r="AZ209" s="88">
        <v>0</v>
      </c>
      <c r="BA209" s="88">
        <v>0</v>
      </c>
      <c r="BB209" s="88" t="s">
        <v>0</v>
      </c>
    </row>
    <row r="210" spans="1:54">
      <c r="A210" s="88">
        <v>210</v>
      </c>
      <c r="B210" s="88">
        <v>210</v>
      </c>
      <c r="C210" s="88"/>
      <c r="D210" s="88" t="s">
        <v>210</v>
      </c>
      <c r="E210" s="88">
        <v>0</v>
      </c>
      <c r="F210" s="88">
        <v>1149</v>
      </c>
      <c r="G210" s="88">
        <v>1</v>
      </c>
      <c r="H210" s="88">
        <v>2</v>
      </c>
      <c r="I210" s="88">
        <v>2</v>
      </c>
      <c r="J210" s="88">
        <v>0</v>
      </c>
      <c r="K210" s="88">
        <v>0</v>
      </c>
      <c r="L210" s="88">
        <v>1</v>
      </c>
      <c r="M210" s="88">
        <v>600</v>
      </c>
      <c r="N210" s="88">
        <v>34</v>
      </c>
      <c r="O210" s="88">
        <v>1</v>
      </c>
      <c r="P210" s="88">
        <v>1</v>
      </c>
      <c r="Q210" s="88">
        <v>1</v>
      </c>
      <c r="R210" s="88">
        <v>20</v>
      </c>
      <c r="S210" s="88">
        <v>10</v>
      </c>
      <c r="T210" s="88">
        <v>0</v>
      </c>
      <c r="U210" s="88">
        <v>0</v>
      </c>
      <c r="V210" s="88">
        <v>0</v>
      </c>
      <c r="W210" s="88">
        <v>0</v>
      </c>
      <c r="X210" s="88">
        <v>20</v>
      </c>
      <c r="Y210" s="88">
        <v>0</v>
      </c>
      <c r="Z210" s="88">
        <v>10</v>
      </c>
      <c r="AA210" s="88">
        <v>0</v>
      </c>
      <c r="AB210" s="88">
        <v>1</v>
      </c>
      <c r="AC210" s="88">
        <v>0</v>
      </c>
      <c r="AD210" s="88">
        <v>0</v>
      </c>
      <c r="AE210" s="88" t="s">
        <v>1133</v>
      </c>
      <c r="AF210" s="88">
        <v>0</v>
      </c>
      <c r="AG210" s="88">
        <v>0</v>
      </c>
      <c r="AH210" s="88" t="s">
        <v>1133</v>
      </c>
      <c r="AI210" s="88" t="s">
        <v>1133</v>
      </c>
      <c r="AJ210" s="88" t="s">
        <v>1133</v>
      </c>
      <c r="AK210" s="88">
        <v>2</v>
      </c>
      <c r="AL210" s="88">
        <v>20</v>
      </c>
      <c r="AM210" s="88">
        <v>9</v>
      </c>
      <c r="AN210" s="88">
        <v>0</v>
      </c>
      <c r="AO210" s="88">
        <v>1</v>
      </c>
      <c r="AP210" s="88" t="s">
        <v>1134</v>
      </c>
      <c r="AQ210" s="88" t="s">
        <v>1133</v>
      </c>
      <c r="AR210" s="88">
        <v>0</v>
      </c>
      <c r="AS210" s="88"/>
      <c r="AT210" s="88"/>
      <c r="AU210" s="88">
        <v>0</v>
      </c>
      <c r="AV210" s="88" t="s">
        <v>1133</v>
      </c>
      <c r="AW210" s="88" t="s">
        <v>1133</v>
      </c>
      <c r="AX210" s="88">
        <v>0</v>
      </c>
      <c r="AY210" s="88">
        <v>0</v>
      </c>
      <c r="AZ210" s="88">
        <v>0</v>
      </c>
      <c r="BA210" s="88">
        <v>0</v>
      </c>
      <c r="BB210" s="88" t="s">
        <v>0</v>
      </c>
    </row>
    <row r="211" spans="1:54">
      <c r="A211" s="88">
        <v>211</v>
      </c>
      <c r="B211" s="88">
        <v>211</v>
      </c>
      <c r="C211" s="88"/>
      <c r="D211" s="88" t="s">
        <v>211</v>
      </c>
      <c r="E211" s="88">
        <v>0</v>
      </c>
      <c r="F211" s="88">
        <v>1149</v>
      </c>
      <c r="G211" s="88">
        <v>1</v>
      </c>
      <c r="H211" s="88">
        <v>2</v>
      </c>
      <c r="I211" s="88">
        <v>2</v>
      </c>
      <c r="J211" s="88">
        <v>0</v>
      </c>
      <c r="K211" s="88">
        <v>0</v>
      </c>
      <c r="L211" s="88">
        <v>1</v>
      </c>
      <c r="M211" s="88">
        <v>800</v>
      </c>
      <c r="N211" s="88">
        <v>34</v>
      </c>
      <c r="O211" s="88">
        <v>1</v>
      </c>
      <c r="P211" s="88">
        <v>1</v>
      </c>
      <c r="Q211" s="88">
        <v>1</v>
      </c>
      <c r="R211" s="88">
        <v>20</v>
      </c>
      <c r="S211" s="88">
        <v>10</v>
      </c>
      <c r="T211" s="88">
        <v>0</v>
      </c>
      <c r="U211" s="88">
        <v>0</v>
      </c>
      <c r="V211" s="88">
        <v>0</v>
      </c>
      <c r="W211" s="88">
        <v>0</v>
      </c>
      <c r="X211" s="88">
        <v>20</v>
      </c>
      <c r="Y211" s="88">
        <v>0</v>
      </c>
      <c r="Z211" s="88">
        <v>10</v>
      </c>
      <c r="AA211" s="88">
        <v>0</v>
      </c>
      <c r="AB211" s="88">
        <v>1</v>
      </c>
      <c r="AC211" s="88">
        <v>0</v>
      </c>
      <c r="AD211" s="88">
        <v>0</v>
      </c>
      <c r="AE211" s="88" t="s">
        <v>1133</v>
      </c>
      <c r="AF211" s="88">
        <v>0</v>
      </c>
      <c r="AG211" s="88">
        <v>0</v>
      </c>
      <c r="AH211" s="88" t="s">
        <v>1133</v>
      </c>
      <c r="AI211" s="88" t="s">
        <v>1133</v>
      </c>
      <c r="AJ211" s="88" t="s">
        <v>1133</v>
      </c>
      <c r="AK211" s="88">
        <v>2</v>
      </c>
      <c r="AL211" s="88">
        <v>20</v>
      </c>
      <c r="AM211" s="88">
        <v>9</v>
      </c>
      <c r="AN211" s="88">
        <v>0</v>
      </c>
      <c r="AO211" s="88">
        <v>1</v>
      </c>
      <c r="AP211" s="88" t="s">
        <v>1134</v>
      </c>
      <c r="AQ211" s="88" t="s">
        <v>1133</v>
      </c>
      <c r="AR211" s="88">
        <v>0</v>
      </c>
      <c r="AS211" s="88"/>
      <c r="AT211" s="88"/>
      <c r="AU211" s="88">
        <v>0</v>
      </c>
      <c r="AV211" s="88" t="s">
        <v>1133</v>
      </c>
      <c r="AW211" s="88" t="s">
        <v>1133</v>
      </c>
      <c r="AX211" s="88">
        <v>0</v>
      </c>
      <c r="AY211" s="88">
        <v>0</v>
      </c>
      <c r="AZ211" s="88">
        <v>0</v>
      </c>
      <c r="BA211" s="88">
        <v>0</v>
      </c>
      <c r="BB211" s="88" t="s">
        <v>0</v>
      </c>
    </row>
    <row r="212" spans="1:54">
      <c r="A212" s="88">
        <v>212</v>
      </c>
      <c r="B212" s="88">
        <v>212</v>
      </c>
      <c r="C212" s="88"/>
      <c r="D212" s="88" t="s">
        <v>212</v>
      </c>
      <c r="E212" s="88">
        <v>0</v>
      </c>
      <c r="F212" s="88">
        <v>1149</v>
      </c>
      <c r="G212" s="88">
        <v>1</v>
      </c>
      <c r="H212" s="88">
        <v>2</v>
      </c>
      <c r="I212" s="88">
        <v>2</v>
      </c>
      <c r="J212" s="88">
        <v>0</v>
      </c>
      <c r="K212" s="88">
        <v>0</v>
      </c>
      <c r="L212" s="88">
        <v>1</v>
      </c>
      <c r="M212" s="88">
        <v>960</v>
      </c>
      <c r="N212" s="88">
        <v>34</v>
      </c>
      <c r="O212" s="88">
        <v>1</v>
      </c>
      <c r="P212" s="88">
        <v>1</v>
      </c>
      <c r="Q212" s="88">
        <v>1</v>
      </c>
      <c r="R212" s="88">
        <v>20</v>
      </c>
      <c r="S212" s="88">
        <v>10</v>
      </c>
      <c r="T212" s="88">
        <v>0</v>
      </c>
      <c r="U212" s="88">
        <v>0</v>
      </c>
      <c r="V212" s="88">
        <v>0</v>
      </c>
      <c r="W212" s="88">
        <v>0</v>
      </c>
      <c r="X212" s="88">
        <v>20</v>
      </c>
      <c r="Y212" s="88">
        <v>0</v>
      </c>
      <c r="Z212" s="88">
        <v>10</v>
      </c>
      <c r="AA212" s="88">
        <v>0</v>
      </c>
      <c r="AB212" s="88">
        <v>1</v>
      </c>
      <c r="AC212" s="88">
        <v>0</v>
      </c>
      <c r="AD212" s="88">
        <v>0</v>
      </c>
      <c r="AE212" s="88" t="s">
        <v>1133</v>
      </c>
      <c r="AF212" s="88">
        <v>0</v>
      </c>
      <c r="AG212" s="88">
        <v>0</v>
      </c>
      <c r="AH212" s="88" t="s">
        <v>1133</v>
      </c>
      <c r="AI212" s="88" t="s">
        <v>1133</v>
      </c>
      <c r="AJ212" s="88" t="s">
        <v>1133</v>
      </c>
      <c r="AK212" s="88">
        <v>2</v>
      </c>
      <c r="AL212" s="88">
        <v>20</v>
      </c>
      <c r="AM212" s="88">
        <v>9</v>
      </c>
      <c r="AN212" s="88">
        <v>0</v>
      </c>
      <c r="AO212" s="88">
        <v>1</v>
      </c>
      <c r="AP212" s="88" t="s">
        <v>1134</v>
      </c>
      <c r="AQ212" s="88" t="s">
        <v>1133</v>
      </c>
      <c r="AR212" s="88">
        <v>0</v>
      </c>
      <c r="AS212" s="88"/>
      <c r="AT212" s="88"/>
      <c r="AU212" s="88">
        <v>0</v>
      </c>
      <c r="AV212" s="88" t="s">
        <v>1133</v>
      </c>
      <c r="AW212" s="88" t="s">
        <v>1133</v>
      </c>
      <c r="AX212" s="88">
        <v>0</v>
      </c>
      <c r="AY212" s="88">
        <v>0</v>
      </c>
      <c r="AZ212" s="88">
        <v>0</v>
      </c>
      <c r="BA212" s="88">
        <v>0</v>
      </c>
      <c r="BB212" s="88" t="s">
        <v>0</v>
      </c>
    </row>
    <row r="213" spans="1:54">
      <c r="A213" s="88">
        <v>213</v>
      </c>
      <c r="B213" s="88">
        <v>213</v>
      </c>
      <c r="C213" s="88"/>
      <c r="D213" s="88" t="s">
        <v>213</v>
      </c>
      <c r="E213" s="88">
        <v>0</v>
      </c>
      <c r="F213" s="88">
        <v>1149</v>
      </c>
      <c r="G213" s="88">
        <v>1</v>
      </c>
      <c r="H213" s="88">
        <v>2</v>
      </c>
      <c r="I213" s="88">
        <v>2</v>
      </c>
      <c r="J213" s="88">
        <v>0</v>
      </c>
      <c r="K213" s="88">
        <v>0</v>
      </c>
      <c r="L213" s="88">
        <v>1</v>
      </c>
      <c r="M213" s="88">
        <v>1280</v>
      </c>
      <c r="N213" s="88">
        <v>34</v>
      </c>
      <c r="O213" s="88">
        <v>1</v>
      </c>
      <c r="P213" s="88">
        <v>1</v>
      </c>
      <c r="Q213" s="88">
        <v>1</v>
      </c>
      <c r="R213" s="88">
        <v>20</v>
      </c>
      <c r="S213" s="88">
        <v>10</v>
      </c>
      <c r="T213" s="88">
        <v>0</v>
      </c>
      <c r="U213" s="88">
        <v>0</v>
      </c>
      <c r="V213" s="88">
        <v>0</v>
      </c>
      <c r="W213" s="88">
        <v>0</v>
      </c>
      <c r="X213" s="88">
        <v>20</v>
      </c>
      <c r="Y213" s="88">
        <v>0</v>
      </c>
      <c r="Z213" s="88">
        <v>10</v>
      </c>
      <c r="AA213" s="88">
        <v>0</v>
      </c>
      <c r="AB213" s="88">
        <v>1</v>
      </c>
      <c r="AC213" s="88">
        <v>0</v>
      </c>
      <c r="AD213" s="88">
        <v>0</v>
      </c>
      <c r="AE213" s="88" t="s">
        <v>1133</v>
      </c>
      <c r="AF213" s="88">
        <v>0</v>
      </c>
      <c r="AG213" s="88">
        <v>0</v>
      </c>
      <c r="AH213" s="88" t="s">
        <v>1133</v>
      </c>
      <c r="AI213" s="88" t="s">
        <v>1133</v>
      </c>
      <c r="AJ213" s="88" t="s">
        <v>1133</v>
      </c>
      <c r="AK213" s="88">
        <v>2</v>
      </c>
      <c r="AL213" s="88">
        <v>20</v>
      </c>
      <c r="AM213" s="88">
        <v>9</v>
      </c>
      <c r="AN213" s="88">
        <v>0</v>
      </c>
      <c r="AO213" s="88">
        <v>1</v>
      </c>
      <c r="AP213" s="88" t="s">
        <v>1134</v>
      </c>
      <c r="AQ213" s="88" t="s">
        <v>1133</v>
      </c>
      <c r="AR213" s="88">
        <v>0</v>
      </c>
      <c r="AS213" s="88"/>
      <c r="AT213" s="88"/>
      <c r="AU213" s="88">
        <v>0</v>
      </c>
      <c r="AV213" s="88" t="s">
        <v>1133</v>
      </c>
      <c r="AW213" s="88" t="s">
        <v>1133</v>
      </c>
      <c r="AX213" s="88">
        <v>0</v>
      </c>
      <c r="AY213" s="88">
        <v>0</v>
      </c>
      <c r="AZ213" s="88">
        <v>0</v>
      </c>
      <c r="BA213" s="88">
        <v>0</v>
      </c>
      <c r="BB213" s="88" t="s">
        <v>0</v>
      </c>
    </row>
    <row r="214" spans="1:54">
      <c r="A214" s="88">
        <v>214</v>
      </c>
      <c r="B214" s="88">
        <v>214</v>
      </c>
      <c r="C214" s="88"/>
      <c r="D214" s="88" t="s">
        <v>998</v>
      </c>
      <c r="E214" s="88">
        <v>0</v>
      </c>
      <c r="F214" s="88">
        <v>1145</v>
      </c>
      <c r="G214" s="88">
        <v>1</v>
      </c>
      <c r="H214" s="88">
        <v>2</v>
      </c>
      <c r="I214" s="88">
        <v>2</v>
      </c>
      <c r="J214" s="88">
        <v>0</v>
      </c>
      <c r="K214" s="88">
        <v>0</v>
      </c>
      <c r="L214" s="88">
        <v>1</v>
      </c>
      <c r="M214" s="88">
        <v>2</v>
      </c>
      <c r="N214" s="88">
        <v>34</v>
      </c>
      <c r="O214" s="88">
        <v>1</v>
      </c>
      <c r="P214" s="88">
        <v>1</v>
      </c>
      <c r="Q214" s="88">
        <v>1</v>
      </c>
      <c r="R214" s="88">
        <v>20</v>
      </c>
      <c r="S214" s="88">
        <v>10</v>
      </c>
      <c r="T214" s="88">
        <v>0</v>
      </c>
      <c r="U214" s="88">
        <v>0</v>
      </c>
      <c r="V214" s="88">
        <v>0</v>
      </c>
      <c r="W214" s="88">
        <v>0</v>
      </c>
      <c r="X214" s="88">
        <v>20</v>
      </c>
      <c r="Y214" s="88">
        <v>0</v>
      </c>
      <c r="Z214" s="88">
        <v>10</v>
      </c>
      <c r="AA214" s="88">
        <v>0</v>
      </c>
      <c r="AB214" s="88">
        <v>1</v>
      </c>
      <c r="AC214" s="88">
        <v>0</v>
      </c>
      <c r="AD214" s="88">
        <v>0</v>
      </c>
      <c r="AE214" s="88" t="s">
        <v>1133</v>
      </c>
      <c r="AF214" s="88">
        <v>0</v>
      </c>
      <c r="AG214" s="88">
        <v>0</v>
      </c>
      <c r="AH214" s="88" t="s">
        <v>1133</v>
      </c>
      <c r="AI214" s="88" t="s">
        <v>1133</v>
      </c>
      <c r="AJ214" s="88" t="s">
        <v>1133</v>
      </c>
      <c r="AK214" s="88">
        <v>2</v>
      </c>
      <c r="AL214" s="88">
        <v>20</v>
      </c>
      <c r="AM214" s="88">
        <v>9</v>
      </c>
      <c r="AN214" s="88">
        <v>0</v>
      </c>
      <c r="AO214" s="88">
        <v>1</v>
      </c>
      <c r="AP214" s="88" t="s">
        <v>1134</v>
      </c>
      <c r="AQ214" s="88" t="s">
        <v>1133</v>
      </c>
      <c r="AR214" s="88">
        <v>0</v>
      </c>
      <c r="AS214" s="88"/>
      <c r="AT214" s="88"/>
      <c r="AU214" s="88">
        <v>0</v>
      </c>
      <c r="AV214" s="88" t="s">
        <v>1133</v>
      </c>
      <c r="AW214" s="88" t="s">
        <v>1133</v>
      </c>
      <c r="AX214" s="88">
        <v>0</v>
      </c>
      <c r="AY214" s="88">
        <v>0</v>
      </c>
      <c r="AZ214" s="88">
        <v>0</v>
      </c>
      <c r="BA214" s="88">
        <v>0</v>
      </c>
      <c r="BB214" s="88" t="s">
        <v>0</v>
      </c>
    </row>
    <row r="215" spans="1:54">
      <c r="A215" s="88">
        <v>215</v>
      </c>
      <c r="B215" s="88">
        <v>215</v>
      </c>
      <c r="C215" s="88"/>
      <c r="D215" s="88" t="s">
        <v>999</v>
      </c>
      <c r="E215" s="88">
        <v>0</v>
      </c>
      <c r="F215" s="88">
        <v>1145</v>
      </c>
      <c r="G215" s="88">
        <v>1</v>
      </c>
      <c r="H215" s="88">
        <v>2</v>
      </c>
      <c r="I215" s="88">
        <v>2</v>
      </c>
      <c r="J215" s="88">
        <v>0</v>
      </c>
      <c r="K215" s="88">
        <v>0</v>
      </c>
      <c r="L215" s="88">
        <v>1</v>
      </c>
      <c r="M215" s="88">
        <v>5</v>
      </c>
      <c r="N215" s="88">
        <v>34</v>
      </c>
      <c r="O215" s="88">
        <v>1</v>
      </c>
      <c r="P215" s="88">
        <v>1</v>
      </c>
      <c r="Q215" s="88">
        <v>1</v>
      </c>
      <c r="R215" s="88">
        <v>20</v>
      </c>
      <c r="S215" s="88">
        <v>10</v>
      </c>
      <c r="T215" s="88">
        <v>0</v>
      </c>
      <c r="U215" s="88">
        <v>0</v>
      </c>
      <c r="V215" s="88">
        <v>0</v>
      </c>
      <c r="W215" s="88">
        <v>0</v>
      </c>
      <c r="X215" s="88">
        <v>20</v>
      </c>
      <c r="Y215" s="88">
        <v>0</v>
      </c>
      <c r="Z215" s="88">
        <v>10</v>
      </c>
      <c r="AA215" s="88">
        <v>0</v>
      </c>
      <c r="AB215" s="88">
        <v>1</v>
      </c>
      <c r="AC215" s="88">
        <v>0</v>
      </c>
      <c r="AD215" s="88">
        <v>0</v>
      </c>
      <c r="AE215" s="88" t="s">
        <v>1133</v>
      </c>
      <c r="AF215" s="88">
        <v>0</v>
      </c>
      <c r="AG215" s="88">
        <v>0</v>
      </c>
      <c r="AH215" s="88" t="s">
        <v>1133</v>
      </c>
      <c r="AI215" s="88" t="s">
        <v>1133</v>
      </c>
      <c r="AJ215" s="88" t="s">
        <v>1133</v>
      </c>
      <c r="AK215" s="88">
        <v>2</v>
      </c>
      <c r="AL215" s="88">
        <v>20</v>
      </c>
      <c r="AM215" s="88">
        <v>9</v>
      </c>
      <c r="AN215" s="88">
        <v>0</v>
      </c>
      <c r="AO215" s="88">
        <v>1</v>
      </c>
      <c r="AP215" s="88" t="s">
        <v>1134</v>
      </c>
      <c r="AQ215" s="88" t="s">
        <v>1133</v>
      </c>
      <c r="AR215" s="88">
        <v>0</v>
      </c>
      <c r="AS215" s="88"/>
      <c r="AT215" s="88"/>
      <c r="AU215" s="88">
        <v>0</v>
      </c>
      <c r="AV215" s="88" t="s">
        <v>1133</v>
      </c>
      <c r="AW215" s="88" t="s">
        <v>1133</v>
      </c>
      <c r="AX215" s="88">
        <v>0</v>
      </c>
      <c r="AY215" s="88">
        <v>0</v>
      </c>
      <c r="AZ215" s="88">
        <v>0</v>
      </c>
      <c r="BA215" s="88">
        <v>0</v>
      </c>
      <c r="BB215" s="88" t="s">
        <v>0</v>
      </c>
    </row>
    <row r="216" spans="1:54">
      <c r="A216" s="88">
        <v>216</v>
      </c>
      <c r="B216" s="88">
        <v>216</v>
      </c>
      <c r="C216" s="88"/>
      <c r="D216" s="88" t="s">
        <v>1000</v>
      </c>
      <c r="E216" s="88">
        <v>0</v>
      </c>
      <c r="F216" s="88">
        <v>1145</v>
      </c>
      <c r="G216" s="88">
        <v>1</v>
      </c>
      <c r="H216" s="88">
        <v>2</v>
      </c>
      <c r="I216" s="88">
        <v>2</v>
      </c>
      <c r="J216" s="88">
        <v>0</v>
      </c>
      <c r="K216" s="88">
        <v>0</v>
      </c>
      <c r="L216" s="88">
        <v>1</v>
      </c>
      <c r="M216" s="88">
        <v>7</v>
      </c>
      <c r="N216" s="88">
        <v>34</v>
      </c>
      <c r="O216" s="88">
        <v>1</v>
      </c>
      <c r="P216" s="88">
        <v>1</v>
      </c>
      <c r="Q216" s="88">
        <v>1</v>
      </c>
      <c r="R216" s="88">
        <v>20</v>
      </c>
      <c r="S216" s="88">
        <v>10</v>
      </c>
      <c r="T216" s="88">
        <v>0</v>
      </c>
      <c r="U216" s="88">
        <v>0</v>
      </c>
      <c r="V216" s="88">
        <v>0</v>
      </c>
      <c r="W216" s="88">
        <v>0</v>
      </c>
      <c r="X216" s="88">
        <v>20</v>
      </c>
      <c r="Y216" s="88">
        <v>0</v>
      </c>
      <c r="Z216" s="88">
        <v>10</v>
      </c>
      <c r="AA216" s="88">
        <v>0</v>
      </c>
      <c r="AB216" s="88">
        <v>1</v>
      </c>
      <c r="AC216" s="88">
        <v>0</v>
      </c>
      <c r="AD216" s="88">
        <v>0</v>
      </c>
      <c r="AE216" s="88" t="s">
        <v>1133</v>
      </c>
      <c r="AF216" s="88">
        <v>0</v>
      </c>
      <c r="AG216" s="88">
        <v>0</v>
      </c>
      <c r="AH216" s="88" t="s">
        <v>1133</v>
      </c>
      <c r="AI216" s="88" t="s">
        <v>1133</v>
      </c>
      <c r="AJ216" s="88" t="s">
        <v>1133</v>
      </c>
      <c r="AK216" s="88">
        <v>2</v>
      </c>
      <c r="AL216" s="88">
        <v>20</v>
      </c>
      <c r="AM216" s="88">
        <v>9</v>
      </c>
      <c r="AN216" s="88">
        <v>0</v>
      </c>
      <c r="AO216" s="88">
        <v>1</v>
      </c>
      <c r="AP216" s="88" t="s">
        <v>1134</v>
      </c>
      <c r="AQ216" s="88" t="s">
        <v>1133</v>
      </c>
      <c r="AR216" s="88">
        <v>0</v>
      </c>
      <c r="AS216" s="88"/>
      <c r="AT216" s="88"/>
      <c r="AU216" s="88">
        <v>0</v>
      </c>
      <c r="AV216" s="88" t="s">
        <v>1133</v>
      </c>
      <c r="AW216" s="88" t="s">
        <v>1133</v>
      </c>
      <c r="AX216" s="88">
        <v>0</v>
      </c>
      <c r="AY216" s="88">
        <v>0</v>
      </c>
      <c r="AZ216" s="88">
        <v>0</v>
      </c>
      <c r="BA216" s="88">
        <v>0</v>
      </c>
      <c r="BB216" s="88" t="s">
        <v>0</v>
      </c>
    </row>
    <row r="217" spans="1:54">
      <c r="A217" s="88">
        <v>217</v>
      </c>
      <c r="B217" s="88">
        <v>217</v>
      </c>
      <c r="C217" s="88"/>
      <c r="D217" s="88" t="s">
        <v>1001</v>
      </c>
      <c r="E217" s="88">
        <v>0</v>
      </c>
      <c r="F217" s="88">
        <v>1145</v>
      </c>
      <c r="G217" s="88">
        <v>1</v>
      </c>
      <c r="H217" s="88">
        <v>2</v>
      </c>
      <c r="I217" s="88">
        <v>2</v>
      </c>
      <c r="J217" s="88">
        <v>0</v>
      </c>
      <c r="K217" s="88">
        <v>0</v>
      </c>
      <c r="L217" s="88">
        <v>1</v>
      </c>
      <c r="M217" s="88">
        <v>10</v>
      </c>
      <c r="N217" s="88">
        <v>34</v>
      </c>
      <c r="O217" s="88">
        <v>1</v>
      </c>
      <c r="P217" s="88">
        <v>1</v>
      </c>
      <c r="Q217" s="88">
        <v>1</v>
      </c>
      <c r="R217" s="88">
        <v>20</v>
      </c>
      <c r="S217" s="88">
        <v>10</v>
      </c>
      <c r="T217" s="88">
        <v>0</v>
      </c>
      <c r="U217" s="88">
        <v>0</v>
      </c>
      <c r="V217" s="88">
        <v>0</v>
      </c>
      <c r="W217" s="88">
        <v>0</v>
      </c>
      <c r="X217" s="88">
        <v>20</v>
      </c>
      <c r="Y217" s="88">
        <v>0</v>
      </c>
      <c r="Z217" s="88">
        <v>10</v>
      </c>
      <c r="AA217" s="88">
        <v>0</v>
      </c>
      <c r="AB217" s="88">
        <v>1</v>
      </c>
      <c r="AC217" s="88">
        <v>0</v>
      </c>
      <c r="AD217" s="88">
        <v>0</v>
      </c>
      <c r="AE217" s="88" t="s">
        <v>1133</v>
      </c>
      <c r="AF217" s="88">
        <v>0</v>
      </c>
      <c r="AG217" s="88">
        <v>0</v>
      </c>
      <c r="AH217" s="88" t="s">
        <v>1133</v>
      </c>
      <c r="AI217" s="88" t="s">
        <v>1133</v>
      </c>
      <c r="AJ217" s="88" t="s">
        <v>1133</v>
      </c>
      <c r="AK217" s="88">
        <v>2</v>
      </c>
      <c r="AL217" s="88">
        <v>20</v>
      </c>
      <c r="AM217" s="88">
        <v>9</v>
      </c>
      <c r="AN217" s="88">
        <v>0</v>
      </c>
      <c r="AO217" s="88">
        <v>1</v>
      </c>
      <c r="AP217" s="88" t="s">
        <v>1134</v>
      </c>
      <c r="AQ217" s="88" t="s">
        <v>1133</v>
      </c>
      <c r="AR217" s="88">
        <v>0</v>
      </c>
      <c r="AS217" s="88"/>
      <c r="AT217" s="88"/>
      <c r="AU217" s="88">
        <v>0</v>
      </c>
      <c r="AV217" s="88" t="s">
        <v>1133</v>
      </c>
      <c r="AW217" s="88" t="s">
        <v>1133</v>
      </c>
      <c r="AX217" s="88">
        <v>0</v>
      </c>
      <c r="AY217" s="88">
        <v>0</v>
      </c>
      <c r="AZ217" s="88">
        <v>0</v>
      </c>
      <c r="BA217" s="88">
        <v>0</v>
      </c>
      <c r="BB217" s="88" t="s">
        <v>0</v>
      </c>
    </row>
    <row r="218" spans="1:54">
      <c r="A218" s="88">
        <v>218</v>
      </c>
      <c r="B218" s="88">
        <v>218</v>
      </c>
      <c r="C218" s="88"/>
      <c r="D218" s="88" t="s">
        <v>1002</v>
      </c>
      <c r="E218" s="88">
        <v>0</v>
      </c>
      <c r="F218" s="88">
        <v>1145</v>
      </c>
      <c r="G218" s="88">
        <v>1</v>
      </c>
      <c r="H218" s="88">
        <v>2</v>
      </c>
      <c r="I218" s="88">
        <v>2</v>
      </c>
      <c r="J218" s="88">
        <v>0</v>
      </c>
      <c r="K218" s="88">
        <v>0</v>
      </c>
      <c r="L218" s="88">
        <v>1</v>
      </c>
      <c r="M218" s="88">
        <v>14</v>
      </c>
      <c r="N218" s="88">
        <v>34</v>
      </c>
      <c r="O218" s="88">
        <v>1</v>
      </c>
      <c r="P218" s="88">
        <v>1</v>
      </c>
      <c r="Q218" s="88">
        <v>1</v>
      </c>
      <c r="R218" s="88">
        <v>20</v>
      </c>
      <c r="S218" s="88">
        <v>10</v>
      </c>
      <c r="T218" s="88">
        <v>0</v>
      </c>
      <c r="U218" s="88">
        <v>0</v>
      </c>
      <c r="V218" s="88">
        <v>0</v>
      </c>
      <c r="W218" s="88">
        <v>0</v>
      </c>
      <c r="X218" s="88">
        <v>20</v>
      </c>
      <c r="Y218" s="88">
        <v>0</v>
      </c>
      <c r="Z218" s="88">
        <v>10</v>
      </c>
      <c r="AA218" s="88">
        <v>0</v>
      </c>
      <c r="AB218" s="88">
        <v>1</v>
      </c>
      <c r="AC218" s="88">
        <v>0</v>
      </c>
      <c r="AD218" s="88">
        <v>0</v>
      </c>
      <c r="AE218" s="88" t="s">
        <v>1133</v>
      </c>
      <c r="AF218" s="88">
        <v>0</v>
      </c>
      <c r="AG218" s="88">
        <v>0</v>
      </c>
      <c r="AH218" s="88" t="s">
        <v>1133</v>
      </c>
      <c r="AI218" s="88" t="s">
        <v>1133</v>
      </c>
      <c r="AJ218" s="88" t="s">
        <v>1133</v>
      </c>
      <c r="AK218" s="88">
        <v>2</v>
      </c>
      <c r="AL218" s="88">
        <v>20</v>
      </c>
      <c r="AM218" s="88">
        <v>9</v>
      </c>
      <c r="AN218" s="88">
        <v>0</v>
      </c>
      <c r="AO218" s="88">
        <v>1</v>
      </c>
      <c r="AP218" s="88" t="s">
        <v>1134</v>
      </c>
      <c r="AQ218" s="88" t="s">
        <v>1133</v>
      </c>
      <c r="AR218" s="88">
        <v>0</v>
      </c>
      <c r="AS218" s="88"/>
      <c r="AT218" s="88"/>
      <c r="AU218" s="88">
        <v>0</v>
      </c>
      <c r="AV218" s="88" t="s">
        <v>1133</v>
      </c>
      <c r="AW218" s="88" t="s">
        <v>1133</v>
      </c>
      <c r="AX218" s="88">
        <v>0</v>
      </c>
      <c r="AY218" s="88">
        <v>0</v>
      </c>
      <c r="AZ218" s="88">
        <v>0</v>
      </c>
      <c r="BA218" s="88">
        <v>0</v>
      </c>
      <c r="BB218" s="88" t="s">
        <v>0</v>
      </c>
    </row>
    <row r="219" spans="1:54">
      <c r="A219" s="88">
        <v>219</v>
      </c>
      <c r="B219" s="88">
        <v>219</v>
      </c>
      <c r="C219" s="88"/>
      <c r="D219" s="88" t="s">
        <v>1003</v>
      </c>
      <c r="E219" s="88">
        <v>0</v>
      </c>
      <c r="F219" s="88">
        <v>1145</v>
      </c>
      <c r="G219" s="88">
        <v>1</v>
      </c>
      <c r="H219" s="88">
        <v>2</v>
      </c>
      <c r="I219" s="88">
        <v>2</v>
      </c>
      <c r="J219" s="88">
        <v>0</v>
      </c>
      <c r="K219" s="88">
        <v>0</v>
      </c>
      <c r="L219" s="88">
        <v>1</v>
      </c>
      <c r="M219" s="88">
        <v>16</v>
      </c>
      <c r="N219" s="88">
        <v>34</v>
      </c>
      <c r="O219" s="88">
        <v>1</v>
      </c>
      <c r="P219" s="88">
        <v>1</v>
      </c>
      <c r="Q219" s="88">
        <v>1</v>
      </c>
      <c r="R219" s="88">
        <v>20</v>
      </c>
      <c r="S219" s="88">
        <v>10</v>
      </c>
      <c r="T219" s="88">
        <v>0</v>
      </c>
      <c r="U219" s="88">
        <v>0</v>
      </c>
      <c r="V219" s="88">
        <v>0</v>
      </c>
      <c r="W219" s="88">
        <v>0</v>
      </c>
      <c r="X219" s="88">
        <v>20</v>
      </c>
      <c r="Y219" s="88">
        <v>0</v>
      </c>
      <c r="Z219" s="88">
        <v>10</v>
      </c>
      <c r="AA219" s="88">
        <v>0</v>
      </c>
      <c r="AB219" s="88">
        <v>1</v>
      </c>
      <c r="AC219" s="88">
        <v>0</v>
      </c>
      <c r="AD219" s="88">
        <v>0</v>
      </c>
      <c r="AE219" s="88" t="s">
        <v>1133</v>
      </c>
      <c r="AF219" s="88">
        <v>0</v>
      </c>
      <c r="AG219" s="88">
        <v>0</v>
      </c>
      <c r="AH219" s="88" t="s">
        <v>1133</v>
      </c>
      <c r="AI219" s="88" t="s">
        <v>1133</v>
      </c>
      <c r="AJ219" s="88" t="s">
        <v>1133</v>
      </c>
      <c r="AK219" s="88">
        <v>2</v>
      </c>
      <c r="AL219" s="88">
        <v>20</v>
      </c>
      <c r="AM219" s="88">
        <v>9</v>
      </c>
      <c r="AN219" s="88">
        <v>0</v>
      </c>
      <c r="AO219" s="88">
        <v>1</v>
      </c>
      <c r="AP219" s="88" t="s">
        <v>1134</v>
      </c>
      <c r="AQ219" s="88" t="s">
        <v>1133</v>
      </c>
      <c r="AR219" s="88">
        <v>0</v>
      </c>
      <c r="AS219" s="88"/>
      <c r="AT219" s="88"/>
      <c r="AU219" s="88">
        <v>0</v>
      </c>
      <c r="AV219" s="88" t="s">
        <v>1133</v>
      </c>
      <c r="AW219" s="88" t="s">
        <v>1133</v>
      </c>
      <c r="AX219" s="88">
        <v>0</v>
      </c>
      <c r="AY219" s="88">
        <v>0</v>
      </c>
      <c r="AZ219" s="88">
        <v>0</v>
      </c>
      <c r="BA219" s="88">
        <v>0</v>
      </c>
      <c r="BB219" s="88" t="s">
        <v>0</v>
      </c>
    </row>
    <row r="220" spans="1:54">
      <c r="A220" s="88">
        <v>220</v>
      </c>
      <c r="B220" s="88">
        <v>220</v>
      </c>
      <c r="C220" s="88"/>
      <c r="D220" s="88" t="s">
        <v>1004</v>
      </c>
      <c r="E220" s="88">
        <v>0</v>
      </c>
      <c r="F220" s="88">
        <v>1145</v>
      </c>
      <c r="G220" s="88">
        <v>1</v>
      </c>
      <c r="H220" s="88">
        <v>2</v>
      </c>
      <c r="I220" s="88">
        <v>2</v>
      </c>
      <c r="J220" s="88">
        <v>0</v>
      </c>
      <c r="K220" s="88">
        <v>0</v>
      </c>
      <c r="L220" s="88">
        <v>1</v>
      </c>
      <c r="M220" s="88">
        <v>20</v>
      </c>
      <c r="N220" s="88">
        <v>34</v>
      </c>
      <c r="O220" s="88">
        <v>1</v>
      </c>
      <c r="P220" s="88">
        <v>1</v>
      </c>
      <c r="Q220" s="88">
        <v>1</v>
      </c>
      <c r="R220" s="88">
        <v>20</v>
      </c>
      <c r="S220" s="88">
        <v>10</v>
      </c>
      <c r="T220" s="88">
        <v>0</v>
      </c>
      <c r="U220" s="88">
        <v>0</v>
      </c>
      <c r="V220" s="88">
        <v>0</v>
      </c>
      <c r="W220" s="88">
        <v>0</v>
      </c>
      <c r="X220" s="88">
        <v>20</v>
      </c>
      <c r="Y220" s="88">
        <v>0</v>
      </c>
      <c r="Z220" s="88">
        <v>10</v>
      </c>
      <c r="AA220" s="88">
        <v>0</v>
      </c>
      <c r="AB220" s="88">
        <v>1</v>
      </c>
      <c r="AC220" s="88">
        <v>0</v>
      </c>
      <c r="AD220" s="88">
        <v>0</v>
      </c>
      <c r="AE220" s="88" t="s">
        <v>1133</v>
      </c>
      <c r="AF220" s="88">
        <v>0</v>
      </c>
      <c r="AG220" s="88">
        <v>0</v>
      </c>
      <c r="AH220" s="88" t="s">
        <v>1133</v>
      </c>
      <c r="AI220" s="88" t="s">
        <v>1133</v>
      </c>
      <c r="AJ220" s="88" t="s">
        <v>1133</v>
      </c>
      <c r="AK220" s="88">
        <v>2</v>
      </c>
      <c r="AL220" s="88">
        <v>20</v>
      </c>
      <c r="AM220" s="88">
        <v>9</v>
      </c>
      <c r="AN220" s="88">
        <v>0</v>
      </c>
      <c r="AO220" s="88">
        <v>1</v>
      </c>
      <c r="AP220" s="88" t="s">
        <v>1134</v>
      </c>
      <c r="AQ220" s="88" t="s">
        <v>1133</v>
      </c>
      <c r="AR220" s="88">
        <v>0</v>
      </c>
      <c r="AS220" s="88"/>
      <c r="AT220" s="88"/>
      <c r="AU220" s="88">
        <v>0</v>
      </c>
      <c r="AV220" s="88" t="s">
        <v>1133</v>
      </c>
      <c r="AW220" s="88" t="s">
        <v>1133</v>
      </c>
      <c r="AX220" s="88">
        <v>0</v>
      </c>
      <c r="AY220" s="88">
        <v>0</v>
      </c>
      <c r="AZ220" s="88">
        <v>0</v>
      </c>
      <c r="BA220" s="88">
        <v>0</v>
      </c>
      <c r="BB220" s="88" t="s">
        <v>0</v>
      </c>
    </row>
    <row r="221" spans="1:54">
      <c r="A221" s="88">
        <v>221</v>
      </c>
      <c r="B221" s="88">
        <v>221</v>
      </c>
      <c r="C221" s="88"/>
      <c r="D221" s="88" t="s">
        <v>1005</v>
      </c>
      <c r="E221" s="88">
        <v>0</v>
      </c>
      <c r="F221" s="88">
        <v>1145</v>
      </c>
      <c r="G221" s="88">
        <v>1</v>
      </c>
      <c r="H221" s="88">
        <v>2</v>
      </c>
      <c r="I221" s="88">
        <v>2</v>
      </c>
      <c r="J221" s="88">
        <v>0</v>
      </c>
      <c r="K221" s="88">
        <v>0</v>
      </c>
      <c r="L221" s="88">
        <v>1</v>
      </c>
      <c r="M221" s="88">
        <v>30</v>
      </c>
      <c r="N221" s="88">
        <v>34</v>
      </c>
      <c r="O221" s="88">
        <v>1</v>
      </c>
      <c r="P221" s="88">
        <v>1</v>
      </c>
      <c r="Q221" s="88">
        <v>1</v>
      </c>
      <c r="R221" s="88">
        <v>20</v>
      </c>
      <c r="S221" s="88">
        <v>10</v>
      </c>
      <c r="T221" s="88">
        <v>0</v>
      </c>
      <c r="U221" s="88">
        <v>0</v>
      </c>
      <c r="V221" s="88">
        <v>0</v>
      </c>
      <c r="W221" s="88">
        <v>0</v>
      </c>
      <c r="X221" s="88">
        <v>20</v>
      </c>
      <c r="Y221" s="88">
        <v>0</v>
      </c>
      <c r="Z221" s="88">
        <v>10</v>
      </c>
      <c r="AA221" s="88">
        <v>0</v>
      </c>
      <c r="AB221" s="88">
        <v>1</v>
      </c>
      <c r="AC221" s="88">
        <v>0</v>
      </c>
      <c r="AD221" s="88">
        <v>0</v>
      </c>
      <c r="AE221" s="88" t="s">
        <v>1133</v>
      </c>
      <c r="AF221" s="88">
        <v>0</v>
      </c>
      <c r="AG221" s="88">
        <v>0</v>
      </c>
      <c r="AH221" s="88" t="s">
        <v>1133</v>
      </c>
      <c r="AI221" s="88" t="s">
        <v>1133</v>
      </c>
      <c r="AJ221" s="88" t="s">
        <v>1133</v>
      </c>
      <c r="AK221" s="88">
        <v>2</v>
      </c>
      <c r="AL221" s="88">
        <v>20</v>
      </c>
      <c r="AM221" s="88">
        <v>9</v>
      </c>
      <c r="AN221" s="88">
        <v>0</v>
      </c>
      <c r="AO221" s="88">
        <v>1</v>
      </c>
      <c r="AP221" s="88" t="s">
        <v>1134</v>
      </c>
      <c r="AQ221" s="88" t="s">
        <v>1133</v>
      </c>
      <c r="AR221" s="88">
        <v>0</v>
      </c>
      <c r="AS221" s="88"/>
      <c r="AT221" s="88"/>
      <c r="AU221" s="88">
        <v>0</v>
      </c>
      <c r="AV221" s="88" t="s">
        <v>1133</v>
      </c>
      <c r="AW221" s="88" t="s">
        <v>1133</v>
      </c>
      <c r="AX221" s="88">
        <v>0</v>
      </c>
      <c r="AY221" s="88">
        <v>0</v>
      </c>
      <c r="AZ221" s="88">
        <v>0</v>
      </c>
      <c r="BA221" s="88">
        <v>0</v>
      </c>
      <c r="BB221" s="88" t="s">
        <v>0</v>
      </c>
    </row>
    <row r="222" spans="1:54">
      <c r="A222" s="88">
        <v>222</v>
      </c>
      <c r="B222" s="88">
        <v>222</v>
      </c>
      <c r="C222" s="88"/>
      <c r="D222" s="88" t="s">
        <v>1006</v>
      </c>
      <c r="E222" s="88">
        <v>0</v>
      </c>
      <c r="F222" s="88">
        <v>1145</v>
      </c>
      <c r="G222" s="88">
        <v>1</v>
      </c>
      <c r="H222" s="88">
        <v>2</v>
      </c>
      <c r="I222" s="88">
        <v>2</v>
      </c>
      <c r="J222" s="88">
        <v>0</v>
      </c>
      <c r="K222" s="88">
        <v>0</v>
      </c>
      <c r="L222" s="88">
        <v>1</v>
      </c>
      <c r="M222" s="88">
        <v>40</v>
      </c>
      <c r="N222" s="88">
        <v>34</v>
      </c>
      <c r="O222" s="88">
        <v>1</v>
      </c>
      <c r="P222" s="88">
        <v>1</v>
      </c>
      <c r="Q222" s="88">
        <v>1</v>
      </c>
      <c r="R222" s="88">
        <v>20</v>
      </c>
      <c r="S222" s="88">
        <v>10</v>
      </c>
      <c r="T222" s="88">
        <v>0</v>
      </c>
      <c r="U222" s="88">
        <v>0</v>
      </c>
      <c r="V222" s="88">
        <v>0</v>
      </c>
      <c r="W222" s="88">
        <v>0</v>
      </c>
      <c r="X222" s="88">
        <v>20</v>
      </c>
      <c r="Y222" s="88">
        <v>0</v>
      </c>
      <c r="Z222" s="88">
        <v>10</v>
      </c>
      <c r="AA222" s="88">
        <v>0</v>
      </c>
      <c r="AB222" s="88">
        <v>1</v>
      </c>
      <c r="AC222" s="88">
        <v>0</v>
      </c>
      <c r="AD222" s="88">
        <v>0</v>
      </c>
      <c r="AE222" s="88" t="s">
        <v>1133</v>
      </c>
      <c r="AF222" s="88">
        <v>0</v>
      </c>
      <c r="AG222" s="88">
        <v>0</v>
      </c>
      <c r="AH222" s="88" t="s">
        <v>1133</v>
      </c>
      <c r="AI222" s="88" t="s">
        <v>1133</v>
      </c>
      <c r="AJ222" s="88" t="s">
        <v>1133</v>
      </c>
      <c r="AK222" s="88">
        <v>2</v>
      </c>
      <c r="AL222" s="88">
        <v>20</v>
      </c>
      <c r="AM222" s="88">
        <v>9</v>
      </c>
      <c r="AN222" s="88">
        <v>0</v>
      </c>
      <c r="AO222" s="88">
        <v>1</v>
      </c>
      <c r="AP222" s="88" t="s">
        <v>1134</v>
      </c>
      <c r="AQ222" s="88" t="s">
        <v>1133</v>
      </c>
      <c r="AR222" s="88">
        <v>0</v>
      </c>
      <c r="AS222" s="88"/>
      <c r="AT222" s="88"/>
      <c r="AU222" s="88">
        <v>0</v>
      </c>
      <c r="AV222" s="88" t="s">
        <v>1133</v>
      </c>
      <c r="AW222" s="88" t="s">
        <v>1133</v>
      </c>
      <c r="AX222" s="88">
        <v>0</v>
      </c>
      <c r="AY222" s="88">
        <v>0</v>
      </c>
      <c r="AZ222" s="88">
        <v>0</v>
      </c>
      <c r="BA222" s="88">
        <v>0</v>
      </c>
      <c r="BB222" s="88" t="s">
        <v>0</v>
      </c>
    </row>
    <row r="223" spans="1:54">
      <c r="A223" s="88">
        <v>223</v>
      </c>
      <c r="B223" s="88">
        <v>223</v>
      </c>
      <c r="C223" s="88"/>
      <c r="D223" s="88" t="s">
        <v>1007</v>
      </c>
      <c r="E223" s="88">
        <v>0</v>
      </c>
      <c r="F223" s="88">
        <v>1145</v>
      </c>
      <c r="G223" s="88">
        <v>1</v>
      </c>
      <c r="H223" s="88">
        <v>2</v>
      </c>
      <c r="I223" s="88">
        <v>2</v>
      </c>
      <c r="J223" s="88">
        <v>0</v>
      </c>
      <c r="K223" s="88">
        <v>0</v>
      </c>
      <c r="L223" s="88">
        <v>1</v>
      </c>
      <c r="M223" s="88">
        <v>50</v>
      </c>
      <c r="N223" s="88">
        <v>34</v>
      </c>
      <c r="O223" s="88">
        <v>1</v>
      </c>
      <c r="P223" s="88">
        <v>1</v>
      </c>
      <c r="Q223" s="88">
        <v>1</v>
      </c>
      <c r="R223" s="88">
        <v>20</v>
      </c>
      <c r="S223" s="88">
        <v>10</v>
      </c>
      <c r="T223" s="88">
        <v>0</v>
      </c>
      <c r="U223" s="88">
        <v>0</v>
      </c>
      <c r="V223" s="88">
        <v>0</v>
      </c>
      <c r="W223" s="88">
        <v>0</v>
      </c>
      <c r="X223" s="88">
        <v>20</v>
      </c>
      <c r="Y223" s="88">
        <v>0</v>
      </c>
      <c r="Z223" s="88">
        <v>10</v>
      </c>
      <c r="AA223" s="88">
        <v>0</v>
      </c>
      <c r="AB223" s="88">
        <v>1</v>
      </c>
      <c r="AC223" s="88">
        <v>0</v>
      </c>
      <c r="AD223" s="88">
        <v>0</v>
      </c>
      <c r="AE223" s="88" t="s">
        <v>1133</v>
      </c>
      <c r="AF223" s="88">
        <v>0</v>
      </c>
      <c r="AG223" s="88">
        <v>0</v>
      </c>
      <c r="AH223" s="88" t="s">
        <v>1133</v>
      </c>
      <c r="AI223" s="88" t="s">
        <v>1133</v>
      </c>
      <c r="AJ223" s="88" t="s">
        <v>1133</v>
      </c>
      <c r="AK223" s="88">
        <v>2</v>
      </c>
      <c r="AL223" s="88">
        <v>20</v>
      </c>
      <c r="AM223" s="88">
        <v>9</v>
      </c>
      <c r="AN223" s="88">
        <v>0</v>
      </c>
      <c r="AO223" s="88">
        <v>1</v>
      </c>
      <c r="AP223" s="88" t="s">
        <v>1134</v>
      </c>
      <c r="AQ223" s="88" t="s">
        <v>1133</v>
      </c>
      <c r="AR223" s="88">
        <v>0</v>
      </c>
      <c r="AS223" s="88"/>
      <c r="AT223" s="88"/>
      <c r="AU223" s="88">
        <v>0</v>
      </c>
      <c r="AV223" s="88" t="s">
        <v>1133</v>
      </c>
      <c r="AW223" s="88" t="s">
        <v>1133</v>
      </c>
      <c r="AX223" s="88">
        <v>0</v>
      </c>
      <c r="AY223" s="88">
        <v>0</v>
      </c>
      <c r="AZ223" s="88">
        <v>0</v>
      </c>
      <c r="BA223" s="88">
        <v>0</v>
      </c>
      <c r="BB223" s="88" t="s">
        <v>0</v>
      </c>
    </row>
    <row r="224" spans="1:54">
      <c r="A224" s="88">
        <v>224</v>
      </c>
      <c r="B224" s="88">
        <v>224</v>
      </c>
      <c r="C224" s="88"/>
      <c r="D224" s="88" t="s">
        <v>1008</v>
      </c>
      <c r="E224" s="88">
        <v>0</v>
      </c>
      <c r="F224" s="88">
        <v>1145</v>
      </c>
      <c r="G224" s="88">
        <v>1</v>
      </c>
      <c r="H224" s="88">
        <v>2</v>
      </c>
      <c r="I224" s="88">
        <v>2</v>
      </c>
      <c r="J224" s="88">
        <v>0</v>
      </c>
      <c r="K224" s="88">
        <v>0</v>
      </c>
      <c r="L224" s="88">
        <v>1</v>
      </c>
      <c r="M224" s="88">
        <v>80</v>
      </c>
      <c r="N224" s="88">
        <v>34</v>
      </c>
      <c r="O224" s="88">
        <v>1</v>
      </c>
      <c r="P224" s="88">
        <v>1</v>
      </c>
      <c r="Q224" s="88">
        <v>1</v>
      </c>
      <c r="R224" s="88">
        <v>20</v>
      </c>
      <c r="S224" s="88">
        <v>10</v>
      </c>
      <c r="T224" s="88">
        <v>0</v>
      </c>
      <c r="U224" s="88">
        <v>0</v>
      </c>
      <c r="V224" s="88">
        <v>0</v>
      </c>
      <c r="W224" s="88">
        <v>0</v>
      </c>
      <c r="X224" s="88">
        <v>20</v>
      </c>
      <c r="Y224" s="88">
        <v>0</v>
      </c>
      <c r="Z224" s="88">
        <v>10</v>
      </c>
      <c r="AA224" s="88">
        <v>0</v>
      </c>
      <c r="AB224" s="88">
        <v>1</v>
      </c>
      <c r="AC224" s="88">
        <v>0</v>
      </c>
      <c r="AD224" s="88">
        <v>0</v>
      </c>
      <c r="AE224" s="88" t="s">
        <v>1133</v>
      </c>
      <c r="AF224" s="88">
        <v>0</v>
      </c>
      <c r="AG224" s="88">
        <v>0</v>
      </c>
      <c r="AH224" s="88" t="s">
        <v>1133</v>
      </c>
      <c r="AI224" s="88" t="s">
        <v>1133</v>
      </c>
      <c r="AJ224" s="88" t="s">
        <v>1133</v>
      </c>
      <c r="AK224" s="88">
        <v>2</v>
      </c>
      <c r="AL224" s="88">
        <v>20</v>
      </c>
      <c r="AM224" s="88">
        <v>9</v>
      </c>
      <c r="AN224" s="88">
        <v>0</v>
      </c>
      <c r="AO224" s="88">
        <v>1</v>
      </c>
      <c r="AP224" s="88" t="s">
        <v>1134</v>
      </c>
      <c r="AQ224" s="88" t="s">
        <v>1133</v>
      </c>
      <c r="AR224" s="88">
        <v>0</v>
      </c>
      <c r="AS224" s="88"/>
      <c r="AT224" s="88"/>
      <c r="AU224" s="88">
        <v>0</v>
      </c>
      <c r="AV224" s="88" t="s">
        <v>1133</v>
      </c>
      <c r="AW224" s="88" t="s">
        <v>1133</v>
      </c>
      <c r="AX224" s="88">
        <v>0</v>
      </c>
      <c r="AY224" s="88">
        <v>0</v>
      </c>
      <c r="AZ224" s="88">
        <v>0</v>
      </c>
      <c r="BA224" s="88">
        <v>0</v>
      </c>
      <c r="BB224" s="88" t="s">
        <v>0</v>
      </c>
    </row>
    <row r="225" spans="1:54">
      <c r="A225" s="88">
        <v>225</v>
      </c>
      <c r="B225" s="88">
        <v>225</v>
      </c>
      <c r="C225" s="88"/>
      <c r="D225" s="88" t="s">
        <v>1009</v>
      </c>
      <c r="E225" s="88">
        <v>0</v>
      </c>
      <c r="F225" s="88">
        <v>1145</v>
      </c>
      <c r="G225" s="88">
        <v>1</v>
      </c>
      <c r="H225" s="88">
        <v>2</v>
      </c>
      <c r="I225" s="88">
        <v>2</v>
      </c>
      <c r="J225" s="88">
        <v>0</v>
      </c>
      <c r="K225" s="88">
        <v>0</v>
      </c>
      <c r="L225" s="88">
        <v>1</v>
      </c>
      <c r="M225" s="88">
        <v>600</v>
      </c>
      <c r="N225" s="88">
        <v>34</v>
      </c>
      <c r="O225" s="88">
        <v>1</v>
      </c>
      <c r="P225" s="88">
        <v>1</v>
      </c>
      <c r="Q225" s="88">
        <v>1</v>
      </c>
      <c r="R225" s="88">
        <v>20</v>
      </c>
      <c r="S225" s="88">
        <v>10</v>
      </c>
      <c r="T225" s="88">
        <v>0</v>
      </c>
      <c r="U225" s="88">
        <v>0</v>
      </c>
      <c r="V225" s="88">
        <v>0</v>
      </c>
      <c r="W225" s="88">
        <v>0</v>
      </c>
      <c r="X225" s="88">
        <v>20</v>
      </c>
      <c r="Y225" s="88">
        <v>0</v>
      </c>
      <c r="Z225" s="88">
        <v>10</v>
      </c>
      <c r="AA225" s="88">
        <v>0</v>
      </c>
      <c r="AB225" s="88">
        <v>1</v>
      </c>
      <c r="AC225" s="88">
        <v>0</v>
      </c>
      <c r="AD225" s="88">
        <v>0</v>
      </c>
      <c r="AE225" s="88" t="s">
        <v>1133</v>
      </c>
      <c r="AF225" s="88">
        <v>0</v>
      </c>
      <c r="AG225" s="88">
        <v>0</v>
      </c>
      <c r="AH225" s="88" t="s">
        <v>1133</v>
      </c>
      <c r="AI225" s="88" t="s">
        <v>1133</v>
      </c>
      <c r="AJ225" s="88" t="s">
        <v>1133</v>
      </c>
      <c r="AK225" s="88">
        <v>2</v>
      </c>
      <c r="AL225" s="88">
        <v>20</v>
      </c>
      <c r="AM225" s="88">
        <v>9</v>
      </c>
      <c r="AN225" s="88">
        <v>0</v>
      </c>
      <c r="AO225" s="88">
        <v>1</v>
      </c>
      <c r="AP225" s="88" t="s">
        <v>1134</v>
      </c>
      <c r="AQ225" s="88" t="s">
        <v>1133</v>
      </c>
      <c r="AR225" s="88">
        <v>0</v>
      </c>
      <c r="AS225" s="88"/>
      <c r="AT225" s="88"/>
      <c r="AU225" s="88">
        <v>0</v>
      </c>
      <c r="AV225" s="88" t="s">
        <v>1133</v>
      </c>
      <c r="AW225" s="88" t="s">
        <v>1133</v>
      </c>
      <c r="AX225" s="88">
        <v>0</v>
      </c>
      <c r="AY225" s="88">
        <v>0</v>
      </c>
      <c r="AZ225" s="88">
        <v>0</v>
      </c>
      <c r="BA225" s="88">
        <v>0</v>
      </c>
      <c r="BB225" s="88" t="s">
        <v>0</v>
      </c>
    </row>
    <row r="226" spans="1:54">
      <c r="A226" s="88">
        <v>226</v>
      </c>
      <c r="B226" s="88">
        <v>226</v>
      </c>
      <c r="C226" s="88"/>
      <c r="D226" s="88" t="s">
        <v>1010</v>
      </c>
      <c r="E226" s="88">
        <v>0</v>
      </c>
      <c r="F226" s="88">
        <v>1145</v>
      </c>
      <c r="G226" s="88">
        <v>1</v>
      </c>
      <c r="H226" s="88">
        <v>2</v>
      </c>
      <c r="I226" s="88">
        <v>2</v>
      </c>
      <c r="J226" s="88">
        <v>0</v>
      </c>
      <c r="K226" s="88">
        <v>0</v>
      </c>
      <c r="L226" s="88">
        <v>1</v>
      </c>
      <c r="M226" s="88">
        <v>800</v>
      </c>
      <c r="N226" s="88">
        <v>34</v>
      </c>
      <c r="O226" s="88">
        <v>1</v>
      </c>
      <c r="P226" s="88">
        <v>1</v>
      </c>
      <c r="Q226" s="88">
        <v>1</v>
      </c>
      <c r="R226" s="88">
        <v>20</v>
      </c>
      <c r="S226" s="88">
        <v>10</v>
      </c>
      <c r="T226" s="88">
        <v>0</v>
      </c>
      <c r="U226" s="88">
        <v>0</v>
      </c>
      <c r="V226" s="88">
        <v>0</v>
      </c>
      <c r="W226" s="88">
        <v>0</v>
      </c>
      <c r="X226" s="88">
        <v>20</v>
      </c>
      <c r="Y226" s="88">
        <v>0</v>
      </c>
      <c r="Z226" s="88">
        <v>10</v>
      </c>
      <c r="AA226" s="88">
        <v>0</v>
      </c>
      <c r="AB226" s="88">
        <v>1</v>
      </c>
      <c r="AC226" s="88">
        <v>0</v>
      </c>
      <c r="AD226" s="88">
        <v>0</v>
      </c>
      <c r="AE226" s="88" t="s">
        <v>1133</v>
      </c>
      <c r="AF226" s="88">
        <v>0</v>
      </c>
      <c r="AG226" s="88">
        <v>0</v>
      </c>
      <c r="AH226" s="88" t="s">
        <v>1133</v>
      </c>
      <c r="AI226" s="88" t="s">
        <v>1133</v>
      </c>
      <c r="AJ226" s="88" t="s">
        <v>1133</v>
      </c>
      <c r="AK226" s="88">
        <v>2</v>
      </c>
      <c r="AL226" s="88">
        <v>20</v>
      </c>
      <c r="AM226" s="88">
        <v>9</v>
      </c>
      <c r="AN226" s="88">
        <v>0</v>
      </c>
      <c r="AO226" s="88">
        <v>1</v>
      </c>
      <c r="AP226" s="88" t="s">
        <v>1134</v>
      </c>
      <c r="AQ226" s="88" t="s">
        <v>1133</v>
      </c>
      <c r="AR226" s="88">
        <v>0</v>
      </c>
      <c r="AS226" s="88"/>
      <c r="AT226" s="88"/>
      <c r="AU226" s="88">
        <v>0</v>
      </c>
      <c r="AV226" s="88" t="s">
        <v>1133</v>
      </c>
      <c r="AW226" s="88" t="s">
        <v>1133</v>
      </c>
      <c r="AX226" s="88">
        <v>0</v>
      </c>
      <c r="AY226" s="88">
        <v>0</v>
      </c>
      <c r="AZ226" s="88">
        <v>0</v>
      </c>
      <c r="BA226" s="88">
        <v>0</v>
      </c>
      <c r="BB226" s="88" t="s">
        <v>0</v>
      </c>
    </row>
    <row r="227" spans="1:54">
      <c r="A227" s="88">
        <v>227</v>
      </c>
      <c r="B227" s="88">
        <v>227</v>
      </c>
      <c r="C227" s="88"/>
      <c r="D227" s="88" t="s">
        <v>1011</v>
      </c>
      <c r="E227" s="88">
        <v>0</v>
      </c>
      <c r="F227" s="88">
        <v>1145</v>
      </c>
      <c r="G227" s="88">
        <v>1</v>
      </c>
      <c r="H227" s="88">
        <v>2</v>
      </c>
      <c r="I227" s="88">
        <v>2</v>
      </c>
      <c r="J227" s="88">
        <v>0</v>
      </c>
      <c r="K227" s="88">
        <v>0</v>
      </c>
      <c r="L227" s="88">
        <v>1</v>
      </c>
      <c r="M227" s="88">
        <v>1000</v>
      </c>
      <c r="N227" s="88">
        <v>34</v>
      </c>
      <c r="O227" s="88">
        <v>1</v>
      </c>
      <c r="P227" s="88">
        <v>1</v>
      </c>
      <c r="Q227" s="88">
        <v>1</v>
      </c>
      <c r="R227" s="88">
        <v>20</v>
      </c>
      <c r="S227" s="88">
        <v>10</v>
      </c>
      <c r="T227" s="88">
        <v>0</v>
      </c>
      <c r="U227" s="88">
        <v>0</v>
      </c>
      <c r="V227" s="88">
        <v>0</v>
      </c>
      <c r="W227" s="88">
        <v>0</v>
      </c>
      <c r="X227" s="88">
        <v>20</v>
      </c>
      <c r="Y227" s="88">
        <v>0</v>
      </c>
      <c r="Z227" s="88">
        <v>10</v>
      </c>
      <c r="AA227" s="88">
        <v>0</v>
      </c>
      <c r="AB227" s="88">
        <v>1</v>
      </c>
      <c r="AC227" s="88">
        <v>0</v>
      </c>
      <c r="AD227" s="88">
        <v>0</v>
      </c>
      <c r="AE227" s="88" t="s">
        <v>1133</v>
      </c>
      <c r="AF227" s="88">
        <v>0</v>
      </c>
      <c r="AG227" s="88">
        <v>0</v>
      </c>
      <c r="AH227" s="88" t="s">
        <v>1133</v>
      </c>
      <c r="AI227" s="88" t="s">
        <v>1133</v>
      </c>
      <c r="AJ227" s="88" t="s">
        <v>1133</v>
      </c>
      <c r="AK227" s="88">
        <v>2</v>
      </c>
      <c r="AL227" s="88">
        <v>20</v>
      </c>
      <c r="AM227" s="88">
        <v>9</v>
      </c>
      <c r="AN227" s="88">
        <v>0</v>
      </c>
      <c r="AO227" s="88">
        <v>1</v>
      </c>
      <c r="AP227" s="88" t="s">
        <v>1134</v>
      </c>
      <c r="AQ227" s="88" t="s">
        <v>1133</v>
      </c>
      <c r="AR227" s="88">
        <v>0</v>
      </c>
      <c r="AS227" s="88"/>
      <c r="AT227" s="88"/>
      <c r="AU227" s="88">
        <v>0</v>
      </c>
      <c r="AV227" s="88" t="s">
        <v>1133</v>
      </c>
      <c r="AW227" s="88" t="s">
        <v>1133</v>
      </c>
      <c r="AX227" s="88">
        <v>0</v>
      </c>
      <c r="AY227" s="88">
        <v>0</v>
      </c>
      <c r="AZ227" s="88">
        <v>0</v>
      </c>
      <c r="BA227" s="88">
        <v>0</v>
      </c>
      <c r="BB227" s="88" t="s">
        <v>0</v>
      </c>
    </row>
    <row r="228" spans="1:54">
      <c r="A228" s="88">
        <v>228</v>
      </c>
      <c r="B228" s="88">
        <v>228</v>
      </c>
      <c r="C228" s="88"/>
      <c r="D228" s="88" t="s">
        <v>1012</v>
      </c>
      <c r="E228" s="88">
        <v>0</v>
      </c>
      <c r="F228" s="88">
        <v>1145</v>
      </c>
      <c r="G228" s="88">
        <v>1</v>
      </c>
      <c r="H228" s="88">
        <v>2</v>
      </c>
      <c r="I228" s="88">
        <v>2</v>
      </c>
      <c r="J228" s="88">
        <v>0</v>
      </c>
      <c r="K228" s="88">
        <v>0</v>
      </c>
      <c r="L228" s="88">
        <v>1</v>
      </c>
      <c r="M228" s="88">
        <v>960</v>
      </c>
      <c r="N228" s="88">
        <v>34</v>
      </c>
      <c r="O228" s="88">
        <v>1</v>
      </c>
      <c r="P228" s="88">
        <v>1</v>
      </c>
      <c r="Q228" s="88">
        <v>1</v>
      </c>
      <c r="R228" s="88">
        <v>20</v>
      </c>
      <c r="S228" s="88">
        <v>10</v>
      </c>
      <c r="T228" s="88">
        <v>0</v>
      </c>
      <c r="U228" s="88">
        <v>0</v>
      </c>
      <c r="V228" s="88">
        <v>0</v>
      </c>
      <c r="W228" s="88">
        <v>0</v>
      </c>
      <c r="X228" s="88">
        <v>20</v>
      </c>
      <c r="Y228" s="88">
        <v>0</v>
      </c>
      <c r="Z228" s="88">
        <v>10</v>
      </c>
      <c r="AA228" s="88">
        <v>0</v>
      </c>
      <c r="AB228" s="88">
        <v>1</v>
      </c>
      <c r="AC228" s="88">
        <v>0</v>
      </c>
      <c r="AD228" s="88">
        <v>0</v>
      </c>
      <c r="AE228" s="88" t="s">
        <v>1133</v>
      </c>
      <c r="AF228" s="88">
        <v>0</v>
      </c>
      <c r="AG228" s="88">
        <v>0</v>
      </c>
      <c r="AH228" s="88" t="s">
        <v>1133</v>
      </c>
      <c r="AI228" s="88" t="s">
        <v>1133</v>
      </c>
      <c r="AJ228" s="88" t="s">
        <v>1133</v>
      </c>
      <c r="AK228" s="88">
        <v>2</v>
      </c>
      <c r="AL228" s="88">
        <v>20</v>
      </c>
      <c r="AM228" s="88">
        <v>9</v>
      </c>
      <c r="AN228" s="88">
        <v>0</v>
      </c>
      <c r="AO228" s="88">
        <v>1</v>
      </c>
      <c r="AP228" s="88" t="s">
        <v>1134</v>
      </c>
      <c r="AQ228" s="88" t="s">
        <v>1133</v>
      </c>
      <c r="AR228" s="88">
        <v>0</v>
      </c>
      <c r="AS228" s="88"/>
      <c r="AT228" s="88"/>
      <c r="AU228" s="88">
        <v>0</v>
      </c>
      <c r="AV228" s="88" t="s">
        <v>1133</v>
      </c>
      <c r="AW228" s="88" t="s">
        <v>1133</v>
      </c>
      <c r="AX228" s="88">
        <v>0</v>
      </c>
      <c r="AY228" s="88">
        <v>0</v>
      </c>
      <c r="AZ228" s="88">
        <v>0</v>
      </c>
      <c r="BA228" s="88">
        <v>0</v>
      </c>
      <c r="BB228" s="88" t="s">
        <v>0</v>
      </c>
    </row>
    <row r="229" spans="1:54">
      <c r="A229" s="88">
        <v>229</v>
      </c>
      <c r="B229" s="88">
        <v>229</v>
      </c>
      <c r="C229" s="88"/>
      <c r="D229" s="88" t="s">
        <v>1013</v>
      </c>
      <c r="E229" s="88">
        <v>0</v>
      </c>
      <c r="F229" s="88">
        <v>1145</v>
      </c>
      <c r="G229" s="88">
        <v>1</v>
      </c>
      <c r="H229" s="88">
        <v>2</v>
      </c>
      <c r="I229" s="88">
        <v>2</v>
      </c>
      <c r="J229" s="88">
        <v>0</v>
      </c>
      <c r="K229" s="88">
        <v>0</v>
      </c>
      <c r="L229" s="88">
        <v>1</v>
      </c>
      <c r="M229" s="88">
        <v>1280</v>
      </c>
      <c r="N229" s="88">
        <v>34</v>
      </c>
      <c r="O229" s="88">
        <v>1</v>
      </c>
      <c r="P229" s="88">
        <v>1</v>
      </c>
      <c r="Q229" s="88">
        <v>1</v>
      </c>
      <c r="R229" s="88">
        <v>20</v>
      </c>
      <c r="S229" s="88">
        <v>10</v>
      </c>
      <c r="T229" s="88">
        <v>0</v>
      </c>
      <c r="U229" s="88">
        <v>0</v>
      </c>
      <c r="V229" s="88">
        <v>0</v>
      </c>
      <c r="W229" s="88">
        <v>0</v>
      </c>
      <c r="X229" s="88">
        <v>20</v>
      </c>
      <c r="Y229" s="88">
        <v>0</v>
      </c>
      <c r="Z229" s="88">
        <v>10</v>
      </c>
      <c r="AA229" s="88">
        <v>0</v>
      </c>
      <c r="AB229" s="88">
        <v>1</v>
      </c>
      <c r="AC229" s="88">
        <v>0</v>
      </c>
      <c r="AD229" s="88">
        <v>0</v>
      </c>
      <c r="AE229" s="88" t="s">
        <v>1133</v>
      </c>
      <c r="AF229" s="88">
        <v>0</v>
      </c>
      <c r="AG229" s="88">
        <v>0</v>
      </c>
      <c r="AH229" s="88" t="s">
        <v>1133</v>
      </c>
      <c r="AI229" s="88" t="s">
        <v>1133</v>
      </c>
      <c r="AJ229" s="88" t="s">
        <v>1133</v>
      </c>
      <c r="AK229" s="88">
        <v>2</v>
      </c>
      <c r="AL229" s="88">
        <v>20</v>
      </c>
      <c r="AM229" s="88">
        <v>9</v>
      </c>
      <c r="AN229" s="88">
        <v>0</v>
      </c>
      <c r="AO229" s="88">
        <v>1</v>
      </c>
      <c r="AP229" s="88" t="s">
        <v>1134</v>
      </c>
      <c r="AQ229" s="88" t="s">
        <v>1133</v>
      </c>
      <c r="AR229" s="88">
        <v>0</v>
      </c>
      <c r="AS229" s="88"/>
      <c r="AT229" s="88"/>
      <c r="AU229" s="88">
        <v>0</v>
      </c>
      <c r="AV229" s="88" t="s">
        <v>1133</v>
      </c>
      <c r="AW229" s="88" t="s">
        <v>1133</v>
      </c>
      <c r="AX229" s="88">
        <v>0</v>
      </c>
      <c r="AY229" s="88">
        <v>0</v>
      </c>
      <c r="AZ229" s="88">
        <v>0</v>
      </c>
      <c r="BA229" s="88">
        <v>0</v>
      </c>
      <c r="BB229" s="88" t="s">
        <v>0</v>
      </c>
    </row>
    <row r="230" spans="1:54">
      <c r="A230" s="88">
        <v>230</v>
      </c>
      <c r="B230" s="88">
        <v>230</v>
      </c>
      <c r="C230" s="88"/>
      <c r="D230" s="88" t="s">
        <v>1014</v>
      </c>
      <c r="E230" s="88">
        <v>0</v>
      </c>
      <c r="F230" s="88">
        <v>1145</v>
      </c>
      <c r="G230" s="88">
        <v>1</v>
      </c>
      <c r="H230" s="88">
        <v>2</v>
      </c>
      <c r="I230" s="88">
        <v>2</v>
      </c>
      <c r="J230" s="88">
        <v>0</v>
      </c>
      <c r="K230" s="88">
        <v>0</v>
      </c>
      <c r="L230" s="88">
        <v>1</v>
      </c>
      <c r="M230" s="88">
        <v>2</v>
      </c>
      <c r="N230" s="88">
        <v>34</v>
      </c>
      <c r="O230" s="88">
        <v>1</v>
      </c>
      <c r="P230" s="88">
        <v>1</v>
      </c>
      <c r="Q230" s="88">
        <v>1</v>
      </c>
      <c r="R230" s="88">
        <v>20</v>
      </c>
      <c r="S230" s="88">
        <v>10</v>
      </c>
      <c r="T230" s="88">
        <v>0</v>
      </c>
      <c r="U230" s="88">
        <v>0</v>
      </c>
      <c r="V230" s="88">
        <v>0</v>
      </c>
      <c r="W230" s="88">
        <v>0</v>
      </c>
      <c r="X230" s="88">
        <v>20</v>
      </c>
      <c r="Y230" s="88">
        <v>0</v>
      </c>
      <c r="Z230" s="88">
        <v>10</v>
      </c>
      <c r="AA230" s="88">
        <v>0</v>
      </c>
      <c r="AB230" s="88">
        <v>1</v>
      </c>
      <c r="AC230" s="88">
        <v>0</v>
      </c>
      <c r="AD230" s="88">
        <v>0</v>
      </c>
      <c r="AE230" s="88" t="s">
        <v>1133</v>
      </c>
      <c r="AF230" s="88">
        <v>0</v>
      </c>
      <c r="AG230" s="88">
        <v>0</v>
      </c>
      <c r="AH230" s="88" t="s">
        <v>1133</v>
      </c>
      <c r="AI230" s="88" t="s">
        <v>1133</v>
      </c>
      <c r="AJ230" s="88" t="s">
        <v>1133</v>
      </c>
      <c r="AK230" s="88">
        <v>2</v>
      </c>
      <c r="AL230" s="88">
        <v>20</v>
      </c>
      <c r="AM230" s="88">
        <v>9</v>
      </c>
      <c r="AN230" s="88">
        <v>0</v>
      </c>
      <c r="AO230" s="88">
        <v>1</v>
      </c>
      <c r="AP230" s="88" t="s">
        <v>1134</v>
      </c>
      <c r="AQ230" s="88" t="s">
        <v>1133</v>
      </c>
      <c r="AR230" s="88">
        <v>0</v>
      </c>
      <c r="AS230" s="88"/>
      <c r="AT230" s="88"/>
      <c r="AU230" s="88">
        <v>0</v>
      </c>
      <c r="AV230" s="88" t="s">
        <v>1133</v>
      </c>
      <c r="AW230" s="88" t="s">
        <v>1133</v>
      </c>
      <c r="AX230" s="88">
        <v>0</v>
      </c>
      <c r="AY230" s="88">
        <v>0</v>
      </c>
      <c r="AZ230" s="88">
        <v>0</v>
      </c>
      <c r="BA230" s="88">
        <v>0</v>
      </c>
      <c r="BB230" s="88" t="s">
        <v>0</v>
      </c>
    </row>
    <row r="231" spans="1:54">
      <c r="A231" s="88">
        <v>231</v>
      </c>
      <c r="B231" s="88">
        <v>231</v>
      </c>
      <c r="C231" s="88"/>
      <c r="D231" s="88" t="s">
        <v>1015</v>
      </c>
      <c r="E231" s="88">
        <v>0</v>
      </c>
      <c r="F231" s="88">
        <v>1145</v>
      </c>
      <c r="G231" s="88">
        <v>1</v>
      </c>
      <c r="H231" s="88">
        <v>2</v>
      </c>
      <c r="I231" s="88">
        <v>2</v>
      </c>
      <c r="J231" s="88">
        <v>0</v>
      </c>
      <c r="K231" s="88">
        <v>0</v>
      </c>
      <c r="L231" s="88">
        <v>1</v>
      </c>
      <c r="M231" s="88">
        <v>5</v>
      </c>
      <c r="N231" s="88">
        <v>34</v>
      </c>
      <c r="O231" s="88">
        <v>1</v>
      </c>
      <c r="P231" s="88">
        <v>1</v>
      </c>
      <c r="Q231" s="88">
        <v>1</v>
      </c>
      <c r="R231" s="88">
        <v>20</v>
      </c>
      <c r="S231" s="88">
        <v>10</v>
      </c>
      <c r="T231" s="88">
        <v>0</v>
      </c>
      <c r="U231" s="88">
        <v>0</v>
      </c>
      <c r="V231" s="88">
        <v>0</v>
      </c>
      <c r="W231" s="88">
        <v>0</v>
      </c>
      <c r="X231" s="88">
        <v>20</v>
      </c>
      <c r="Y231" s="88">
        <v>0</v>
      </c>
      <c r="Z231" s="88">
        <v>10</v>
      </c>
      <c r="AA231" s="88">
        <v>0</v>
      </c>
      <c r="AB231" s="88">
        <v>1</v>
      </c>
      <c r="AC231" s="88">
        <v>0</v>
      </c>
      <c r="AD231" s="88">
        <v>0</v>
      </c>
      <c r="AE231" s="88" t="s">
        <v>1133</v>
      </c>
      <c r="AF231" s="88">
        <v>0</v>
      </c>
      <c r="AG231" s="88">
        <v>0</v>
      </c>
      <c r="AH231" s="88" t="s">
        <v>1133</v>
      </c>
      <c r="AI231" s="88" t="s">
        <v>1133</v>
      </c>
      <c r="AJ231" s="88" t="s">
        <v>1133</v>
      </c>
      <c r="AK231" s="88">
        <v>2</v>
      </c>
      <c r="AL231" s="88">
        <v>20</v>
      </c>
      <c r="AM231" s="88">
        <v>9</v>
      </c>
      <c r="AN231" s="88">
        <v>0</v>
      </c>
      <c r="AO231" s="88">
        <v>1</v>
      </c>
      <c r="AP231" s="88" t="s">
        <v>1134</v>
      </c>
      <c r="AQ231" s="88" t="s">
        <v>1133</v>
      </c>
      <c r="AR231" s="88">
        <v>0</v>
      </c>
      <c r="AS231" s="88"/>
      <c r="AT231" s="88"/>
      <c r="AU231" s="88">
        <v>0</v>
      </c>
      <c r="AV231" s="88" t="s">
        <v>1133</v>
      </c>
      <c r="AW231" s="88" t="s">
        <v>1133</v>
      </c>
      <c r="AX231" s="88">
        <v>0</v>
      </c>
      <c r="AY231" s="88">
        <v>0</v>
      </c>
      <c r="AZ231" s="88">
        <v>0</v>
      </c>
      <c r="BA231" s="88">
        <v>0</v>
      </c>
      <c r="BB231" s="88" t="s">
        <v>0</v>
      </c>
    </row>
    <row r="232" spans="1:54">
      <c r="A232" s="88">
        <v>232</v>
      </c>
      <c r="B232" s="88">
        <v>232</v>
      </c>
      <c r="C232" s="88"/>
      <c r="D232" s="88" t="s">
        <v>1016</v>
      </c>
      <c r="E232" s="88">
        <v>0</v>
      </c>
      <c r="F232" s="88">
        <v>1145</v>
      </c>
      <c r="G232" s="88">
        <v>1</v>
      </c>
      <c r="H232" s="88">
        <v>2</v>
      </c>
      <c r="I232" s="88">
        <v>2</v>
      </c>
      <c r="J232" s="88">
        <v>0</v>
      </c>
      <c r="K232" s="88">
        <v>0</v>
      </c>
      <c r="L232" s="88">
        <v>1</v>
      </c>
      <c r="M232" s="88">
        <v>7</v>
      </c>
      <c r="N232" s="88">
        <v>34</v>
      </c>
      <c r="O232" s="88">
        <v>1</v>
      </c>
      <c r="P232" s="88">
        <v>1</v>
      </c>
      <c r="Q232" s="88">
        <v>1</v>
      </c>
      <c r="R232" s="88">
        <v>20</v>
      </c>
      <c r="S232" s="88">
        <v>10</v>
      </c>
      <c r="T232" s="88">
        <v>0</v>
      </c>
      <c r="U232" s="88">
        <v>0</v>
      </c>
      <c r="V232" s="88">
        <v>0</v>
      </c>
      <c r="W232" s="88">
        <v>0</v>
      </c>
      <c r="X232" s="88">
        <v>20</v>
      </c>
      <c r="Y232" s="88">
        <v>0</v>
      </c>
      <c r="Z232" s="88">
        <v>10</v>
      </c>
      <c r="AA232" s="88">
        <v>0</v>
      </c>
      <c r="AB232" s="88">
        <v>1</v>
      </c>
      <c r="AC232" s="88">
        <v>0</v>
      </c>
      <c r="AD232" s="88">
        <v>0</v>
      </c>
      <c r="AE232" s="88" t="s">
        <v>1133</v>
      </c>
      <c r="AF232" s="88">
        <v>0</v>
      </c>
      <c r="AG232" s="88">
        <v>0</v>
      </c>
      <c r="AH232" s="88" t="s">
        <v>1133</v>
      </c>
      <c r="AI232" s="88" t="s">
        <v>1133</v>
      </c>
      <c r="AJ232" s="88" t="s">
        <v>1133</v>
      </c>
      <c r="AK232" s="88">
        <v>2</v>
      </c>
      <c r="AL232" s="88">
        <v>20</v>
      </c>
      <c r="AM232" s="88">
        <v>9</v>
      </c>
      <c r="AN232" s="88">
        <v>0</v>
      </c>
      <c r="AO232" s="88">
        <v>1</v>
      </c>
      <c r="AP232" s="88" t="s">
        <v>1134</v>
      </c>
      <c r="AQ232" s="88" t="s">
        <v>1133</v>
      </c>
      <c r="AR232" s="88">
        <v>0</v>
      </c>
      <c r="AS232" s="88"/>
      <c r="AT232" s="88"/>
      <c r="AU232" s="88">
        <v>0</v>
      </c>
      <c r="AV232" s="88" t="s">
        <v>1133</v>
      </c>
      <c r="AW232" s="88" t="s">
        <v>1133</v>
      </c>
      <c r="AX232" s="88">
        <v>0</v>
      </c>
      <c r="AY232" s="88">
        <v>0</v>
      </c>
      <c r="AZ232" s="88">
        <v>0</v>
      </c>
      <c r="BA232" s="88">
        <v>0</v>
      </c>
      <c r="BB232" s="88" t="s">
        <v>0</v>
      </c>
    </row>
    <row r="233" spans="1:54">
      <c r="A233" s="88">
        <v>233</v>
      </c>
      <c r="B233" s="88">
        <v>233</v>
      </c>
      <c r="C233" s="88"/>
      <c r="D233" s="88" t="s">
        <v>1017</v>
      </c>
      <c r="E233" s="88">
        <v>0</v>
      </c>
      <c r="F233" s="88">
        <v>1145</v>
      </c>
      <c r="G233" s="88">
        <v>1</v>
      </c>
      <c r="H233" s="88">
        <v>2</v>
      </c>
      <c r="I233" s="88">
        <v>2</v>
      </c>
      <c r="J233" s="88">
        <v>0</v>
      </c>
      <c r="K233" s="88">
        <v>0</v>
      </c>
      <c r="L233" s="88">
        <v>1</v>
      </c>
      <c r="M233" s="88">
        <v>10</v>
      </c>
      <c r="N233" s="88">
        <v>34</v>
      </c>
      <c r="O233" s="88">
        <v>1</v>
      </c>
      <c r="P233" s="88">
        <v>1</v>
      </c>
      <c r="Q233" s="88">
        <v>1</v>
      </c>
      <c r="R233" s="88">
        <v>20</v>
      </c>
      <c r="S233" s="88">
        <v>10</v>
      </c>
      <c r="T233" s="88">
        <v>0</v>
      </c>
      <c r="U233" s="88">
        <v>0</v>
      </c>
      <c r="V233" s="88">
        <v>0</v>
      </c>
      <c r="W233" s="88">
        <v>0</v>
      </c>
      <c r="X233" s="88">
        <v>20</v>
      </c>
      <c r="Y233" s="88">
        <v>0</v>
      </c>
      <c r="Z233" s="88">
        <v>10</v>
      </c>
      <c r="AA233" s="88">
        <v>0</v>
      </c>
      <c r="AB233" s="88">
        <v>1</v>
      </c>
      <c r="AC233" s="88">
        <v>0</v>
      </c>
      <c r="AD233" s="88">
        <v>0</v>
      </c>
      <c r="AE233" s="88" t="s">
        <v>1133</v>
      </c>
      <c r="AF233" s="88">
        <v>0</v>
      </c>
      <c r="AG233" s="88">
        <v>0</v>
      </c>
      <c r="AH233" s="88" t="s">
        <v>1133</v>
      </c>
      <c r="AI233" s="88" t="s">
        <v>1133</v>
      </c>
      <c r="AJ233" s="88" t="s">
        <v>1133</v>
      </c>
      <c r="AK233" s="88">
        <v>2</v>
      </c>
      <c r="AL233" s="88">
        <v>20</v>
      </c>
      <c r="AM233" s="88">
        <v>9</v>
      </c>
      <c r="AN233" s="88">
        <v>0</v>
      </c>
      <c r="AO233" s="88">
        <v>1</v>
      </c>
      <c r="AP233" s="88" t="s">
        <v>1134</v>
      </c>
      <c r="AQ233" s="88" t="s">
        <v>1133</v>
      </c>
      <c r="AR233" s="88">
        <v>0</v>
      </c>
      <c r="AS233" s="88"/>
      <c r="AT233" s="88"/>
      <c r="AU233" s="88">
        <v>0</v>
      </c>
      <c r="AV233" s="88" t="s">
        <v>1133</v>
      </c>
      <c r="AW233" s="88" t="s">
        <v>1133</v>
      </c>
      <c r="AX233" s="88">
        <v>0</v>
      </c>
      <c r="AY233" s="88">
        <v>0</v>
      </c>
      <c r="AZ233" s="88">
        <v>0</v>
      </c>
      <c r="BA233" s="88">
        <v>0</v>
      </c>
      <c r="BB233" s="88" t="s">
        <v>0</v>
      </c>
    </row>
    <row r="234" spans="1:54">
      <c r="A234" s="88">
        <v>234</v>
      </c>
      <c r="B234" s="88">
        <v>234</v>
      </c>
      <c r="C234" s="88"/>
      <c r="D234" s="88" t="s">
        <v>1018</v>
      </c>
      <c r="E234" s="88">
        <v>0</v>
      </c>
      <c r="F234" s="88">
        <v>1145</v>
      </c>
      <c r="G234" s="88">
        <v>1</v>
      </c>
      <c r="H234" s="88">
        <v>2</v>
      </c>
      <c r="I234" s="88">
        <v>2</v>
      </c>
      <c r="J234" s="88">
        <v>0</v>
      </c>
      <c r="K234" s="88">
        <v>0</v>
      </c>
      <c r="L234" s="88">
        <v>1</v>
      </c>
      <c r="M234" s="88">
        <v>14</v>
      </c>
      <c r="N234" s="88">
        <v>34</v>
      </c>
      <c r="O234" s="88">
        <v>1</v>
      </c>
      <c r="P234" s="88">
        <v>1</v>
      </c>
      <c r="Q234" s="88">
        <v>1</v>
      </c>
      <c r="R234" s="88">
        <v>20</v>
      </c>
      <c r="S234" s="88">
        <v>10</v>
      </c>
      <c r="T234" s="88">
        <v>0</v>
      </c>
      <c r="U234" s="88">
        <v>0</v>
      </c>
      <c r="V234" s="88">
        <v>0</v>
      </c>
      <c r="W234" s="88">
        <v>0</v>
      </c>
      <c r="X234" s="88">
        <v>20</v>
      </c>
      <c r="Y234" s="88">
        <v>0</v>
      </c>
      <c r="Z234" s="88">
        <v>10</v>
      </c>
      <c r="AA234" s="88">
        <v>0</v>
      </c>
      <c r="AB234" s="88">
        <v>1</v>
      </c>
      <c r="AC234" s="88">
        <v>0</v>
      </c>
      <c r="AD234" s="88">
        <v>0</v>
      </c>
      <c r="AE234" s="88" t="s">
        <v>1133</v>
      </c>
      <c r="AF234" s="88">
        <v>0</v>
      </c>
      <c r="AG234" s="88">
        <v>0</v>
      </c>
      <c r="AH234" s="88" t="s">
        <v>1133</v>
      </c>
      <c r="AI234" s="88" t="s">
        <v>1133</v>
      </c>
      <c r="AJ234" s="88" t="s">
        <v>1133</v>
      </c>
      <c r="AK234" s="88">
        <v>2</v>
      </c>
      <c r="AL234" s="88">
        <v>20</v>
      </c>
      <c r="AM234" s="88">
        <v>9</v>
      </c>
      <c r="AN234" s="88">
        <v>0</v>
      </c>
      <c r="AO234" s="88">
        <v>1</v>
      </c>
      <c r="AP234" s="88" t="s">
        <v>1134</v>
      </c>
      <c r="AQ234" s="88" t="s">
        <v>1133</v>
      </c>
      <c r="AR234" s="88">
        <v>0</v>
      </c>
      <c r="AS234" s="88"/>
      <c r="AT234" s="88"/>
      <c r="AU234" s="88">
        <v>0</v>
      </c>
      <c r="AV234" s="88" t="s">
        <v>1133</v>
      </c>
      <c r="AW234" s="88" t="s">
        <v>1133</v>
      </c>
      <c r="AX234" s="88">
        <v>0</v>
      </c>
      <c r="AY234" s="88">
        <v>0</v>
      </c>
      <c r="AZ234" s="88">
        <v>0</v>
      </c>
      <c r="BA234" s="88">
        <v>0</v>
      </c>
      <c r="BB234" s="88" t="s">
        <v>0</v>
      </c>
    </row>
    <row r="235" spans="1:54">
      <c r="A235" s="88">
        <v>235</v>
      </c>
      <c r="B235" s="88">
        <v>235</v>
      </c>
      <c r="C235" s="88"/>
      <c r="D235" s="88" t="s">
        <v>1019</v>
      </c>
      <c r="E235" s="88">
        <v>0</v>
      </c>
      <c r="F235" s="88">
        <v>1145</v>
      </c>
      <c r="G235" s="88">
        <v>1</v>
      </c>
      <c r="H235" s="88">
        <v>2</v>
      </c>
      <c r="I235" s="88">
        <v>2</v>
      </c>
      <c r="J235" s="88">
        <v>0</v>
      </c>
      <c r="K235" s="88">
        <v>0</v>
      </c>
      <c r="L235" s="88">
        <v>1</v>
      </c>
      <c r="M235" s="88">
        <v>16</v>
      </c>
      <c r="N235" s="88">
        <v>34</v>
      </c>
      <c r="O235" s="88">
        <v>1</v>
      </c>
      <c r="P235" s="88">
        <v>1</v>
      </c>
      <c r="Q235" s="88">
        <v>1</v>
      </c>
      <c r="R235" s="88">
        <v>20</v>
      </c>
      <c r="S235" s="88">
        <v>10</v>
      </c>
      <c r="T235" s="88">
        <v>0</v>
      </c>
      <c r="U235" s="88">
        <v>0</v>
      </c>
      <c r="V235" s="88">
        <v>0</v>
      </c>
      <c r="W235" s="88">
        <v>0</v>
      </c>
      <c r="X235" s="88">
        <v>20</v>
      </c>
      <c r="Y235" s="88">
        <v>0</v>
      </c>
      <c r="Z235" s="88">
        <v>10</v>
      </c>
      <c r="AA235" s="88">
        <v>0</v>
      </c>
      <c r="AB235" s="88">
        <v>1</v>
      </c>
      <c r="AC235" s="88">
        <v>0</v>
      </c>
      <c r="AD235" s="88">
        <v>0</v>
      </c>
      <c r="AE235" s="88" t="s">
        <v>1133</v>
      </c>
      <c r="AF235" s="88">
        <v>0</v>
      </c>
      <c r="AG235" s="88">
        <v>0</v>
      </c>
      <c r="AH235" s="88" t="s">
        <v>1133</v>
      </c>
      <c r="AI235" s="88" t="s">
        <v>1133</v>
      </c>
      <c r="AJ235" s="88" t="s">
        <v>1133</v>
      </c>
      <c r="AK235" s="88">
        <v>2</v>
      </c>
      <c r="AL235" s="88">
        <v>20</v>
      </c>
      <c r="AM235" s="88">
        <v>9</v>
      </c>
      <c r="AN235" s="88">
        <v>0</v>
      </c>
      <c r="AO235" s="88">
        <v>1</v>
      </c>
      <c r="AP235" s="88" t="s">
        <v>1134</v>
      </c>
      <c r="AQ235" s="88" t="s">
        <v>1133</v>
      </c>
      <c r="AR235" s="88">
        <v>0</v>
      </c>
      <c r="AS235" s="88"/>
      <c r="AT235" s="88"/>
      <c r="AU235" s="88">
        <v>0</v>
      </c>
      <c r="AV235" s="88" t="s">
        <v>1133</v>
      </c>
      <c r="AW235" s="88" t="s">
        <v>1133</v>
      </c>
      <c r="AX235" s="88">
        <v>0</v>
      </c>
      <c r="AY235" s="88">
        <v>0</v>
      </c>
      <c r="AZ235" s="88">
        <v>0</v>
      </c>
      <c r="BA235" s="88">
        <v>0</v>
      </c>
      <c r="BB235" s="88" t="s">
        <v>0</v>
      </c>
    </row>
    <row r="236" spans="1:54">
      <c r="A236" s="88">
        <v>236</v>
      </c>
      <c r="B236" s="88">
        <v>236</v>
      </c>
      <c r="C236" s="88"/>
      <c r="D236" s="88" t="s">
        <v>1020</v>
      </c>
      <c r="E236" s="88">
        <v>0</v>
      </c>
      <c r="F236" s="88">
        <v>1145</v>
      </c>
      <c r="G236" s="88">
        <v>1</v>
      </c>
      <c r="H236" s="88">
        <v>2</v>
      </c>
      <c r="I236" s="88">
        <v>2</v>
      </c>
      <c r="J236" s="88">
        <v>0</v>
      </c>
      <c r="K236" s="88">
        <v>0</v>
      </c>
      <c r="L236" s="88">
        <v>1</v>
      </c>
      <c r="M236" s="88">
        <v>20</v>
      </c>
      <c r="N236" s="88">
        <v>34</v>
      </c>
      <c r="O236" s="88">
        <v>1</v>
      </c>
      <c r="P236" s="88">
        <v>1</v>
      </c>
      <c r="Q236" s="88">
        <v>1</v>
      </c>
      <c r="R236" s="88">
        <v>20</v>
      </c>
      <c r="S236" s="88">
        <v>10</v>
      </c>
      <c r="T236" s="88">
        <v>0</v>
      </c>
      <c r="U236" s="88">
        <v>0</v>
      </c>
      <c r="V236" s="88">
        <v>0</v>
      </c>
      <c r="W236" s="88">
        <v>0</v>
      </c>
      <c r="X236" s="88">
        <v>20</v>
      </c>
      <c r="Y236" s="88">
        <v>0</v>
      </c>
      <c r="Z236" s="88">
        <v>10</v>
      </c>
      <c r="AA236" s="88">
        <v>0</v>
      </c>
      <c r="AB236" s="88">
        <v>1</v>
      </c>
      <c r="AC236" s="88">
        <v>0</v>
      </c>
      <c r="AD236" s="88">
        <v>0</v>
      </c>
      <c r="AE236" s="88" t="s">
        <v>1133</v>
      </c>
      <c r="AF236" s="88">
        <v>0</v>
      </c>
      <c r="AG236" s="88">
        <v>0</v>
      </c>
      <c r="AH236" s="88" t="s">
        <v>1133</v>
      </c>
      <c r="AI236" s="88" t="s">
        <v>1133</v>
      </c>
      <c r="AJ236" s="88" t="s">
        <v>1133</v>
      </c>
      <c r="AK236" s="88">
        <v>2</v>
      </c>
      <c r="AL236" s="88">
        <v>20</v>
      </c>
      <c r="AM236" s="88">
        <v>9</v>
      </c>
      <c r="AN236" s="88">
        <v>0</v>
      </c>
      <c r="AO236" s="88">
        <v>1</v>
      </c>
      <c r="AP236" s="88" t="s">
        <v>1134</v>
      </c>
      <c r="AQ236" s="88" t="s">
        <v>1133</v>
      </c>
      <c r="AR236" s="88">
        <v>0</v>
      </c>
      <c r="AS236" s="88"/>
      <c r="AT236" s="88"/>
      <c r="AU236" s="88">
        <v>0</v>
      </c>
      <c r="AV236" s="88" t="s">
        <v>1133</v>
      </c>
      <c r="AW236" s="88" t="s">
        <v>1133</v>
      </c>
      <c r="AX236" s="88">
        <v>0</v>
      </c>
      <c r="AY236" s="88">
        <v>0</v>
      </c>
      <c r="AZ236" s="88">
        <v>0</v>
      </c>
      <c r="BA236" s="88">
        <v>0</v>
      </c>
      <c r="BB236" s="88" t="s">
        <v>0</v>
      </c>
    </row>
    <row r="237" spans="1:54">
      <c r="A237" s="88">
        <v>237</v>
      </c>
      <c r="B237" s="88">
        <v>237</v>
      </c>
      <c r="C237" s="88"/>
      <c r="D237" s="88" t="s">
        <v>1021</v>
      </c>
      <c r="E237" s="88">
        <v>0</v>
      </c>
      <c r="F237" s="88">
        <v>1145</v>
      </c>
      <c r="G237" s="88">
        <v>1</v>
      </c>
      <c r="H237" s="88">
        <v>2</v>
      </c>
      <c r="I237" s="88">
        <v>2</v>
      </c>
      <c r="J237" s="88">
        <v>0</v>
      </c>
      <c r="K237" s="88">
        <v>0</v>
      </c>
      <c r="L237" s="88">
        <v>1</v>
      </c>
      <c r="M237" s="88">
        <v>30</v>
      </c>
      <c r="N237" s="88">
        <v>34</v>
      </c>
      <c r="O237" s="88">
        <v>1</v>
      </c>
      <c r="P237" s="88">
        <v>1</v>
      </c>
      <c r="Q237" s="88">
        <v>1</v>
      </c>
      <c r="R237" s="88">
        <v>20</v>
      </c>
      <c r="S237" s="88">
        <v>10</v>
      </c>
      <c r="T237" s="88">
        <v>0</v>
      </c>
      <c r="U237" s="88">
        <v>0</v>
      </c>
      <c r="V237" s="88">
        <v>0</v>
      </c>
      <c r="W237" s="88">
        <v>0</v>
      </c>
      <c r="X237" s="88">
        <v>20</v>
      </c>
      <c r="Y237" s="88">
        <v>0</v>
      </c>
      <c r="Z237" s="88">
        <v>10</v>
      </c>
      <c r="AA237" s="88">
        <v>0</v>
      </c>
      <c r="AB237" s="88">
        <v>1</v>
      </c>
      <c r="AC237" s="88">
        <v>0</v>
      </c>
      <c r="AD237" s="88">
        <v>0</v>
      </c>
      <c r="AE237" s="88" t="s">
        <v>1133</v>
      </c>
      <c r="AF237" s="88">
        <v>0</v>
      </c>
      <c r="AG237" s="88">
        <v>0</v>
      </c>
      <c r="AH237" s="88" t="s">
        <v>1133</v>
      </c>
      <c r="AI237" s="88" t="s">
        <v>1133</v>
      </c>
      <c r="AJ237" s="88" t="s">
        <v>1133</v>
      </c>
      <c r="AK237" s="88">
        <v>2</v>
      </c>
      <c r="AL237" s="88">
        <v>20</v>
      </c>
      <c r="AM237" s="88">
        <v>9</v>
      </c>
      <c r="AN237" s="88">
        <v>0</v>
      </c>
      <c r="AO237" s="88">
        <v>1</v>
      </c>
      <c r="AP237" s="88" t="s">
        <v>1134</v>
      </c>
      <c r="AQ237" s="88" t="s">
        <v>1133</v>
      </c>
      <c r="AR237" s="88">
        <v>0</v>
      </c>
      <c r="AS237" s="88"/>
      <c r="AT237" s="88"/>
      <c r="AU237" s="88">
        <v>0</v>
      </c>
      <c r="AV237" s="88" t="s">
        <v>1133</v>
      </c>
      <c r="AW237" s="88" t="s">
        <v>1133</v>
      </c>
      <c r="AX237" s="88">
        <v>0</v>
      </c>
      <c r="AY237" s="88">
        <v>0</v>
      </c>
      <c r="AZ237" s="88">
        <v>0</v>
      </c>
      <c r="BA237" s="88">
        <v>0</v>
      </c>
      <c r="BB237" s="88" t="s">
        <v>0</v>
      </c>
    </row>
    <row r="238" spans="1:54">
      <c r="A238" s="88">
        <v>238</v>
      </c>
      <c r="B238" s="88">
        <v>238</v>
      </c>
      <c r="C238" s="88"/>
      <c r="D238" s="88" t="s">
        <v>1022</v>
      </c>
      <c r="E238" s="88">
        <v>0</v>
      </c>
      <c r="F238" s="88">
        <v>1145</v>
      </c>
      <c r="G238" s="88">
        <v>1</v>
      </c>
      <c r="H238" s="88">
        <v>2</v>
      </c>
      <c r="I238" s="88">
        <v>2</v>
      </c>
      <c r="J238" s="88">
        <v>0</v>
      </c>
      <c r="K238" s="88">
        <v>0</v>
      </c>
      <c r="L238" s="88">
        <v>1</v>
      </c>
      <c r="M238" s="88">
        <v>40</v>
      </c>
      <c r="N238" s="88">
        <v>34</v>
      </c>
      <c r="O238" s="88">
        <v>1</v>
      </c>
      <c r="P238" s="88">
        <v>1</v>
      </c>
      <c r="Q238" s="88">
        <v>1</v>
      </c>
      <c r="R238" s="88">
        <v>20</v>
      </c>
      <c r="S238" s="88">
        <v>10</v>
      </c>
      <c r="T238" s="88">
        <v>0</v>
      </c>
      <c r="U238" s="88">
        <v>0</v>
      </c>
      <c r="V238" s="88">
        <v>0</v>
      </c>
      <c r="W238" s="88">
        <v>0</v>
      </c>
      <c r="X238" s="88">
        <v>20</v>
      </c>
      <c r="Y238" s="88">
        <v>0</v>
      </c>
      <c r="Z238" s="88">
        <v>10</v>
      </c>
      <c r="AA238" s="88">
        <v>0</v>
      </c>
      <c r="AB238" s="88">
        <v>1</v>
      </c>
      <c r="AC238" s="88">
        <v>0</v>
      </c>
      <c r="AD238" s="88">
        <v>0</v>
      </c>
      <c r="AE238" s="88" t="s">
        <v>1133</v>
      </c>
      <c r="AF238" s="88">
        <v>0</v>
      </c>
      <c r="AG238" s="88">
        <v>0</v>
      </c>
      <c r="AH238" s="88" t="s">
        <v>1133</v>
      </c>
      <c r="AI238" s="88" t="s">
        <v>1133</v>
      </c>
      <c r="AJ238" s="88" t="s">
        <v>1133</v>
      </c>
      <c r="AK238" s="88">
        <v>2</v>
      </c>
      <c r="AL238" s="88">
        <v>20</v>
      </c>
      <c r="AM238" s="88">
        <v>9</v>
      </c>
      <c r="AN238" s="88">
        <v>0</v>
      </c>
      <c r="AO238" s="88">
        <v>1</v>
      </c>
      <c r="AP238" s="88" t="s">
        <v>1134</v>
      </c>
      <c r="AQ238" s="88" t="s">
        <v>1133</v>
      </c>
      <c r="AR238" s="88">
        <v>0</v>
      </c>
      <c r="AS238" s="88"/>
      <c r="AT238" s="88"/>
      <c r="AU238" s="88">
        <v>0</v>
      </c>
      <c r="AV238" s="88" t="s">
        <v>1133</v>
      </c>
      <c r="AW238" s="88" t="s">
        <v>1133</v>
      </c>
      <c r="AX238" s="88">
        <v>0</v>
      </c>
      <c r="AY238" s="88">
        <v>0</v>
      </c>
      <c r="AZ238" s="88">
        <v>0</v>
      </c>
      <c r="BA238" s="88">
        <v>0</v>
      </c>
      <c r="BB238" s="88" t="s">
        <v>0</v>
      </c>
    </row>
    <row r="239" spans="1:54">
      <c r="A239" s="88">
        <v>239</v>
      </c>
      <c r="B239" s="88">
        <v>239</v>
      </c>
      <c r="C239" s="88"/>
      <c r="D239" s="88" t="s">
        <v>1023</v>
      </c>
      <c r="E239" s="88">
        <v>0</v>
      </c>
      <c r="F239" s="88">
        <v>1145</v>
      </c>
      <c r="G239" s="88">
        <v>1</v>
      </c>
      <c r="H239" s="88">
        <v>2</v>
      </c>
      <c r="I239" s="88">
        <v>2</v>
      </c>
      <c r="J239" s="88">
        <v>0</v>
      </c>
      <c r="K239" s="88">
        <v>0</v>
      </c>
      <c r="L239" s="88">
        <v>1</v>
      </c>
      <c r="M239" s="88">
        <v>50</v>
      </c>
      <c r="N239" s="88">
        <v>34</v>
      </c>
      <c r="O239" s="88">
        <v>1</v>
      </c>
      <c r="P239" s="88">
        <v>1</v>
      </c>
      <c r="Q239" s="88">
        <v>1</v>
      </c>
      <c r="R239" s="88">
        <v>20</v>
      </c>
      <c r="S239" s="88">
        <v>10</v>
      </c>
      <c r="T239" s="88">
        <v>0</v>
      </c>
      <c r="U239" s="88">
        <v>0</v>
      </c>
      <c r="V239" s="88">
        <v>0</v>
      </c>
      <c r="W239" s="88">
        <v>0</v>
      </c>
      <c r="X239" s="88">
        <v>20</v>
      </c>
      <c r="Y239" s="88">
        <v>0</v>
      </c>
      <c r="Z239" s="88">
        <v>10</v>
      </c>
      <c r="AA239" s="88">
        <v>0</v>
      </c>
      <c r="AB239" s="88">
        <v>1</v>
      </c>
      <c r="AC239" s="88">
        <v>0</v>
      </c>
      <c r="AD239" s="88">
        <v>0</v>
      </c>
      <c r="AE239" s="88" t="s">
        <v>1133</v>
      </c>
      <c r="AF239" s="88">
        <v>0</v>
      </c>
      <c r="AG239" s="88">
        <v>0</v>
      </c>
      <c r="AH239" s="88" t="s">
        <v>1133</v>
      </c>
      <c r="AI239" s="88" t="s">
        <v>1133</v>
      </c>
      <c r="AJ239" s="88" t="s">
        <v>1133</v>
      </c>
      <c r="AK239" s="88">
        <v>2</v>
      </c>
      <c r="AL239" s="88">
        <v>20</v>
      </c>
      <c r="AM239" s="88">
        <v>9</v>
      </c>
      <c r="AN239" s="88">
        <v>0</v>
      </c>
      <c r="AO239" s="88">
        <v>1</v>
      </c>
      <c r="AP239" s="88" t="s">
        <v>1134</v>
      </c>
      <c r="AQ239" s="88" t="s">
        <v>1133</v>
      </c>
      <c r="AR239" s="88">
        <v>0</v>
      </c>
      <c r="AS239" s="88"/>
      <c r="AT239" s="88"/>
      <c r="AU239" s="88">
        <v>0</v>
      </c>
      <c r="AV239" s="88" t="s">
        <v>1133</v>
      </c>
      <c r="AW239" s="88" t="s">
        <v>1133</v>
      </c>
      <c r="AX239" s="88">
        <v>0</v>
      </c>
      <c r="AY239" s="88">
        <v>0</v>
      </c>
      <c r="AZ239" s="88">
        <v>0</v>
      </c>
      <c r="BA239" s="88">
        <v>0</v>
      </c>
      <c r="BB239" s="88" t="s">
        <v>0</v>
      </c>
    </row>
    <row r="240" spans="1:54">
      <c r="A240" s="88">
        <v>240</v>
      </c>
      <c r="B240" s="88">
        <v>240</v>
      </c>
      <c r="C240" s="88"/>
      <c r="D240" s="88" t="s">
        <v>1024</v>
      </c>
      <c r="E240" s="88">
        <v>0</v>
      </c>
      <c r="F240" s="88">
        <v>1145</v>
      </c>
      <c r="G240" s="88">
        <v>1</v>
      </c>
      <c r="H240" s="88">
        <v>2</v>
      </c>
      <c r="I240" s="88">
        <v>2</v>
      </c>
      <c r="J240" s="88">
        <v>0</v>
      </c>
      <c r="K240" s="88">
        <v>0</v>
      </c>
      <c r="L240" s="88">
        <v>1</v>
      </c>
      <c r="M240" s="88">
        <v>80</v>
      </c>
      <c r="N240" s="88">
        <v>34</v>
      </c>
      <c r="O240" s="88">
        <v>1</v>
      </c>
      <c r="P240" s="88">
        <v>1</v>
      </c>
      <c r="Q240" s="88">
        <v>1</v>
      </c>
      <c r="R240" s="88">
        <v>20</v>
      </c>
      <c r="S240" s="88">
        <v>10</v>
      </c>
      <c r="T240" s="88">
        <v>0</v>
      </c>
      <c r="U240" s="88">
        <v>0</v>
      </c>
      <c r="V240" s="88">
        <v>0</v>
      </c>
      <c r="W240" s="88">
        <v>0</v>
      </c>
      <c r="X240" s="88">
        <v>20</v>
      </c>
      <c r="Y240" s="88">
        <v>0</v>
      </c>
      <c r="Z240" s="88">
        <v>10</v>
      </c>
      <c r="AA240" s="88">
        <v>0</v>
      </c>
      <c r="AB240" s="88">
        <v>1</v>
      </c>
      <c r="AC240" s="88">
        <v>0</v>
      </c>
      <c r="AD240" s="88">
        <v>0</v>
      </c>
      <c r="AE240" s="88" t="s">
        <v>1133</v>
      </c>
      <c r="AF240" s="88">
        <v>0</v>
      </c>
      <c r="AG240" s="88">
        <v>0</v>
      </c>
      <c r="AH240" s="88" t="s">
        <v>1133</v>
      </c>
      <c r="AI240" s="88" t="s">
        <v>1133</v>
      </c>
      <c r="AJ240" s="88" t="s">
        <v>1133</v>
      </c>
      <c r="AK240" s="88">
        <v>2</v>
      </c>
      <c r="AL240" s="88">
        <v>20</v>
      </c>
      <c r="AM240" s="88">
        <v>9</v>
      </c>
      <c r="AN240" s="88">
        <v>0</v>
      </c>
      <c r="AO240" s="88">
        <v>1</v>
      </c>
      <c r="AP240" s="88" t="s">
        <v>1134</v>
      </c>
      <c r="AQ240" s="88" t="s">
        <v>1133</v>
      </c>
      <c r="AR240" s="88">
        <v>0</v>
      </c>
      <c r="AS240" s="88"/>
      <c r="AT240" s="88"/>
      <c r="AU240" s="88">
        <v>0</v>
      </c>
      <c r="AV240" s="88" t="s">
        <v>1133</v>
      </c>
      <c r="AW240" s="88" t="s">
        <v>1133</v>
      </c>
      <c r="AX240" s="88">
        <v>0</v>
      </c>
      <c r="AY240" s="88">
        <v>0</v>
      </c>
      <c r="AZ240" s="88">
        <v>0</v>
      </c>
      <c r="BA240" s="88">
        <v>0</v>
      </c>
      <c r="BB240" s="88" t="s">
        <v>0</v>
      </c>
    </row>
    <row r="241" spans="1:54">
      <c r="A241" s="88">
        <v>241</v>
      </c>
      <c r="B241" s="88">
        <v>241</v>
      </c>
      <c r="C241" s="88"/>
      <c r="D241" s="88" t="s">
        <v>1025</v>
      </c>
      <c r="E241" s="88">
        <v>0</v>
      </c>
      <c r="F241" s="88">
        <v>1145</v>
      </c>
      <c r="G241" s="88">
        <v>1</v>
      </c>
      <c r="H241" s="88">
        <v>2</v>
      </c>
      <c r="I241" s="88">
        <v>2</v>
      </c>
      <c r="J241" s="88">
        <v>0</v>
      </c>
      <c r="K241" s="88">
        <v>0</v>
      </c>
      <c r="L241" s="88">
        <v>1</v>
      </c>
      <c r="M241" s="88">
        <v>600</v>
      </c>
      <c r="N241" s="88">
        <v>34</v>
      </c>
      <c r="O241" s="88">
        <v>1</v>
      </c>
      <c r="P241" s="88">
        <v>1</v>
      </c>
      <c r="Q241" s="88">
        <v>1</v>
      </c>
      <c r="R241" s="88">
        <v>20</v>
      </c>
      <c r="S241" s="88">
        <v>10</v>
      </c>
      <c r="T241" s="88">
        <v>0</v>
      </c>
      <c r="U241" s="88">
        <v>0</v>
      </c>
      <c r="V241" s="88">
        <v>0</v>
      </c>
      <c r="W241" s="88">
        <v>0</v>
      </c>
      <c r="X241" s="88">
        <v>20</v>
      </c>
      <c r="Y241" s="88">
        <v>0</v>
      </c>
      <c r="Z241" s="88">
        <v>10</v>
      </c>
      <c r="AA241" s="88">
        <v>0</v>
      </c>
      <c r="AB241" s="88">
        <v>1</v>
      </c>
      <c r="AC241" s="88">
        <v>0</v>
      </c>
      <c r="AD241" s="88">
        <v>0</v>
      </c>
      <c r="AE241" s="88" t="s">
        <v>1133</v>
      </c>
      <c r="AF241" s="88">
        <v>0</v>
      </c>
      <c r="AG241" s="88">
        <v>0</v>
      </c>
      <c r="AH241" s="88" t="s">
        <v>1133</v>
      </c>
      <c r="AI241" s="88" t="s">
        <v>1133</v>
      </c>
      <c r="AJ241" s="88" t="s">
        <v>1133</v>
      </c>
      <c r="AK241" s="88">
        <v>2</v>
      </c>
      <c r="AL241" s="88">
        <v>20</v>
      </c>
      <c r="AM241" s="88">
        <v>9</v>
      </c>
      <c r="AN241" s="88">
        <v>0</v>
      </c>
      <c r="AO241" s="88">
        <v>1</v>
      </c>
      <c r="AP241" s="88" t="s">
        <v>1134</v>
      </c>
      <c r="AQ241" s="88" t="s">
        <v>1133</v>
      </c>
      <c r="AR241" s="88">
        <v>0</v>
      </c>
      <c r="AS241" s="88"/>
      <c r="AT241" s="88"/>
      <c r="AU241" s="88">
        <v>0</v>
      </c>
      <c r="AV241" s="88" t="s">
        <v>1133</v>
      </c>
      <c r="AW241" s="88" t="s">
        <v>1133</v>
      </c>
      <c r="AX241" s="88">
        <v>0</v>
      </c>
      <c r="AY241" s="88">
        <v>0</v>
      </c>
      <c r="AZ241" s="88">
        <v>0</v>
      </c>
      <c r="BA241" s="88">
        <v>0</v>
      </c>
      <c r="BB241" s="88" t="s">
        <v>0</v>
      </c>
    </row>
    <row r="242" spans="1:54">
      <c r="A242" s="88">
        <v>242</v>
      </c>
      <c r="B242" s="88">
        <v>242</v>
      </c>
      <c r="C242" s="88"/>
      <c r="D242" s="88" t="s">
        <v>1026</v>
      </c>
      <c r="E242" s="88">
        <v>0</v>
      </c>
      <c r="F242" s="88">
        <v>1145</v>
      </c>
      <c r="G242" s="88">
        <v>1</v>
      </c>
      <c r="H242" s="88">
        <v>2</v>
      </c>
      <c r="I242" s="88">
        <v>2</v>
      </c>
      <c r="J242" s="88">
        <v>0</v>
      </c>
      <c r="K242" s="88">
        <v>0</v>
      </c>
      <c r="L242" s="88">
        <v>1</v>
      </c>
      <c r="M242" s="88">
        <v>800</v>
      </c>
      <c r="N242" s="88">
        <v>34</v>
      </c>
      <c r="O242" s="88">
        <v>1</v>
      </c>
      <c r="P242" s="88">
        <v>1</v>
      </c>
      <c r="Q242" s="88">
        <v>1</v>
      </c>
      <c r="R242" s="88">
        <v>20</v>
      </c>
      <c r="S242" s="88">
        <v>10</v>
      </c>
      <c r="T242" s="88">
        <v>0</v>
      </c>
      <c r="U242" s="88">
        <v>0</v>
      </c>
      <c r="V242" s="88">
        <v>0</v>
      </c>
      <c r="W242" s="88">
        <v>0</v>
      </c>
      <c r="X242" s="88">
        <v>20</v>
      </c>
      <c r="Y242" s="88">
        <v>0</v>
      </c>
      <c r="Z242" s="88">
        <v>10</v>
      </c>
      <c r="AA242" s="88">
        <v>0</v>
      </c>
      <c r="AB242" s="88">
        <v>1</v>
      </c>
      <c r="AC242" s="88">
        <v>0</v>
      </c>
      <c r="AD242" s="88">
        <v>0</v>
      </c>
      <c r="AE242" s="88" t="s">
        <v>1133</v>
      </c>
      <c r="AF242" s="88">
        <v>0</v>
      </c>
      <c r="AG242" s="88">
        <v>0</v>
      </c>
      <c r="AH242" s="88" t="s">
        <v>1133</v>
      </c>
      <c r="AI242" s="88" t="s">
        <v>1133</v>
      </c>
      <c r="AJ242" s="88" t="s">
        <v>1133</v>
      </c>
      <c r="AK242" s="88">
        <v>2</v>
      </c>
      <c r="AL242" s="88">
        <v>20</v>
      </c>
      <c r="AM242" s="88">
        <v>9</v>
      </c>
      <c r="AN242" s="88">
        <v>0</v>
      </c>
      <c r="AO242" s="88">
        <v>1</v>
      </c>
      <c r="AP242" s="88" t="s">
        <v>1134</v>
      </c>
      <c r="AQ242" s="88" t="s">
        <v>1133</v>
      </c>
      <c r="AR242" s="88">
        <v>0</v>
      </c>
      <c r="AS242" s="88"/>
      <c r="AT242" s="88"/>
      <c r="AU242" s="88">
        <v>0</v>
      </c>
      <c r="AV242" s="88" t="s">
        <v>1133</v>
      </c>
      <c r="AW242" s="88" t="s">
        <v>1133</v>
      </c>
      <c r="AX242" s="88">
        <v>0</v>
      </c>
      <c r="AY242" s="88">
        <v>0</v>
      </c>
      <c r="AZ242" s="88">
        <v>0</v>
      </c>
      <c r="BA242" s="88">
        <v>0</v>
      </c>
      <c r="BB242" s="88" t="s">
        <v>0</v>
      </c>
    </row>
    <row r="243" spans="1:54">
      <c r="A243" s="88">
        <v>243</v>
      </c>
      <c r="B243" s="88">
        <v>243</v>
      </c>
      <c r="C243" s="88"/>
      <c r="D243" s="88" t="s">
        <v>1027</v>
      </c>
      <c r="E243" s="88">
        <v>0</v>
      </c>
      <c r="F243" s="88">
        <v>1145</v>
      </c>
      <c r="G243" s="88">
        <v>1</v>
      </c>
      <c r="H243" s="88">
        <v>2</v>
      </c>
      <c r="I243" s="88">
        <v>2</v>
      </c>
      <c r="J243" s="88">
        <v>0</v>
      </c>
      <c r="K243" s="88">
        <v>0</v>
      </c>
      <c r="L243" s="88">
        <v>1</v>
      </c>
      <c r="M243" s="88">
        <v>1000</v>
      </c>
      <c r="N243" s="88">
        <v>34</v>
      </c>
      <c r="O243" s="88">
        <v>1</v>
      </c>
      <c r="P243" s="88">
        <v>1</v>
      </c>
      <c r="Q243" s="88">
        <v>1</v>
      </c>
      <c r="R243" s="88">
        <v>20</v>
      </c>
      <c r="S243" s="88">
        <v>10</v>
      </c>
      <c r="T243" s="88">
        <v>0</v>
      </c>
      <c r="U243" s="88">
        <v>0</v>
      </c>
      <c r="V243" s="88">
        <v>0</v>
      </c>
      <c r="W243" s="88">
        <v>0</v>
      </c>
      <c r="X243" s="88">
        <v>20</v>
      </c>
      <c r="Y243" s="88">
        <v>0</v>
      </c>
      <c r="Z243" s="88">
        <v>10</v>
      </c>
      <c r="AA243" s="88">
        <v>0</v>
      </c>
      <c r="AB243" s="88">
        <v>1</v>
      </c>
      <c r="AC243" s="88">
        <v>0</v>
      </c>
      <c r="AD243" s="88">
        <v>0</v>
      </c>
      <c r="AE243" s="88" t="s">
        <v>1133</v>
      </c>
      <c r="AF243" s="88">
        <v>0</v>
      </c>
      <c r="AG243" s="88">
        <v>0</v>
      </c>
      <c r="AH243" s="88" t="s">
        <v>1133</v>
      </c>
      <c r="AI243" s="88" t="s">
        <v>1133</v>
      </c>
      <c r="AJ243" s="88" t="s">
        <v>1133</v>
      </c>
      <c r="AK243" s="88">
        <v>2</v>
      </c>
      <c r="AL243" s="88">
        <v>20</v>
      </c>
      <c r="AM243" s="88">
        <v>9</v>
      </c>
      <c r="AN243" s="88">
        <v>0</v>
      </c>
      <c r="AO243" s="88">
        <v>1</v>
      </c>
      <c r="AP243" s="88" t="s">
        <v>1134</v>
      </c>
      <c r="AQ243" s="88" t="s">
        <v>1133</v>
      </c>
      <c r="AR243" s="88">
        <v>0</v>
      </c>
      <c r="AS243" s="88"/>
      <c r="AT243" s="88"/>
      <c r="AU243" s="88">
        <v>0</v>
      </c>
      <c r="AV243" s="88" t="s">
        <v>1133</v>
      </c>
      <c r="AW243" s="88" t="s">
        <v>1133</v>
      </c>
      <c r="AX243" s="88">
        <v>0</v>
      </c>
      <c r="AY243" s="88">
        <v>0</v>
      </c>
      <c r="AZ243" s="88">
        <v>0</v>
      </c>
      <c r="BA243" s="88">
        <v>0</v>
      </c>
      <c r="BB243" s="88" t="s">
        <v>0</v>
      </c>
    </row>
    <row r="244" spans="1:54">
      <c r="A244" s="88">
        <v>244</v>
      </c>
      <c r="B244" s="88">
        <v>244</v>
      </c>
      <c r="C244" s="88"/>
      <c r="D244" s="88" t="s">
        <v>1028</v>
      </c>
      <c r="E244" s="88">
        <v>0</v>
      </c>
      <c r="F244" s="88">
        <v>1145</v>
      </c>
      <c r="G244" s="88">
        <v>1</v>
      </c>
      <c r="H244" s="88">
        <v>2</v>
      </c>
      <c r="I244" s="88">
        <v>2</v>
      </c>
      <c r="J244" s="88">
        <v>0</v>
      </c>
      <c r="K244" s="88">
        <v>0</v>
      </c>
      <c r="L244" s="88">
        <v>1</v>
      </c>
      <c r="M244" s="88">
        <v>960</v>
      </c>
      <c r="N244" s="88">
        <v>34</v>
      </c>
      <c r="O244" s="88">
        <v>1</v>
      </c>
      <c r="P244" s="88">
        <v>1</v>
      </c>
      <c r="Q244" s="88">
        <v>1</v>
      </c>
      <c r="R244" s="88">
        <v>20</v>
      </c>
      <c r="S244" s="88">
        <v>10</v>
      </c>
      <c r="T244" s="88">
        <v>0</v>
      </c>
      <c r="U244" s="88">
        <v>0</v>
      </c>
      <c r="V244" s="88">
        <v>0</v>
      </c>
      <c r="W244" s="88">
        <v>0</v>
      </c>
      <c r="X244" s="88">
        <v>20</v>
      </c>
      <c r="Y244" s="88">
        <v>0</v>
      </c>
      <c r="Z244" s="88">
        <v>10</v>
      </c>
      <c r="AA244" s="88">
        <v>0</v>
      </c>
      <c r="AB244" s="88">
        <v>1</v>
      </c>
      <c r="AC244" s="88">
        <v>0</v>
      </c>
      <c r="AD244" s="88">
        <v>0</v>
      </c>
      <c r="AE244" s="88" t="s">
        <v>1133</v>
      </c>
      <c r="AF244" s="88">
        <v>0</v>
      </c>
      <c r="AG244" s="88">
        <v>0</v>
      </c>
      <c r="AH244" s="88" t="s">
        <v>1133</v>
      </c>
      <c r="AI244" s="88" t="s">
        <v>1133</v>
      </c>
      <c r="AJ244" s="88" t="s">
        <v>1133</v>
      </c>
      <c r="AK244" s="88">
        <v>2</v>
      </c>
      <c r="AL244" s="88">
        <v>20</v>
      </c>
      <c r="AM244" s="88">
        <v>9</v>
      </c>
      <c r="AN244" s="88">
        <v>0</v>
      </c>
      <c r="AO244" s="88">
        <v>1</v>
      </c>
      <c r="AP244" s="88" t="s">
        <v>1134</v>
      </c>
      <c r="AQ244" s="88" t="s">
        <v>1133</v>
      </c>
      <c r="AR244" s="88">
        <v>0</v>
      </c>
      <c r="AS244" s="88"/>
      <c r="AT244" s="88"/>
      <c r="AU244" s="88">
        <v>0</v>
      </c>
      <c r="AV244" s="88" t="s">
        <v>1133</v>
      </c>
      <c r="AW244" s="88" t="s">
        <v>1133</v>
      </c>
      <c r="AX244" s="88">
        <v>0</v>
      </c>
      <c r="AY244" s="88">
        <v>0</v>
      </c>
      <c r="AZ244" s="88">
        <v>0</v>
      </c>
      <c r="BA244" s="88">
        <v>0</v>
      </c>
      <c r="BB244" s="88" t="s">
        <v>0</v>
      </c>
    </row>
    <row r="245" spans="1:54">
      <c r="A245" s="88">
        <v>245</v>
      </c>
      <c r="B245" s="88">
        <v>245</v>
      </c>
      <c r="C245" s="88"/>
      <c r="D245" s="88" t="s">
        <v>1029</v>
      </c>
      <c r="E245" s="88">
        <v>0</v>
      </c>
      <c r="F245" s="88">
        <v>1145</v>
      </c>
      <c r="G245" s="88">
        <v>1</v>
      </c>
      <c r="H245" s="88">
        <v>2</v>
      </c>
      <c r="I245" s="88">
        <v>2</v>
      </c>
      <c r="J245" s="88">
        <v>0</v>
      </c>
      <c r="K245" s="88">
        <v>0</v>
      </c>
      <c r="L245" s="88">
        <v>1</v>
      </c>
      <c r="M245" s="88">
        <v>1280</v>
      </c>
      <c r="N245" s="88">
        <v>34</v>
      </c>
      <c r="O245" s="88">
        <v>1</v>
      </c>
      <c r="P245" s="88">
        <v>1</v>
      </c>
      <c r="Q245" s="88">
        <v>1</v>
      </c>
      <c r="R245" s="88">
        <v>20</v>
      </c>
      <c r="S245" s="88">
        <v>10</v>
      </c>
      <c r="T245" s="88">
        <v>0</v>
      </c>
      <c r="U245" s="88">
        <v>0</v>
      </c>
      <c r="V245" s="88">
        <v>0</v>
      </c>
      <c r="W245" s="88">
        <v>0</v>
      </c>
      <c r="X245" s="88">
        <v>20</v>
      </c>
      <c r="Y245" s="88">
        <v>0</v>
      </c>
      <c r="Z245" s="88">
        <v>10</v>
      </c>
      <c r="AA245" s="88">
        <v>0</v>
      </c>
      <c r="AB245" s="88">
        <v>1</v>
      </c>
      <c r="AC245" s="88">
        <v>0</v>
      </c>
      <c r="AD245" s="88">
        <v>0</v>
      </c>
      <c r="AE245" s="88" t="s">
        <v>1133</v>
      </c>
      <c r="AF245" s="88">
        <v>0</v>
      </c>
      <c r="AG245" s="88">
        <v>0</v>
      </c>
      <c r="AH245" s="88" t="s">
        <v>1133</v>
      </c>
      <c r="AI245" s="88" t="s">
        <v>1133</v>
      </c>
      <c r="AJ245" s="88" t="s">
        <v>1133</v>
      </c>
      <c r="AK245" s="88">
        <v>2</v>
      </c>
      <c r="AL245" s="88">
        <v>20</v>
      </c>
      <c r="AM245" s="88">
        <v>9</v>
      </c>
      <c r="AN245" s="88">
        <v>0</v>
      </c>
      <c r="AO245" s="88">
        <v>1</v>
      </c>
      <c r="AP245" s="88" t="s">
        <v>1134</v>
      </c>
      <c r="AQ245" s="88" t="s">
        <v>1133</v>
      </c>
      <c r="AR245" s="88">
        <v>0</v>
      </c>
      <c r="AS245" s="88"/>
      <c r="AT245" s="88"/>
      <c r="AU245" s="88">
        <v>0</v>
      </c>
      <c r="AV245" s="88" t="s">
        <v>1133</v>
      </c>
      <c r="AW245" s="88" t="s">
        <v>1133</v>
      </c>
      <c r="AX245" s="88">
        <v>0</v>
      </c>
      <c r="AY245" s="88">
        <v>0</v>
      </c>
      <c r="AZ245" s="88">
        <v>0</v>
      </c>
      <c r="BA245" s="88">
        <v>0</v>
      </c>
      <c r="BB245" s="88" t="s">
        <v>0</v>
      </c>
    </row>
    <row r="246" spans="1:54">
      <c r="A246" s="88">
        <v>246</v>
      </c>
      <c r="B246" s="88">
        <v>246</v>
      </c>
      <c r="C246" s="88"/>
      <c r="D246" s="88" t="s">
        <v>246</v>
      </c>
      <c r="E246" s="88">
        <v>0</v>
      </c>
      <c r="F246" s="88">
        <v>1151</v>
      </c>
      <c r="G246" s="88">
        <v>1</v>
      </c>
      <c r="H246" s="88">
        <v>2</v>
      </c>
      <c r="I246" s="88">
        <v>2</v>
      </c>
      <c r="J246" s="88">
        <v>0</v>
      </c>
      <c r="K246" s="88">
        <v>0</v>
      </c>
      <c r="L246" s="88">
        <v>1</v>
      </c>
      <c r="M246" s="88">
        <v>5</v>
      </c>
      <c r="N246" s="88">
        <v>34</v>
      </c>
      <c r="O246" s="88">
        <v>1</v>
      </c>
      <c r="P246" s="88">
        <v>1</v>
      </c>
      <c r="Q246" s="88">
        <v>1</v>
      </c>
      <c r="R246" s="88">
        <v>20</v>
      </c>
      <c r="S246" s="88">
        <v>10</v>
      </c>
      <c r="T246" s="88">
        <v>0</v>
      </c>
      <c r="U246" s="88">
        <v>0</v>
      </c>
      <c r="V246" s="88">
        <v>0</v>
      </c>
      <c r="W246" s="88">
        <v>0</v>
      </c>
      <c r="X246" s="88">
        <v>20</v>
      </c>
      <c r="Y246" s="88">
        <v>0</v>
      </c>
      <c r="Z246" s="88">
        <v>10</v>
      </c>
      <c r="AA246" s="88">
        <v>0</v>
      </c>
      <c r="AB246" s="88">
        <v>1</v>
      </c>
      <c r="AC246" s="88">
        <v>0</v>
      </c>
      <c r="AD246" s="88">
        <v>0</v>
      </c>
      <c r="AE246" s="88" t="s">
        <v>1133</v>
      </c>
      <c r="AF246" s="88">
        <v>0</v>
      </c>
      <c r="AG246" s="88">
        <v>0</v>
      </c>
      <c r="AH246" s="88" t="s">
        <v>1133</v>
      </c>
      <c r="AI246" s="88" t="s">
        <v>1133</v>
      </c>
      <c r="AJ246" s="88" t="s">
        <v>1133</v>
      </c>
      <c r="AK246" s="88">
        <v>2</v>
      </c>
      <c r="AL246" s="88">
        <v>20</v>
      </c>
      <c r="AM246" s="88">
        <v>9</v>
      </c>
      <c r="AN246" s="88">
        <v>0</v>
      </c>
      <c r="AO246" s="88">
        <v>1</v>
      </c>
      <c r="AP246" s="88" t="s">
        <v>1134</v>
      </c>
      <c r="AQ246" s="88" t="s">
        <v>1133</v>
      </c>
      <c r="AR246" s="88">
        <v>0</v>
      </c>
      <c r="AS246" s="88"/>
      <c r="AT246" s="88"/>
      <c r="AU246" s="88">
        <v>0</v>
      </c>
      <c r="AV246" s="88" t="s">
        <v>1133</v>
      </c>
      <c r="AW246" s="88" t="s">
        <v>1133</v>
      </c>
      <c r="AX246" s="88">
        <v>0</v>
      </c>
      <c r="AY246" s="88">
        <v>0</v>
      </c>
      <c r="AZ246" s="88">
        <v>0</v>
      </c>
      <c r="BA246" s="88">
        <v>0</v>
      </c>
      <c r="BB246" s="88" t="s">
        <v>0</v>
      </c>
    </row>
    <row r="247" spans="1:54">
      <c r="A247" s="88">
        <v>247</v>
      </c>
      <c r="B247" s="88">
        <v>247</v>
      </c>
      <c r="C247" s="88"/>
      <c r="D247" s="88" t="s">
        <v>247</v>
      </c>
      <c r="E247" s="88">
        <v>0</v>
      </c>
      <c r="F247" s="88">
        <v>1151</v>
      </c>
      <c r="G247" s="88">
        <v>1</v>
      </c>
      <c r="H247" s="88">
        <v>2</v>
      </c>
      <c r="I247" s="88">
        <v>2</v>
      </c>
      <c r="J247" s="88">
        <v>0</v>
      </c>
      <c r="K247" s="88">
        <v>0</v>
      </c>
      <c r="L247" s="88">
        <v>1</v>
      </c>
      <c r="M247" s="88">
        <v>7</v>
      </c>
      <c r="N247" s="88">
        <v>34</v>
      </c>
      <c r="O247" s="88">
        <v>1</v>
      </c>
      <c r="P247" s="88">
        <v>1</v>
      </c>
      <c r="Q247" s="88">
        <v>1</v>
      </c>
      <c r="R247" s="88">
        <v>20</v>
      </c>
      <c r="S247" s="88">
        <v>10</v>
      </c>
      <c r="T247" s="88">
        <v>0</v>
      </c>
      <c r="U247" s="88">
        <v>0</v>
      </c>
      <c r="V247" s="88">
        <v>0</v>
      </c>
      <c r="W247" s="88">
        <v>0</v>
      </c>
      <c r="X247" s="88">
        <v>20</v>
      </c>
      <c r="Y247" s="88">
        <v>0</v>
      </c>
      <c r="Z247" s="88">
        <v>10</v>
      </c>
      <c r="AA247" s="88">
        <v>0</v>
      </c>
      <c r="AB247" s="88">
        <v>1</v>
      </c>
      <c r="AC247" s="88">
        <v>0</v>
      </c>
      <c r="AD247" s="88">
        <v>0</v>
      </c>
      <c r="AE247" s="88" t="s">
        <v>1133</v>
      </c>
      <c r="AF247" s="88">
        <v>0</v>
      </c>
      <c r="AG247" s="88">
        <v>0</v>
      </c>
      <c r="AH247" s="88" t="s">
        <v>1133</v>
      </c>
      <c r="AI247" s="88" t="s">
        <v>1133</v>
      </c>
      <c r="AJ247" s="88" t="s">
        <v>1133</v>
      </c>
      <c r="AK247" s="88">
        <v>2</v>
      </c>
      <c r="AL247" s="88">
        <v>20</v>
      </c>
      <c r="AM247" s="88">
        <v>9</v>
      </c>
      <c r="AN247" s="88">
        <v>0</v>
      </c>
      <c r="AO247" s="88">
        <v>1</v>
      </c>
      <c r="AP247" s="88" t="s">
        <v>1134</v>
      </c>
      <c r="AQ247" s="88" t="s">
        <v>1133</v>
      </c>
      <c r="AR247" s="88">
        <v>0</v>
      </c>
      <c r="AS247" s="88"/>
      <c r="AT247" s="88"/>
      <c r="AU247" s="88">
        <v>0</v>
      </c>
      <c r="AV247" s="88" t="s">
        <v>1133</v>
      </c>
      <c r="AW247" s="88" t="s">
        <v>1133</v>
      </c>
      <c r="AX247" s="88">
        <v>0</v>
      </c>
      <c r="AY247" s="88">
        <v>0</v>
      </c>
      <c r="AZ247" s="88">
        <v>0</v>
      </c>
      <c r="BA247" s="88">
        <v>0</v>
      </c>
      <c r="BB247" s="88" t="s">
        <v>0</v>
      </c>
    </row>
    <row r="248" spans="1:54">
      <c r="A248" s="88">
        <v>248</v>
      </c>
      <c r="B248" s="88">
        <v>248</v>
      </c>
      <c r="C248" s="88"/>
      <c r="D248" s="88" t="s">
        <v>248</v>
      </c>
      <c r="E248" s="88">
        <v>0</v>
      </c>
      <c r="F248" s="88">
        <v>1151</v>
      </c>
      <c r="G248" s="88">
        <v>1</v>
      </c>
      <c r="H248" s="88">
        <v>2</v>
      </c>
      <c r="I248" s="88">
        <v>2</v>
      </c>
      <c r="J248" s="88">
        <v>0</v>
      </c>
      <c r="K248" s="88">
        <v>0</v>
      </c>
      <c r="L248" s="88">
        <v>1</v>
      </c>
      <c r="M248" s="88">
        <v>10</v>
      </c>
      <c r="N248" s="88">
        <v>34</v>
      </c>
      <c r="O248" s="88">
        <v>1</v>
      </c>
      <c r="P248" s="88">
        <v>1</v>
      </c>
      <c r="Q248" s="88">
        <v>1</v>
      </c>
      <c r="R248" s="88">
        <v>20</v>
      </c>
      <c r="S248" s="88">
        <v>10</v>
      </c>
      <c r="T248" s="88">
        <v>0</v>
      </c>
      <c r="U248" s="88">
        <v>0</v>
      </c>
      <c r="V248" s="88">
        <v>0</v>
      </c>
      <c r="W248" s="88">
        <v>0</v>
      </c>
      <c r="X248" s="88">
        <v>20</v>
      </c>
      <c r="Y248" s="88">
        <v>0</v>
      </c>
      <c r="Z248" s="88">
        <v>10</v>
      </c>
      <c r="AA248" s="88">
        <v>0</v>
      </c>
      <c r="AB248" s="88">
        <v>1</v>
      </c>
      <c r="AC248" s="88">
        <v>0</v>
      </c>
      <c r="AD248" s="88">
        <v>0</v>
      </c>
      <c r="AE248" s="88" t="s">
        <v>1133</v>
      </c>
      <c r="AF248" s="88">
        <v>0</v>
      </c>
      <c r="AG248" s="88">
        <v>0</v>
      </c>
      <c r="AH248" s="88" t="s">
        <v>1133</v>
      </c>
      <c r="AI248" s="88" t="s">
        <v>1133</v>
      </c>
      <c r="AJ248" s="88" t="s">
        <v>1133</v>
      </c>
      <c r="AK248" s="88">
        <v>2</v>
      </c>
      <c r="AL248" s="88">
        <v>20</v>
      </c>
      <c r="AM248" s="88">
        <v>9</v>
      </c>
      <c r="AN248" s="88">
        <v>0</v>
      </c>
      <c r="AO248" s="88">
        <v>1</v>
      </c>
      <c r="AP248" s="88" t="s">
        <v>1134</v>
      </c>
      <c r="AQ248" s="88" t="s">
        <v>1133</v>
      </c>
      <c r="AR248" s="88">
        <v>0</v>
      </c>
      <c r="AS248" s="88"/>
      <c r="AT248" s="88"/>
      <c r="AU248" s="88">
        <v>0</v>
      </c>
      <c r="AV248" s="88" t="s">
        <v>1133</v>
      </c>
      <c r="AW248" s="88" t="s">
        <v>1133</v>
      </c>
      <c r="AX248" s="88">
        <v>0</v>
      </c>
      <c r="AY248" s="88">
        <v>0</v>
      </c>
      <c r="AZ248" s="88">
        <v>0</v>
      </c>
      <c r="BA248" s="88">
        <v>0</v>
      </c>
      <c r="BB248" s="88" t="s">
        <v>0</v>
      </c>
    </row>
    <row r="249" spans="1:54">
      <c r="A249" s="88">
        <v>249</v>
      </c>
      <c r="B249" s="88">
        <v>249</v>
      </c>
      <c r="C249" s="88"/>
      <c r="D249" s="88" t="s">
        <v>249</v>
      </c>
      <c r="E249" s="88">
        <v>0</v>
      </c>
      <c r="F249" s="88">
        <v>1151</v>
      </c>
      <c r="G249" s="88">
        <v>1</v>
      </c>
      <c r="H249" s="88">
        <v>2</v>
      </c>
      <c r="I249" s="88">
        <v>2</v>
      </c>
      <c r="J249" s="88">
        <v>0</v>
      </c>
      <c r="K249" s="88">
        <v>0</v>
      </c>
      <c r="L249" s="88">
        <v>1</v>
      </c>
      <c r="M249" s="88">
        <v>14</v>
      </c>
      <c r="N249" s="88">
        <v>34</v>
      </c>
      <c r="O249" s="88">
        <v>1</v>
      </c>
      <c r="P249" s="88">
        <v>1</v>
      </c>
      <c r="Q249" s="88">
        <v>1</v>
      </c>
      <c r="R249" s="88">
        <v>20</v>
      </c>
      <c r="S249" s="88">
        <v>10</v>
      </c>
      <c r="T249" s="88">
        <v>0</v>
      </c>
      <c r="U249" s="88">
        <v>0</v>
      </c>
      <c r="V249" s="88">
        <v>0</v>
      </c>
      <c r="W249" s="88">
        <v>0</v>
      </c>
      <c r="X249" s="88">
        <v>20</v>
      </c>
      <c r="Y249" s="88">
        <v>0</v>
      </c>
      <c r="Z249" s="88">
        <v>10</v>
      </c>
      <c r="AA249" s="88">
        <v>0</v>
      </c>
      <c r="AB249" s="88">
        <v>1</v>
      </c>
      <c r="AC249" s="88">
        <v>0</v>
      </c>
      <c r="AD249" s="88">
        <v>0</v>
      </c>
      <c r="AE249" s="88" t="s">
        <v>1133</v>
      </c>
      <c r="AF249" s="88">
        <v>0</v>
      </c>
      <c r="AG249" s="88">
        <v>0</v>
      </c>
      <c r="AH249" s="88" t="s">
        <v>1133</v>
      </c>
      <c r="AI249" s="88" t="s">
        <v>1133</v>
      </c>
      <c r="AJ249" s="88" t="s">
        <v>1133</v>
      </c>
      <c r="AK249" s="88">
        <v>2</v>
      </c>
      <c r="AL249" s="88">
        <v>20</v>
      </c>
      <c r="AM249" s="88">
        <v>9</v>
      </c>
      <c r="AN249" s="88">
        <v>0</v>
      </c>
      <c r="AO249" s="88">
        <v>1</v>
      </c>
      <c r="AP249" s="88" t="s">
        <v>1134</v>
      </c>
      <c r="AQ249" s="88" t="s">
        <v>1133</v>
      </c>
      <c r="AR249" s="88">
        <v>0</v>
      </c>
      <c r="AS249" s="88"/>
      <c r="AT249" s="88"/>
      <c r="AU249" s="88">
        <v>0</v>
      </c>
      <c r="AV249" s="88" t="s">
        <v>1133</v>
      </c>
      <c r="AW249" s="88" t="s">
        <v>1133</v>
      </c>
      <c r="AX249" s="88">
        <v>0</v>
      </c>
      <c r="AY249" s="88">
        <v>0</v>
      </c>
      <c r="AZ249" s="88">
        <v>0</v>
      </c>
      <c r="BA249" s="88">
        <v>0</v>
      </c>
      <c r="BB249" s="88" t="s">
        <v>0</v>
      </c>
    </row>
    <row r="250" spans="1:54">
      <c r="A250" s="88">
        <v>250</v>
      </c>
      <c r="B250" s="88">
        <v>250</v>
      </c>
      <c r="C250" s="88"/>
      <c r="D250" s="88" t="s">
        <v>250</v>
      </c>
      <c r="E250" s="88">
        <v>0</v>
      </c>
      <c r="F250" s="88">
        <v>1151</v>
      </c>
      <c r="G250" s="88">
        <v>1</v>
      </c>
      <c r="H250" s="88">
        <v>2</v>
      </c>
      <c r="I250" s="88">
        <v>2</v>
      </c>
      <c r="J250" s="88">
        <v>0</v>
      </c>
      <c r="K250" s="88">
        <v>0</v>
      </c>
      <c r="L250" s="88">
        <v>1</v>
      </c>
      <c r="M250" s="88">
        <v>20</v>
      </c>
      <c r="N250" s="88">
        <v>34</v>
      </c>
      <c r="O250" s="88">
        <v>1</v>
      </c>
      <c r="P250" s="88">
        <v>1</v>
      </c>
      <c r="Q250" s="88">
        <v>1</v>
      </c>
      <c r="R250" s="88">
        <v>20</v>
      </c>
      <c r="S250" s="88">
        <v>10</v>
      </c>
      <c r="T250" s="88">
        <v>0</v>
      </c>
      <c r="U250" s="88">
        <v>0</v>
      </c>
      <c r="V250" s="88">
        <v>0</v>
      </c>
      <c r="W250" s="88">
        <v>0</v>
      </c>
      <c r="X250" s="88">
        <v>20</v>
      </c>
      <c r="Y250" s="88">
        <v>0</v>
      </c>
      <c r="Z250" s="88">
        <v>10</v>
      </c>
      <c r="AA250" s="88">
        <v>0</v>
      </c>
      <c r="AB250" s="88">
        <v>1</v>
      </c>
      <c r="AC250" s="88">
        <v>0</v>
      </c>
      <c r="AD250" s="88">
        <v>0</v>
      </c>
      <c r="AE250" s="88" t="s">
        <v>1133</v>
      </c>
      <c r="AF250" s="88">
        <v>0</v>
      </c>
      <c r="AG250" s="88">
        <v>0</v>
      </c>
      <c r="AH250" s="88" t="s">
        <v>1133</v>
      </c>
      <c r="AI250" s="88" t="s">
        <v>1133</v>
      </c>
      <c r="AJ250" s="88" t="s">
        <v>1133</v>
      </c>
      <c r="AK250" s="88">
        <v>2</v>
      </c>
      <c r="AL250" s="88">
        <v>20</v>
      </c>
      <c r="AM250" s="88">
        <v>9</v>
      </c>
      <c r="AN250" s="88">
        <v>0</v>
      </c>
      <c r="AO250" s="88">
        <v>1</v>
      </c>
      <c r="AP250" s="88" t="s">
        <v>1134</v>
      </c>
      <c r="AQ250" s="88" t="s">
        <v>1133</v>
      </c>
      <c r="AR250" s="88">
        <v>0</v>
      </c>
      <c r="AS250" s="88"/>
      <c r="AT250" s="88"/>
      <c r="AU250" s="88">
        <v>0</v>
      </c>
      <c r="AV250" s="88" t="s">
        <v>1133</v>
      </c>
      <c r="AW250" s="88" t="s">
        <v>1133</v>
      </c>
      <c r="AX250" s="88">
        <v>0</v>
      </c>
      <c r="AY250" s="88">
        <v>0</v>
      </c>
      <c r="AZ250" s="88">
        <v>0</v>
      </c>
      <c r="BA250" s="88">
        <v>0</v>
      </c>
      <c r="BB250" s="88" t="s">
        <v>0</v>
      </c>
    </row>
    <row r="251" spans="1:54">
      <c r="A251" s="88">
        <v>251</v>
      </c>
      <c r="B251" s="88">
        <v>251</v>
      </c>
      <c r="C251" s="88"/>
      <c r="D251" s="88" t="s">
        <v>251</v>
      </c>
      <c r="E251" s="88">
        <v>0</v>
      </c>
      <c r="F251" s="88">
        <v>1151</v>
      </c>
      <c r="G251" s="88">
        <v>1</v>
      </c>
      <c r="H251" s="88">
        <v>2</v>
      </c>
      <c r="I251" s="88">
        <v>2</v>
      </c>
      <c r="J251" s="88">
        <v>0</v>
      </c>
      <c r="K251" s="88">
        <v>0</v>
      </c>
      <c r="L251" s="88">
        <v>1</v>
      </c>
      <c r="M251" s="88">
        <v>30</v>
      </c>
      <c r="N251" s="88">
        <v>34</v>
      </c>
      <c r="O251" s="88">
        <v>1</v>
      </c>
      <c r="P251" s="88">
        <v>1</v>
      </c>
      <c r="Q251" s="88">
        <v>1</v>
      </c>
      <c r="R251" s="88">
        <v>20</v>
      </c>
      <c r="S251" s="88">
        <v>10</v>
      </c>
      <c r="T251" s="88">
        <v>0</v>
      </c>
      <c r="U251" s="88">
        <v>0</v>
      </c>
      <c r="V251" s="88">
        <v>0</v>
      </c>
      <c r="W251" s="88">
        <v>0</v>
      </c>
      <c r="X251" s="88">
        <v>20</v>
      </c>
      <c r="Y251" s="88">
        <v>0</v>
      </c>
      <c r="Z251" s="88">
        <v>10</v>
      </c>
      <c r="AA251" s="88">
        <v>0</v>
      </c>
      <c r="AB251" s="88">
        <v>1</v>
      </c>
      <c r="AC251" s="88">
        <v>0</v>
      </c>
      <c r="AD251" s="88">
        <v>0</v>
      </c>
      <c r="AE251" s="88" t="s">
        <v>1133</v>
      </c>
      <c r="AF251" s="88">
        <v>0</v>
      </c>
      <c r="AG251" s="88">
        <v>0</v>
      </c>
      <c r="AH251" s="88" t="s">
        <v>1133</v>
      </c>
      <c r="AI251" s="88" t="s">
        <v>1133</v>
      </c>
      <c r="AJ251" s="88" t="s">
        <v>1133</v>
      </c>
      <c r="AK251" s="88">
        <v>2</v>
      </c>
      <c r="AL251" s="88">
        <v>20</v>
      </c>
      <c r="AM251" s="88">
        <v>9</v>
      </c>
      <c r="AN251" s="88">
        <v>0</v>
      </c>
      <c r="AO251" s="88">
        <v>1</v>
      </c>
      <c r="AP251" s="88" t="s">
        <v>1134</v>
      </c>
      <c r="AQ251" s="88" t="s">
        <v>1133</v>
      </c>
      <c r="AR251" s="88">
        <v>0</v>
      </c>
      <c r="AS251" s="88"/>
      <c r="AT251" s="88"/>
      <c r="AU251" s="88">
        <v>0</v>
      </c>
      <c r="AV251" s="88" t="s">
        <v>1133</v>
      </c>
      <c r="AW251" s="88" t="s">
        <v>1133</v>
      </c>
      <c r="AX251" s="88">
        <v>0</v>
      </c>
      <c r="AY251" s="88">
        <v>0</v>
      </c>
      <c r="AZ251" s="88">
        <v>0</v>
      </c>
      <c r="BA251" s="88">
        <v>0</v>
      </c>
      <c r="BB251" s="88" t="s">
        <v>0</v>
      </c>
    </row>
    <row r="252" spans="1:54">
      <c r="A252" s="88">
        <v>252</v>
      </c>
      <c r="B252" s="88">
        <v>252</v>
      </c>
      <c r="C252" s="88"/>
      <c r="D252" s="88" t="s">
        <v>252</v>
      </c>
      <c r="E252" s="88">
        <v>0</v>
      </c>
      <c r="F252" s="88">
        <v>1151</v>
      </c>
      <c r="G252" s="88">
        <v>1</v>
      </c>
      <c r="H252" s="88">
        <v>2</v>
      </c>
      <c r="I252" s="88">
        <v>2</v>
      </c>
      <c r="J252" s="88">
        <v>0</v>
      </c>
      <c r="K252" s="88">
        <v>0</v>
      </c>
      <c r="L252" s="88">
        <v>1</v>
      </c>
      <c r="M252" s="88">
        <v>40</v>
      </c>
      <c r="N252" s="88">
        <v>34</v>
      </c>
      <c r="O252" s="88">
        <v>1</v>
      </c>
      <c r="P252" s="88">
        <v>1</v>
      </c>
      <c r="Q252" s="88">
        <v>1</v>
      </c>
      <c r="R252" s="88">
        <v>20</v>
      </c>
      <c r="S252" s="88">
        <v>10</v>
      </c>
      <c r="T252" s="88">
        <v>0</v>
      </c>
      <c r="U252" s="88">
        <v>0</v>
      </c>
      <c r="V252" s="88">
        <v>0</v>
      </c>
      <c r="W252" s="88">
        <v>0</v>
      </c>
      <c r="X252" s="88">
        <v>20</v>
      </c>
      <c r="Y252" s="88">
        <v>0</v>
      </c>
      <c r="Z252" s="88">
        <v>10</v>
      </c>
      <c r="AA252" s="88">
        <v>0</v>
      </c>
      <c r="AB252" s="88">
        <v>1</v>
      </c>
      <c r="AC252" s="88">
        <v>0</v>
      </c>
      <c r="AD252" s="88">
        <v>0</v>
      </c>
      <c r="AE252" s="88" t="s">
        <v>1133</v>
      </c>
      <c r="AF252" s="88">
        <v>0</v>
      </c>
      <c r="AG252" s="88">
        <v>0</v>
      </c>
      <c r="AH252" s="88" t="s">
        <v>1133</v>
      </c>
      <c r="AI252" s="88" t="s">
        <v>1133</v>
      </c>
      <c r="AJ252" s="88" t="s">
        <v>1133</v>
      </c>
      <c r="AK252" s="88">
        <v>2</v>
      </c>
      <c r="AL252" s="88">
        <v>20</v>
      </c>
      <c r="AM252" s="88">
        <v>9</v>
      </c>
      <c r="AN252" s="88">
        <v>0</v>
      </c>
      <c r="AO252" s="88">
        <v>1</v>
      </c>
      <c r="AP252" s="88" t="s">
        <v>1134</v>
      </c>
      <c r="AQ252" s="88" t="s">
        <v>1133</v>
      </c>
      <c r="AR252" s="88">
        <v>0</v>
      </c>
      <c r="AS252" s="88"/>
      <c r="AT252" s="88"/>
      <c r="AU252" s="88">
        <v>0</v>
      </c>
      <c r="AV252" s="88" t="s">
        <v>1133</v>
      </c>
      <c r="AW252" s="88" t="s">
        <v>1133</v>
      </c>
      <c r="AX252" s="88">
        <v>0</v>
      </c>
      <c r="AY252" s="88">
        <v>0</v>
      </c>
      <c r="AZ252" s="88">
        <v>0</v>
      </c>
      <c r="BA252" s="88">
        <v>0</v>
      </c>
      <c r="BB252" s="88" t="s">
        <v>0</v>
      </c>
    </row>
    <row r="253" spans="1:54">
      <c r="A253" s="88">
        <v>253</v>
      </c>
      <c r="B253" s="88">
        <v>253</v>
      </c>
      <c r="C253" s="88"/>
      <c r="D253" s="88" t="s">
        <v>253</v>
      </c>
      <c r="E253" s="88">
        <v>0</v>
      </c>
      <c r="F253" s="88">
        <v>1151</v>
      </c>
      <c r="G253" s="88">
        <v>1</v>
      </c>
      <c r="H253" s="88">
        <v>2</v>
      </c>
      <c r="I253" s="88">
        <v>2</v>
      </c>
      <c r="J253" s="88">
        <v>0</v>
      </c>
      <c r="K253" s="88">
        <v>0</v>
      </c>
      <c r="L253" s="88">
        <v>1</v>
      </c>
      <c r="M253" s="88">
        <v>50</v>
      </c>
      <c r="N253" s="88">
        <v>34</v>
      </c>
      <c r="O253" s="88">
        <v>1</v>
      </c>
      <c r="P253" s="88">
        <v>1</v>
      </c>
      <c r="Q253" s="88">
        <v>1</v>
      </c>
      <c r="R253" s="88">
        <v>20</v>
      </c>
      <c r="S253" s="88">
        <v>10</v>
      </c>
      <c r="T253" s="88">
        <v>0</v>
      </c>
      <c r="U253" s="88">
        <v>0</v>
      </c>
      <c r="V253" s="88">
        <v>0</v>
      </c>
      <c r="W253" s="88">
        <v>0</v>
      </c>
      <c r="X253" s="88">
        <v>20</v>
      </c>
      <c r="Y253" s="88">
        <v>0</v>
      </c>
      <c r="Z253" s="88">
        <v>10</v>
      </c>
      <c r="AA253" s="88">
        <v>0</v>
      </c>
      <c r="AB253" s="88">
        <v>1</v>
      </c>
      <c r="AC253" s="88">
        <v>0</v>
      </c>
      <c r="AD253" s="88">
        <v>0</v>
      </c>
      <c r="AE253" s="88" t="s">
        <v>1133</v>
      </c>
      <c r="AF253" s="88">
        <v>0</v>
      </c>
      <c r="AG253" s="88">
        <v>0</v>
      </c>
      <c r="AH253" s="88" t="s">
        <v>1133</v>
      </c>
      <c r="AI253" s="88" t="s">
        <v>1133</v>
      </c>
      <c r="AJ253" s="88" t="s">
        <v>1133</v>
      </c>
      <c r="AK253" s="88">
        <v>2</v>
      </c>
      <c r="AL253" s="88">
        <v>20</v>
      </c>
      <c r="AM253" s="88">
        <v>9</v>
      </c>
      <c r="AN253" s="88">
        <v>0</v>
      </c>
      <c r="AO253" s="88">
        <v>1</v>
      </c>
      <c r="AP253" s="88" t="s">
        <v>1134</v>
      </c>
      <c r="AQ253" s="88" t="s">
        <v>1133</v>
      </c>
      <c r="AR253" s="88">
        <v>0</v>
      </c>
      <c r="AS253" s="88"/>
      <c r="AT253" s="88"/>
      <c r="AU253" s="88">
        <v>0</v>
      </c>
      <c r="AV253" s="88" t="s">
        <v>1133</v>
      </c>
      <c r="AW253" s="88" t="s">
        <v>1133</v>
      </c>
      <c r="AX253" s="88">
        <v>0</v>
      </c>
      <c r="AY253" s="88">
        <v>0</v>
      </c>
      <c r="AZ253" s="88">
        <v>0</v>
      </c>
      <c r="BA253" s="88">
        <v>0</v>
      </c>
      <c r="BB253" s="88" t="s">
        <v>0</v>
      </c>
    </row>
    <row r="254" spans="1:54">
      <c r="A254" s="88">
        <v>254</v>
      </c>
      <c r="B254" s="88">
        <v>254</v>
      </c>
      <c r="C254" s="88"/>
      <c r="D254" s="88" t="s">
        <v>254</v>
      </c>
      <c r="E254" s="88">
        <v>0</v>
      </c>
      <c r="F254" s="88">
        <v>1151</v>
      </c>
      <c r="G254" s="88">
        <v>1</v>
      </c>
      <c r="H254" s="88">
        <v>2</v>
      </c>
      <c r="I254" s="88">
        <v>2</v>
      </c>
      <c r="J254" s="88">
        <v>0</v>
      </c>
      <c r="K254" s="88">
        <v>0</v>
      </c>
      <c r="L254" s="88">
        <v>1</v>
      </c>
      <c r="M254" s="88">
        <v>5</v>
      </c>
      <c r="N254" s="88">
        <v>34</v>
      </c>
      <c r="O254" s="88">
        <v>1</v>
      </c>
      <c r="P254" s="88">
        <v>1</v>
      </c>
      <c r="Q254" s="88">
        <v>1</v>
      </c>
      <c r="R254" s="88">
        <v>20</v>
      </c>
      <c r="S254" s="88">
        <v>10</v>
      </c>
      <c r="T254" s="88">
        <v>0</v>
      </c>
      <c r="U254" s="88">
        <v>0</v>
      </c>
      <c r="V254" s="88">
        <v>0</v>
      </c>
      <c r="W254" s="88">
        <v>0</v>
      </c>
      <c r="X254" s="88">
        <v>20</v>
      </c>
      <c r="Y254" s="88">
        <v>0</v>
      </c>
      <c r="Z254" s="88">
        <v>10</v>
      </c>
      <c r="AA254" s="88">
        <v>0</v>
      </c>
      <c r="AB254" s="88">
        <v>1</v>
      </c>
      <c r="AC254" s="88">
        <v>0</v>
      </c>
      <c r="AD254" s="88">
        <v>0</v>
      </c>
      <c r="AE254" s="88" t="s">
        <v>1133</v>
      </c>
      <c r="AF254" s="88">
        <v>0</v>
      </c>
      <c r="AG254" s="88">
        <v>0</v>
      </c>
      <c r="AH254" s="88" t="s">
        <v>1133</v>
      </c>
      <c r="AI254" s="88" t="s">
        <v>1133</v>
      </c>
      <c r="AJ254" s="88" t="s">
        <v>1133</v>
      </c>
      <c r="AK254" s="88">
        <v>2</v>
      </c>
      <c r="AL254" s="88">
        <v>20</v>
      </c>
      <c r="AM254" s="88">
        <v>9</v>
      </c>
      <c r="AN254" s="88">
        <v>0</v>
      </c>
      <c r="AO254" s="88">
        <v>1</v>
      </c>
      <c r="AP254" s="88" t="s">
        <v>1134</v>
      </c>
      <c r="AQ254" s="88" t="s">
        <v>1133</v>
      </c>
      <c r="AR254" s="88">
        <v>0</v>
      </c>
      <c r="AS254" s="88"/>
      <c r="AT254" s="88"/>
      <c r="AU254" s="88">
        <v>0</v>
      </c>
      <c r="AV254" s="88" t="s">
        <v>1133</v>
      </c>
      <c r="AW254" s="88" t="s">
        <v>1133</v>
      </c>
      <c r="AX254" s="88">
        <v>0</v>
      </c>
      <c r="AY254" s="88">
        <v>0</v>
      </c>
      <c r="AZ254" s="88">
        <v>0</v>
      </c>
      <c r="BA254" s="88">
        <v>0</v>
      </c>
      <c r="BB254" s="88" t="s">
        <v>0</v>
      </c>
    </row>
    <row r="255" spans="1:54">
      <c r="A255" s="88">
        <v>255</v>
      </c>
      <c r="B255" s="88">
        <v>255</v>
      </c>
      <c r="C255" s="88"/>
      <c r="D255" s="88" t="s">
        <v>255</v>
      </c>
      <c r="E255" s="88">
        <v>0</v>
      </c>
      <c r="F255" s="88">
        <v>1151</v>
      </c>
      <c r="G255" s="88">
        <v>1</v>
      </c>
      <c r="H255" s="88">
        <v>2</v>
      </c>
      <c r="I255" s="88">
        <v>2</v>
      </c>
      <c r="J255" s="88">
        <v>0</v>
      </c>
      <c r="K255" s="88">
        <v>0</v>
      </c>
      <c r="L255" s="88">
        <v>1</v>
      </c>
      <c r="M255" s="88">
        <v>7</v>
      </c>
      <c r="N255" s="88">
        <v>34</v>
      </c>
      <c r="O255" s="88">
        <v>1</v>
      </c>
      <c r="P255" s="88">
        <v>1</v>
      </c>
      <c r="Q255" s="88">
        <v>1</v>
      </c>
      <c r="R255" s="88">
        <v>20</v>
      </c>
      <c r="S255" s="88">
        <v>10</v>
      </c>
      <c r="T255" s="88">
        <v>0</v>
      </c>
      <c r="U255" s="88">
        <v>0</v>
      </c>
      <c r="V255" s="88">
        <v>0</v>
      </c>
      <c r="W255" s="88">
        <v>0</v>
      </c>
      <c r="X255" s="88">
        <v>20</v>
      </c>
      <c r="Y255" s="88">
        <v>0</v>
      </c>
      <c r="Z255" s="88">
        <v>10</v>
      </c>
      <c r="AA255" s="88">
        <v>0</v>
      </c>
      <c r="AB255" s="88">
        <v>1</v>
      </c>
      <c r="AC255" s="88">
        <v>0</v>
      </c>
      <c r="AD255" s="88">
        <v>0</v>
      </c>
      <c r="AE255" s="88" t="s">
        <v>1133</v>
      </c>
      <c r="AF255" s="88">
        <v>0</v>
      </c>
      <c r="AG255" s="88">
        <v>0</v>
      </c>
      <c r="AH255" s="88" t="s">
        <v>1133</v>
      </c>
      <c r="AI255" s="88" t="s">
        <v>1133</v>
      </c>
      <c r="AJ255" s="88" t="s">
        <v>1133</v>
      </c>
      <c r="AK255" s="88">
        <v>2</v>
      </c>
      <c r="AL255" s="88">
        <v>20</v>
      </c>
      <c r="AM255" s="88">
        <v>9</v>
      </c>
      <c r="AN255" s="88">
        <v>0</v>
      </c>
      <c r="AO255" s="88">
        <v>1</v>
      </c>
      <c r="AP255" s="88" t="s">
        <v>1134</v>
      </c>
      <c r="AQ255" s="88" t="s">
        <v>1133</v>
      </c>
      <c r="AR255" s="88">
        <v>0</v>
      </c>
      <c r="AS255" s="88"/>
      <c r="AT255" s="88"/>
      <c r="AU255" s="88">
        <v>0</v>
      </c>
      <c r="AV255" s="88" t="s">
        <v>1133</v>
      </c>
      <c r="AW255" s="88" t="s">
        <v>1133</v>
      </c>
      <c r="AX255" s="88">
        <v>0</v>
      </c>
      <c r="AY255" s="88">
        <v>0</v>
      </c>
      <c r="AZ255" s="88">
        <v>0</v>
      </c>
      <c r="BA255" s="88">
        <v>0</v>
      </c>
      <c r="BB255" s="88" t="s">
        <v>0</v>
      </c>
    </row>
    <row r="256" spans="1:54">
      <c r="A256" s="88">
        <v>256</v>
      </c>
      <c r="B256" s="88">
        <v>256</v>
      </c>
      <c r="C256" s="88"/>
      <c r="D256" s="88" t="s">
        <v>256</v>
      </c>
      <c r="E256" s="88">
        <v>0</v>
      </c>
      <c r="F256" s="88">
        <v>1151</v>
      </c>
      <c r="G256" s="88">
        <v>1</v>
      </c>
      <c r="H256" s="88">
        <v>2</v>
      </c>
      <c r="I256" s="88">
        <v>2</v>
      </c>
      <c r="J256" s="88">
        <v>0</v>
      </c>
      <c r="K256" s="88">
        <v>0</v>
      </c>
      <c r="L256" s="88">
        <v>1</v>
      </c>
      <c r="M256" s="88">
        <v>10</v>
      </c>
      <c r="N256" s="88">
        <v>34</v>
      </c>
      <c r="O256" s="88">
        <v>1</v>
      </c>
      <c r="P256" s="88">
        <v>1</v>
      </c>
      <c r="Q256" s="88">
        <v>1</v>
      </c>
      <c r="R256" s="88">
        <v>20</v>
      </c>
      <c r="S256" s="88">
        <v>10</v>
      </c>
      <c r="T256" s="88">
        <v>0</v>
      </c>
      <c r="U256" s="88">
        <v>0</v>
      </c>
      <c r="V256" s="88">
        <v>0</v>
      </c>
      <c r="W256" s="88">
        <v>0</v>
      </c>
      <c r="X256" s="88">
        <v>20</v>
      </c>
      <c r="Y256" s="88">
        <v>0</v>
      </c>
      <c r="Z256" s="88">
        <v>10</v>
      </c>
      <c r="AA256" s="88">
        <v>0</v>
      </c>
      <c r="AB256" s="88">
        <v>1</v>
      </c>
      <c r="AC256" s="88">
        <v>0</v>
      </c>
      <c r="AD256" s="88">
        <v>0</v>
      </c>
      <c r="AE256" s="88" t="s">
        <v>1133</v>
      </c>
      <c r="AF256" s="88">
        <v>0</v>
      </c>
      <c r="AG256" s="88">
        <v>0</v>
      </c>
      <c r="AH256" s="88" t="s">
        <v>1133</v>
      </c>
      <c r="AI256" s="88" t="s">
        <v>1133</v>
      </c>
      <c r="AJ256" s="88" t="s">
        <v>1133</v>
      </c>
      <c r="AK256" s="88">
        <v>2</v>
      </c>
      <c r="AL256" s="88">
        <v>20</v>
      </c>
      <c r="AM256" s="88">
        <v>9</v>
      </c>
      <c r="AN256" s="88">
        <v>0</v>
      </c>
      <c r="AO256" s="88">
        <v>1</v>
      </c>
      <c r="AP256" s="88" t="s">
        <v>1134</v>
      </c>
      <c r="AQ256" s="88" t="s">
        <v>1133</v>
      </c>
      <c r="AR256" s="88">
        <v>0</v>
      </c>
      <c r="AS256" s="88"/>
      <c r="AT256" s="88"/>
      <c r="AU256" s="88">
        <v>0</v>
      </c>
      <c r="AV256" s="88" t="s">
        <v>1133</v>
      </c>
      <c r="AW256" s="88" t="s">
        <v>1133</v>
      </c>
      <c r="AX256" s="88">
        <v>0</v>
      </c>
      <c r="AY256" s="88">
        <v>0</v>
      </c>
      <c r="AZ256" s="88">
        <v>0</v>
      </c>
      <c r="BA256" s="88">
        <v>0</v>
      </c>
      <c r="BB256" s="88" t="s">
        <v>0</v>
      </c>
    </row>
    <row r="257" spans="1:54">
      <c r="A257" s="88">
        <v>257</v>
      </c>
      <c r="B257" s="88">
        <v>257</v>
      </c>
      <c r="C257" s="88"/>
      <c r="D257" s="88" t="s">
        <v>257</v>
      </c>
      <c r="E257" s="88">
        <v>0</v>
      </c>
      <c r="F257" s="88">
        <v>1151</v>
      </c>
      <c r="G257" s="88">
        <v>1</v>
      </c>
      <c r="H257" s="88">
        <v>2</v>
      </c>
      <c r="I257" s="88">
        <v>2</v>
      </c>
      <c r="J257" s="88">
        <v>0</v>
      </c>
      <c r="K257" s="88">
        <v>0</v>
      </c>
      <c r="L257" s="88">
        <v>1</v>
      </c>
      <c r="M257" s="88">
        <v>14</v>
      </c>
      <c r="N257" s="88">
        <v>34</v>
      </c>
      <c r="O257" s="88">
        <v>1</v>
      </c>
      <c r="P257" s="88">
        <v>1</v>
      </c>
      <c r="Q257" s="88">
        <v>1</v>
      </c>
      <c r="R257" s="88">
        <v>20</v>
      </c>
      <c r="S257" s="88">
        <v>10</v>
      </c>
      <c r="T257" s="88">
        <v>0</v>
      </c>
      <c r="U257" s="88">
        <v>0</v>
      </c>
      <c r="V257" s="88">
        <v>0</v>
      </c>
      <c r="W257" s="88">
        <v>0</v>
      </c>
      <c r="X257" s="88">
        <v>20</v>
      </c>
      <c r="Y257" s="88">
        <v>0</v>
      </c>
      <c r="Z257" s="88">
        <v>10</v>
      </c>
      <c r="AA257" s="88">
        <v>0</v>
      </c>
      <c r="AB257" s="88">
        <v>1</v>
      </c>
      <c r="AC257" s="88">
        <v>0</v>
      </c>
      <c r="AD257" s="88">
        <v>0</v>
      </c>
      <c r="AE257" s="88" t="s">
        <v>1133</v>
      </c>
      <c r="AF257" s="88">
        <v>0</v>
      </c>
      <c r="AG257" s="88">
        <v>0</v>
      </c>
      <c r="AH257" s="88" t="s">
        <v>1133</v>
      </c>
      <c r="AI257" s="88" t="s">
        <v>1133</v>
      </c>
      <c r="AJ257" s="88" t="s">
        <v>1133</v>
      </c>
      <c r="AK257" s="88">
        <v>2</v>
      </c>
      <c r="AL257" s="88">
        <v>20</v>
      </c>
      <c r="AM257" s="88">
        <v>9</v>
      </c>
      <c r="AN257" s="88">
        <v>0</v>
      </c>
      <c r="AO257" s="88">
        <v>1</v>
      </c>
      <c r="AP257" s="88" t="s">
        <v>1134</v>
      </c>
      <c r="AQ257" s="88" t="s">
        <v>1133</v>
      </c>
      <c r="AR257" s="88">
        <v>0</v>
      </c>
      <c r="AS257" s="88"/>
      <c r="AT257" s="88"/>
      <c r="AU257" s="88">
        <v>0</v>
      </c>
      <c r="AV257" s="88" t="s">
        <v>1133</v>
      </c>
      <c r="AW257" s="88" t="s">
        <v>1133</v>
      </c>
      <c r="AX257" s="88">
        <v>0</v>
      </c>
      <c r="AY257" s="88">
        <v>0</v>
      </c>
      <c r="AZ257" s="88">
        <v>0</v>
      </c>
      <c r="BA257" s="88">
        <v>0</v>
      </c>
      <c r="BB257" s="88" t="s">
        <v>0</v>
      </c>
    </row>
    <row r="258" spans="1:54">
      <c r="A258" s="88">
        <v>258</v>
      </c>
      <c r="B258" s="88">
        <v>258</v>
      </c>
      <c r="C258" s="88"/>
      <c r="D258" s="88" t="s">
        <v>258</v>
      </c>
      <c r="E258" s="88">
        <v>0</v>
      </c>
      <c r="F258" s="88">
        <v>1151</v>
      </c>
      <c r="G258" s="88">
        <v>1</v>
      </c>
      <c r="H258" s="88">
        <v>2</v>
      </c>
      <c r="I258" s="88">
        <v>2</v>
      </c>
      <c r="J258" s="88">
        <v>0</v>
      </c>
      <c r="K258" s="88">
        <v>0</v>
      </c>
      <c r="L258" s="88">
        <v>1</v>
      </c>
      <c r="M258" s="88">
        <v>20</v>
      </c>
      <c r="N258" s="88">
        <v>34</v>
      </c>
      <c r="O258" s="88">
        <v>1</v>
      </c>
      <c r="P258" s="88">
        <v>1</v>
      </c>
      <c r="Q258" s="88">
        <v>1</v>
      </c>
      <c r="R258" s="88">
        <v>20</v>
      </c>
      <c r="S258" s="88">
        <v>10</v>
      </c>
      <c r="T258" s="88">
        <v>0</v>
      </c>
      <c r="U258" s="88">
        <v>0</v>
      </c>
      <c r="V258" s="88">
        <v>0</v>
      </c>
      <c r="W258" s="88">
        <v>0</v>
      </c>
      <c r="X258" s="88">
        <v>20</v>
      </c>
      <c r="Y258" s="88">
        <v>0</v>
      </c>
      <c r="Z258" s="88">
        <v>10</v>
      </c>
      <c r="AA258" s="88">
        <v>0</v>
      </c>
      <c r="AB258" s="88">
        <v>1</v>
      </c>
      <c r="AC258" s="88">
        <v>0</v>
      </c>
      <c r="AD258" s="88">
        <v>0</v>
      </c>
      <c r="AE258" s="88" t="s">
        <v>1133</v>
      </c>
      <c r="AF258" s="88">
        <v>0</v>
      </c>
      <c r="AG258" s="88">
        <v>0</v>
      </c>
      <c r="AH258" s="88" t="s">
        <v>1133</v>
      </c>
      <c r="AI258" s="88" t="s">
        <v>1133</v>
      </c>
      <c r="AJ258" s="88" t="s">
        <v>1133</v>
      </c>
      <c r="AK258" s="88">
        <v>2</v>
      </c>
      <c r="AL258" s="88">
        <v>20</v>
      </c>
      <c r="AM258" s="88">
        <v>9</v>
      </c>
      <c r="AN258" s="88">
        <v>0</v>
      </c>
      <c r="AO258" s="88">
        <v>1</v>
      </c>
      <c r="AP258" s="88" t="s">
        <v>1134</v>
      </c>
      <c r="AQ258" s="88" t="s">
        <v>1133</v>
      </c>
      <c r="AR258" s="88">
        <v>0</v>
      </c>
      <c r="AS258" s="88"/>
      <c r="AT258" s="88"/>
      <c r="AU258" s="88">
        <v>0</v>
      </c>
      <c r="AV258" s="88" t="s">
        <v>1133</v>
      </c>
      <c r="AW258" s="88" t="s">
        <v>1133</v>
      </c>
      <c r="AX258" s="88">
        <v>0</v>
      </c>
      <c r="AY258" s="88">
        <v>0</v>
      </c>
      <c r="AZ258" s="88">
        <v>0</v>
      </c>
      <c r="BA258" s="88">
        <v>0</v>
      </c>
      <c r="BB258" s="88" t="s">
        <v>0</v>
      </c>
    </row>
    <row r="259" spans="1:54">
      <c r="A259" s="88">
        <v>259</v>
      </c>
      <c r="B259" s="88">
        <v>259</v>
      </c>
      <c r="C259" s="88"/>
      <c r="D259" s="88" t="s">
        <v>259</v>
      </c>
      <c r="E259" s="88">
        <v>0</v>
      </c>
      <c r="F259" s="88">
        <v>1151</v>
      </c>
      <c r="G259" s="88">
        <v>1</v>
      </c>
      <c r="H259" s="88">
        <v>2</v>
      </c>
      <c r="I259" s="88">
        <v>2</v>
      </c>
      <c r="J259" s="88">
        <v>0</v>
      </c>
      <c r="K259" s="88">
        <v>0</v>
      </c>
      <c r="L259" s="88">
        <v>1</v>
      </c>
      <c r="M259" s="88">
        <v>30</v>
      </c>
      <c r="N259" s="88">
        <v>34</v>
      </c>
      <c r="O259" s="88">
        <v>1</v>
      </c>
      <c r="P259" s="88">
        <v>1</v>
      </c>
      <c r="Q259" s="88">
        <v>1</v>
      </c>
      <c r="R259" s="88">
        <v>20</v>
      </c>
      <c r="S259" s="88">
        <v>10</v>
      </c>
      <c r="T259" s="88">
        <v>0</v>
      </c>
      <c r="U259" s="88">
        <v>0</v>
      </c>
      <c r="V259" s="88">
        <v>0</v>
      </c>
      <c r="W259" s="88">
        <v>0</v>
      </c>
      <c r="X259" s="88">
        <v>20</v>
      </c>
      <c r="Y259" s="88">
        <v>0</v>
      </c>
      <c r="Z259" s="88">
        <v>10</v>
      </c>
      <c r="AA259" s="88">
        <v>0</v>
      </c>
      <c r="AB259" s="88">
        <v>1</v>
      </c>
      <c r="AC259" s="88">
        <v>0</v>
      </c>
      <c r="AD259" s="88">
        <v>0</v>
      </c>
      <c r="AE259" s="88" t="s">
        <v>1133</v>
      </c>
      <c r="AF259" s="88">
        <v>0</v>
      </c>
      <c r="AG259" s="88">
        <v>0</v>
      </c>
      <c r="AH259" s="88" t="s">
        <v>1133</v>
      </c>
      <c r="AI259" s="88" t="s">
        <v>1133</v>
      </c>
      <c r="AJ259" s="88" t="s">
        <v>1133</v>
      </c>
      <c r="AK259" s="88">
        <v>2</v>
      </c>
      <c r="AL259" s="88">
        <v>20</v>
      </c>
      <c r="AM259" s="88">
        <v>9</v>
      </c>
      <c r="AN259" s="88">
        <v>0</v>
      </c>
      <c r="AO259" s="88">
        <v>1</v>
      </c>
      <c r="AP259" s="88" t="s">
        <v>1134</v>
      </c>
      <c r="AQ259" s="88" t="s">
        <v>1133</v>
      </c>
      <c r="AR259" s="88">
        <v>0</v>
      </c>
      <c r="AS259" s="88"/>
      <c r="AT259" s="88"/>
      <c r="AU259" s="88">
        <v>0</v>
      </c>
      <c r="AV259" s="88" t="s">
        <v>1133</v>
      </c>
      <c r="AW259" s="88" t="s">
        <v>1133</v>
      </c>
      <c r="AX259" s="88">
        <v>0</v>
      </c>
      <c r="AY259" s="88">
        <v>0</v>
      </c>
      <c r="AZ259" s="88">
        <v>0</v>
      </c>
      <c r="BA259" s="88">
        <v>0</v>
      </c>
      <c r="BB259" s="88" t="s">
        <v>0</v>
      </c>
    </row>
    <row r="260" spans="1:54">
      <c r="A260" s="88">
        <v>260</v>
      </c>
      <c r="B260" s="88">
        <v>260</v>
      </c>
      <c r="C260" s="88"/>
      <c r="D260" s="88" t="s">
        <v>260</v>
      </c>
      <c r="E260" s="88">
        <v>0</v>
      </c>
      <c r="F260" s="88">
        <v>1151</v>
      </c>
      <c r="G260" s="88">
        <v>1</v>
      </c>
      <c r="H260" s="88">
        <v>2</v>
      </c>
      <c r="I260" s="88">
        <v>2</v>
      </c>
      <c r="J260" s="88">
        <v>0</v>
      </c>
      <c r="K260" s="88">
        <v>0</v>
      </c>
      <c r="L260" s="88">
        <v>1</v>
      </c>
      <c r="M260" s="88">
        <v>40</v>
      </c>
      <c r="N260" s="88">
        <v>34</v>
      </c>
      <c r="O260" s="88">
        <v>1</v>
      </c>
      <c r="P260" s="88">
        <v>1</v>
      </c>
      <c r="Q260" s="88">
        <v>1</v>
      </c>
      <c r="R260" s="88">
        <v>20</v>
      </c>
      <c r="S260" s="88">
        <v>10</v>
      </c>
      <c r="T260" s="88">
        <v>0</v>
      </c>
      <c r="U260" s="88">
        <v>0</v>
      </c>
      <c r="V260" s="88">
        <v>0</v>
      </c>
      <c r="W260" s="88">
        <v>0</v>
      </c>
      <c r="X260" s="88">
        <v>20</v>
      </c>
      <c r="Y260" s="88">
        <v>0</v>
      </c>
      <c r="Z260" s="88">
        <v>10</v>
      </c>
      <c r="AA260" s="88">
        <v>0</v>
      </c>
      <c r="AB260" s="88">
        <v>1</v>
      </c>
      <c r="AC260" s="88">
        <v>0</v>
      </c>
      <c r="AD260" s="88">
        <v>0</v>
      </c>
      <c r="AE260" s="88" t="s">
        <v>1133</v>
      </c>
      <c r="AF260" s="88">
        <v>0</v>
      </c>
      <c r="AG260" s="88">
        <v>0</v>
      </c>
      <c r="AH260" s="88" t="s">
        <v>1133</v>
      </c>
      <c r="AI260" s="88" t="s">
        <v>1133</v>
      </c>
      <c r="AJ260" s="88" t="s">
        <v>1133</v>
      </c>
      <c r="AK260" s="88">
        <v>2</v>
      </c>
      <c r="AL260" s="88">
        <v>20</v>
      </c>
      <c r="AM260" s="88">
        <v>9</v>
      </c>
      <c r="AN260" s="88">
        <v>0</v>
      </c>
      <c r="AO260" s="88">
        <v>1</v>
      </c>
      <c r="AP260" s="88" t="s">
        <v>1134</v>
      </c>
      <c r="AQ260" s="88" t="s">
        <v>1133</v>
      </c>
      <c r="AR260" s="88">
        <v>0</v>
      </c>
      <c r="AS260" s="88"/>
      <c r="AT260" s="88"/>
      <c r="AU260" s="88">
        <v>0</v>
      </c>
      <c r="AV260" s="88" t="s">
        <v>1133</v>
      </c>
      <c r="AW260" s="88" t="s">
        <v>1133</v>
      </c>
      <c r="AX260" s="88">
        <v>0</v>
      </c>
      <c r="AY260" s="88">
        <v>0</v>
      </c>
      <c r="AZ260" s="88">
        <v>0</v>
      </c>
      <c r="BA260" s="88">
        <v>0</v>
      </c>
      <c r="BB260" s="88" t="s">
        <v>0</v>
      </c>
    </row>
    <row r="261" spans="1:54">
      <c r="A261" s="88">
        <v>261</v>
      </c>
      <c r="B261" s="88">
        <v>261</v>
      </c>
      <c r="C261" s="88"/>
      <c r="D261" s="88" t="s">
        <v>261</v>
      </c>
      <c r="E261" s="88">
        <v>0</v>
      </c>
      <c r="F261" s="88">
        <v>1151</v>
      </c>
      <c r="G261" s="88">
        <v>1</v>
      </c>
      <c r="H261" s="88">
        <v>2</v>
      </c>
      <c r="I261" s="88">
        <v>2</v>
      </c>
      <c r="J261" s="88">
        <v>0</v>
      </c>
      <c r="K261" s="88">
        <v>0</v>
      </c>
      <c r="L261" s="88">
        <v>1</v>
      </c>
      <c r="M261" s="88">
        <v>50</v>
      </c>
      <c r="N261" s="88">
        <v>34</v>
      </c>
      <c r="O261" s="88">
        <v>1</v>
      </c>
      <c r="P261" s="88">
        <v>1</v>
      </c>
      <c r="Q261" s="88">
        <v>1</v>
      </c>
      <c r="R261" s="88">
        <v>20</v>
      </c>
      <c r="S261" s="88">
        <v>10</v>
      </c>
      <c r="T261" s="88">
        <v>0</v>
      </c>
      <c r="U261" s="88">
        <v>0</v>
      </c>
      <c r="V261" s="88">
        <v>0</v>
      </c>
      <c r="W261" s="88">
        <v>0</v>
      </c>
      <c r="X261" s="88">
        <v>20</v>
      </c>
      <c r="Y261" s="88">
        <v>0</v>
      </c>
      <c r="Z261" s="88">
        <v>10</v>
      </c>
      <c r="AA261" s="88">
        <v>0</v>
      </c>
      <c r="AB261" s="88">
        <v>1</v>
      </c>
      <c r="AC261" s="88">
        <v>0</v>
      </c>
      <c r="AD261" s="88">
        <v>0</v>
      </c>
      <c r="AE261" s="88" t="s">
        <v>1133</v>
      </c>
      <c r="AF261" s="88">
        <v>0</v>
      </c>
      <c r="AG261" s="88">
        <v>0</v>
      </c>
      <c r="AH261" s="88" t="s">
        <v>1133</v>
      </c>
      <c r="AI261" s="88" t="s">
        <v>1133</v>
      </c>
      <c r="AJ261" s="88" t="s">
        <v>1133</v>
      </c>
      <c r="AK261" s="88">
        <v>2</v>
      </c>
      <c r="AL261" s="88">
        <v>20</v>
      </c>
      <c r="AM261" s="88">
        <v>9</v>
      </c>
      <c r="AN261" s="88">
        <v>0</v>
      </c>
      <c r="AO261" s="88">
        <v>1</v>
      </c>
      <c r="AP261" s="88" t="s">
        <v>1134</v>
      </c>
      <c r="AQ261" s="88" t="s">
        <v>1133</v>
      </c>
      <c r="AR261" s="88">
        <v>0</v>
      </c>
      <c r="AS261" s="88"/>
      <c r="AT261" s="88"/>
      <c r="AU261" s="88">
        <v>0</v>
      </c>
      <c r="AV261" s="88" t="s">
        <v>1133</v>
      </c>
      <c r="AW261" s="88" t="s">
        <v>1133</v>
      </c>
      <c r="AX261" s="88">
        <v>0</v>
      </c>
      <c r="AY261" s="88">
        <v>0</v>
      </c>
      <c r="AZ261" s="88">
        <v>0</v>
      </c>
      <c r="BA261" s="88">
        <v>0</v>
      </c>
      <c r="BB261" s="88" t="s">
        <v>0</v>
      </c>
    </row>
    <row r="262" spans="1:54">
      <c r="A262" s="88">
        <v>262</v>
      </c>
      <c r="B262" s="88">
        <v>262</v>
      </c>
      <c r="C262" s="88"/>
      <c r="D262" s="88" t="s">
        <v>262</v>
      </c>
      <c r="E262" s="88">
        <v>0</v>
      </c>
      <c r="F262" s="88">
        <v>1148</v>
      </c>
      <c r="G262" s="88">
        <v>1</v>
      </c>
      <c r="H262" s="88">
        <v>2</v>
      </c>
      <c r="I262" s="88">
        <v>2</v>
      </c>
      <c r="J262" s="88">
        <v>0</v>
      </c>
      <c r="K262" s="88">
        <v>0</v>
      </c>
      <c r="L262" s="88">
        <v>1</v>
      </c>
      <c r="M262" s="88">
        <v>40</v>
      </c>
      <c r="N262" s="88">
        <v>34</v>
      </c>
      <c r="O262" s="88">
        <v>1</v>
      </c>
      <c r="P262" s="88">
        <v>1</v>
      </c>
      <c r="Q262" s="88">
        <v>1</v>
      </c>
      <c r="R262" s="88">
        <v>20</v>
      </c>
      <c r="S262" s="88">
        <v>10</v>
      </c>
      <c r="T262" s="88">
        <v>0</v>
      </c>
      <c r="U262" s="88">
        <v>0</v>
      </c>
      <c r="V262" s="88">
        <v>0</v>
      </c>
      <c r="W262" s="88">
        <v>0</v>
      </c>
      <c r="X262" s="88">
        <v>20</v>
      </c>
      <c r="Y262" s="88">
        <v>0</v>
      </c>
      <c r="Z262" s="88">
        <v>10</v>
      </c>
      <c r="AA262" s="88">
        <v>0</v>
      </c>
      <c r="AB262" s="88">
        <v>1</v>
      </c>
      <c r="AC262" s="88">
        <v>0</v>
      </c>
      <c r="AD262" s="88">
        <v>0</v>
      </c>
      <c r="AE262" s="88" t="s">
        <v>1133</v>
      </c>
      <c r="AF262" s="88">
        <v>0</v>
      </c>
      <c r="AG262" s="88">
        <v>0</v>
      </c>
      <c r="AH262" s="88" t="s">
        <v>1133</v>
      </c>
      <c r="AI262" s="88" t="s">
        <v>1133</v>
      </c>
      <c r="AJ262" s="88" t="s">
        <v>1133</v>
      </c>
      <c r="AK262" s="88">
        <v>2</v>
      </c>
      <c r="AL262" s="88">
        <v>20</v>
      </c>
      <c r="AM262" s="88">
        <v>9</v>
      </c>
      <c r="AN262" s="88">
        <v>0</v>
      </c>
      <c r="AO262" s="88">
        <v>1</v>
      </c>
      <c r="AP262" s="88" t="s">
        <v>1134</v>
      </c>
      <c r="AQ262" s="88" t="s">
        <v>1133</v>
      </c>
      <c r="AR262" s="88">
        <v>0</v>
      </c>
      <c r="AS262" s="88"/>
      <c r="AT262" s="88"/>
      <c r="AU262" s="88">
        <v>0</v>
      </c>
      <c r="AV262" s="88" t="s">
        <v>1133</v>
      </c>
      <c r="AW262" s="88" t="s">
        <v>1133</v>
      </c>
      <c r="AX262" s="88">
        <v>0</v>
      </c>
      <c r="AY262" s="88">
        <v>0</v>
      </c>
      <c r="AZ262" s="88">
        <v>0</v>
      </c>
      <c r="BA262" s="88">
        <v>0</v>
      </c>
      <c r="BB262" s="88" t="s">
        <v>0</v>
      </c>
    </row>
    <row r="263" spans="1:54">
      <c r="A263" s="88">
        <v>263</v>
      </c>
      <c r="B263" s="88">
        <v>263</v>
      </c>
      <c r="C263" s="88"/>
      <c r="D263" s="88" t="s">
        <v>263</v>
      </c>
      <c r="E263" s="88">
        <v>0</v>
      </c>
      <c r="F263" s="88">
        <v>1148</v>
      </c>
      <c r="G263" s="88">
        <v>1</v>
      </c>
      <c r="H263" s="88">
        <v>2</v>
      </c>
      <c r="I263" s="88">
        <v>2</v>
      </c>
      <c r="J263" s="88">
        <v>0</v>
      </c>
      <c r="K263" s="88">
        <v>0</v>
      </c>
      <c r="L263" s="88">
        <v>1</v>
      </c>
      <c r="M263" s="88">
        <v>50</v>
      </c>
      <c r="N263" s="88">
        <v>34</v>
      </c>
      <c r="O263" s="88">
        <v>1</v>
      </c>
      <c r="P263" s="88">
        <v>1</v>
      </c>
      <c r="Q263" s="88">
        <v>1</v>
      </c>
      <c r="R263" s="88">
        <v>20</v>
      </c>
      <c r="S263" s="88">
        <v>10</v>
      </c>
      <c r="T263" s="88">
        <v>0</v>
      </c>
      <c r="U263" s="88">
        <v>0</v>
      </c>
      <c r="V263" s="88">
        <v>0</v>
      </c>
      <c r="W263" s="88">
        <v>0</v>
      </c>
      <c r="X263" s="88">
        <v>20</v>
      </c>
      <c r="Y263" s="88">
        <v>0</v>
      </c>
      <c r="Z263" s="88">
        <v>10</v>
      </c>
      <c r="AA263" s="88">
        <v>0</v>
      </c>
      <c r="AB263" s="88">
        <v>1</v>
      </c>
      <c r="AC263" s="88">
        <v>0</v>
      </c>
      <c r="AD263" s="88">
        <v>0</v>
      </c>
      <c r="AE263" s="88" t="s">
        <v>1133</v>
      </c>
      <c r="AF263" s="88">
        <v>0</v>
      </c>
      <c r="AG263" s="88">
        <v>0</v>
      </c>
      <c r="AH263" s="88" t="s">
        <v>1133</v>
      </c>
      <c r="AI263" s="88" t="s">
        <v>1133</v>
      </c>
      <c r="AJ263" s="88" t="s">
        <v>1133</v>
      </c>
      <c r="AK263" s="88">
        <v>2</v>
      </c>
      <c r="AL263" s="88">
        <v>20</v>
      </c>
      <c r="AM263" s="88">
        <v>9</v>
      </c>
      <c r="AN263" s="88">
        <v>0</v>
      </c>
      <c r="AO263" s="88">
        <v>1</v>
      </c>
      <c r="AP263" s="88" t="s">
        <v>1134</v>
      </c>
      <c r="AQ263" s="88" t="s">
        <v>1133</v>
      </c>
      <c r="AR263" s="88">
        <v>0</v>
      </c>
      <c r="AS263" s="88"/>
      <c r="AT263" s="88"/>
      <c r="AU263" s="88">
        <v>0</v>
      </c>
      <c r="AV263" s="88" t="s">
        <v>1133</v>
      </c>
      <c r="AW263" s="88" t="s">
        <v>1133</v>
      </c>
      <c r="AX263" s="88">
        <v>0</v>
      </c>
      <c r="AY263" s="88">
        <v>0</v>
      </c>
      <c r="AZ263" s="88">
        <v>0</v>
      </c>
      <c r="BA263" s="88">
        <v>0</v>
      </c>
      <c r="BB263" s="88" t="s">
        <v>0</v>
      </c>
    </row>
    <row r="264" spans="1:54">
      <c r="A264" s="88">
        <v>264</v>
      </c>
      <c r="B264" s="88">
        <v>264</v>
      </c>
      <c r="C264" s="88"/>
      <c r="D264" s="88" t="s">
        <v>264</v>
      </c>
      <c r="E264" s="88">
        <v>0</v>
      </c>
      <c r="F264" s="88">
        <v>1148</v>
      </c>
      <c r="G264" s="88">
        <v>1</v>
      </c>
      <c r="H264" s="88">
        <v>2</v>
      </c>
      <c r="I264" s="88">
        <v>2</v>
      </c>
      <c r="J264" s="88">
        <v>0</v>
      </c>
      <c r="K264" s="88">
        <v>0</v>
      </c>
      <c r="L264" s="88">
        <v>1</v>
      </c>
      <c r="M264" s="88">
        <v>40</v>
      </c>
      <c r="N264" s="88">
        <v>34</v>
      </c>
      <c r="O264" s="88">
        <v>1</v>
      </c>
      <c r="P264" s="88">
        <v>1</v>
      </c>
      <c r="Q264" s="88">
        <v>1</v>
      </c>
      <c r="R264" s="88">
        <v>20</v>
      </c>
      <c r="S264" s="88">
        <v>10</v>
      </c>
      <c r="T264" s="88">
        <v>0</v>
      </c>
      <c r="U264" s="88">
        <v>0</v>
      </c>
      <c r="V264" s="88">
        <v>0</v>
      </c>
      <c r="W264" s="88">
        <v>0</v>
      </c>
      <c r="X264" s="88">
        <v>20</v>
      </c>
      <c r="Y264" s="88">
        <v>0</v>
      </c>
      <c r="Z264" s="88">
        <v>10</v>
      </c>
      <c r="AA264" s="88">
        <v>0</v>
      </c>
      <c r="AB264" s="88">
        <v>1</v>
      </c>
      <c r="AC264" s="88">
        <v>0</v>
      </c>
      <c r="AD264" s="88">
        <v>0</v>
      </c>
      <c r="AE264" s="88" t="s">
        <v>1133</v>
      </c>
      <c r="AF264" s="88">
        <v>0</v>
      </c>
      <c r="AG264" s="88">
        <v>0</v>
      </c>
      <c r="AH264" s="88" t="s">
        <v>1133</v>
      </c>
      <c r="AI264" s="88" t="s">
        <v>1133</v>
      </c>
      <c r="AJ264" s="88" t="s">
        <v>1133</v>
      </c>
      <c r="AK264" s="88">
        <v>2</v>
      </c>
      <c r="AL264" s="88">
        <v>20</v>
      </c>
      <c r="AM264" s="88">
        <v>9</v>
      </c>
      <c r="AN264" s="88">
        <v>0</v>
      </c>
      <c r="AO264" s="88">
        <v>1</v>
      </c>
      <c r="AP264" s="88" t="s">
        <v>1134</v>
      </c>
      <c r="AQ264" s="88" t="s">
        <v>1133</v>
      </c>
      <c r="AR264" s="88">
        <v>0</v>
      </c>
      <c r="AS264" s="88"/>
      <c r="AT264" s="88"/>
      <c r="AU264" s="88">
        <v>0</v>
      </c>
      <c r="AV264" s="88" t="s">
        <v>1133</v>
      </c>
      <c r="AW264" s="88" t="s">
        <v>1133</v>
      </c>
      <c r="AX264" s="88">
        <v>0</v>
      </c>
      <c r="AY264" s="88">
        <v>0</v>
      </c>
      <c r="AZ264" s="88">
        <v>0</v>
      </c>
      <c r="BA264" s="88">
        <v>0</v>
      </c>
      <c r="BB264" s="88" t="s">
        <v>0</v>
      </c>
    </row>
    <row r="265" spans="1:54">
      <c r="A265" s="88">
        <v>265</v>
      </c>
      <c r="B265" s="88">
        <v>265</v>
      </c>
      <c r="C265" s="88"/>
      <c r="D265" s="88" t="s">
        <v>265</v>
      </c>
      <c r="E265" s="88">
        <v>0</v>
      </c>
      <c r="F265" s="88">
        <v>1148</v>
      </c>
      <c r="G265" s="88">
        <v>1</v>
      </c>
      <c r="H265" s="88">
        <v>2</v>
      </c>
      <c r="I265" s="88">
        <v>2</v>
      </c>
      <c r="J265" s="88">
        <v>0</v>
      </c>
      <c r="K265" s="88">
        <v>0</v>
      </c>
      <c r="L265" s="88">
        <v>1</v>
      </c>
      <c r="M265" s="88">
        <v>50</v>
      </c>
      <c r="N265" s="88">
        <v>34</v>
      </c>
      <c r="O265" s="88">
        <v>1</v>
      </c>
      <c r="P265" s="88">
        <v>1</v>
      </c>
      <c r="Q265" s="88">
        <v>1</v>
      </c>
      <c r="R265" s="88">
        <v>20</v>
      </c>
      <c r="S265" s="88">
        <v>10</v>
      </c>
      <c r="T265" s="88">
        <v>0</v>
      </c>
      <c r="U265" s="88">
        <v>0</v>
      </c>
      <c r="V265" s="88">
        <v>0</v>
      </c>
      <c r="W265" s="88">
        <v>0</v>
      </c>
      <c r="X265" s="88">
        <v>20</v>
      </c>
      <c r="Y265" s="88">
        <v>0</v>
      </c>
      <c r="Z265" s="88">
        <v>10</v>
      </c>
      <c r="AA265" s="88">
        <v>0</v>
      </c>
      <c r="AB265" s="88">
        <v>1</v>
      </c>
      <c r="AC265" s="88">
        <v>0</v>
      </c>
      <c r="AD265" s="88">
        <v>0</v>
      </c>
      <c r="AE265" s="88" t="s">
        <v>1133</v>
      </c>
      <c r="AF265" s="88">
        <v>0</v>
      </c>
      <c r="AG265" s="88">
        <v>0</v>
      </c>
      <c r="AH265" s="88" t="s">
        <v>1133</v>
      </c>
      <c r="AI265" s="88" t="s">
        <v>1133</v>
      </c>
      <c r="AJ265" s="88" t="s">
        <v>1133</v>
      </c>
      <c r="AK265" s="88">
        <v>2</v>
      </c>
      <c r="AL265" s="88">
        <v>20</v>
      </c>
      <c r="AM265" s="88">
        <v>9</v>
      </c>
      <c r="AN265" s="88">
        <v>0</v>
      </c>
      <c r="AO265" s="88">
        <v>1</v>
      </c>
      <c r="AP265" s="88" t="s">
        <v>1134</v>
      </c>
      <c r="AQ265" s="88" t="s">
        <v>1133</v>
      </c>
      <c r="AR265" s="88">
        <v>0</v>
      </c>
      <c r="AS265" s="88"/>
      <c r="AT265" s="88"/>
      <c r="AU265" s="88">
        <v>0</v>
      </c>
      <c r="AV265" s="88" t="s">
        <v>1133</v>
      </c>
      <c r="AW265" s="88" t="s">
        <v>1133</v>
      </c>
      <c r="AX265" s="88">
        <v>0</v>
      </c>
      <c r="AY265" s="88">
        <v>0</v>
      </c>
      <c r="AZ265" s="88">
        <v>0</v>
      </c>
      <c r="BA265" s="88">
        <v>0</v>
      </c>
      <c r="BB265" s="88" t="s">
        <v>0</v>
      </c>
    </row>
    <row r="266" spans="1:54">
      <c r="A266" s="88">
        <v>266</v>
      </c>
      <c r="B266" s="88">
        <v>266</v>
      </c>
      <c r="C266" s="88"/>
      <c r="D266" s="88" t="s">
        <v>266</v>
      </c>
      <c r="E266" s="88">
        <v>0</v>
      </c>
      <c r="F266" s="88">
        <v>1148</v>
      </c>
      <c r="G266" s="88">
        <v>1</v>
      </c>
      <c r="H266" s="88">
        <v>2</v>
      </c>
      <c r="I266" s="88">
        <v>2</v>
      </c>
      <c r="J266" s="88">
        <v>0</v>
      </c>
      <c r="K266" s="88">
        <v>0</v>
      </c>
      <c r="L266" s="88">
        <v>1</v>
      </c>
      <c r="M266" s="88">
        <v>600</v>
      </c>
      <c r="N266" s="88">
        <v>34</v>
      </c>
      <c r="O266" s="88">
        <v>1</v>
      </c>
      <c r="P266" s="88">
        <v>1</v>
      </c>
      <c r="Q266" s="88">
        <v>1</v>
      </c>
      <c r="R266" s="88">
        <v>20</v>
      </c>
      <c r="S266" s="88">
        <v>10</v>
      </c>
      <c r="T266" s="88">
        <v>0</v>
      </c>
      <c r="U266" s="88">
        <v>0</v>
      </c>
      <c r="V266" s="88">
        <v>0</v>
      </c>
      <c r="W266" s="88">
        <v>0</v>
      </c>
      <c r="X266" s="88">
        <v>20</v>
      </c>
      <c r="Y266" s="88">
        <v>0</v>
      </c>
      <c r="Z266" s="88">
        <v>10</v>
      </c>
      <c r="AA266" s="88">
        <v>0</v>
      </c>
      <c r="AB266" s="88">
        <v>1</v>
      </c>
      <c r="AC266" s="88">
        <v>0</v>
      </c>
      <c r="AD266" s="88">
        <v>0</v>
      </c>
      <c r="AE266" s="88" t="s">
        <v>1133</v>
      </c>
      <c r="AF266" s="88">
        <v>0</v>
      </c>
      <c r="AG266" s="88">
        <v>0</v>
      </c>
      <c r="AH266" s="88" t="s">
        <v>1133</v>
      </c>
      <c r="AI266" s="88" t="s">
        <v>1133</v>
      </c>
      <c r="AJ266" s="88" t="s">
        <v>1133</v>
      </c>
      <c r="AK266" s="88">
        <v>2</v>
      </c>
      <c r="AL266" s="88">
        <v>20</v>
      </c>
      <c r="AM266" s="88">
        <v>9</v>
      </c>
      <c r="AN266" s="88">
        <v>0</v>
      </c>
      <c r="AO266" s="88">
        <v>1</v>
      </c>
      <c r="AP266" s="88" t="s">
        <v>1134</v>
      </c>
      <c r="AQ266" s="88" t="s">
        <v>1133</v>
      </c>
      <c r="AR266" s="88">
        <v>0</v>
      </c>
      <c r="AS266" s="88"/>
      <c r="AT266" s="88"/>
      <c r="AU266" s="88">
        <v>0</v>
      </c>
      <c r="AV266" s="88" t="s">
        <v>1133</v>
      </c>
      <c r="AW266" s="88" t="s">
        <v>1133</v>
      </c>
      <c r="AX266" s="88">
        <v>0</v>
      </c>
      <c r="AY266" s="88">
        <v>0</v>
      </c>
      <c r="AZ266" s="88">
        <v>0</v>
      </c>
      <c r="BA266" s="88">
        <v>0</v>
      </c>
      <c r="BB266" s="88" t="s">
        <v>0</v>
      </c>
    </row>
    <row r="267" spans="1:54">
      <c r="A267" s="88">
        <v>267</v>
      </c>
      <c r="B267" s="88">
        <v>267</v>
      </c>
      <c r="C267" s="88"/>
      <c r="D267" s="88" t="s">
        <v>267</v>
      </c>
      <c r="E267" s="88">
        <v>0</v>
      </c>
      <c r="F267" s="88">
        <v>1148</v>
      </c>
      <c r="G267" s="88">
        <v>1</v>
      </c>
      <c r="H267" s="88">
        <v>2</v>
      </c>
      <c r="I267" s="88">
        <v>2</v>
      </c>
      <c r="J267" s="88">
        <v>0</v>
      </c>
      <c r="K267" s="88">
        <v>0</v>
      </c>
      <c r="L267" s="88">
        <v>1</v>
      </c>
      <c r="M267" s="88">
        <v>800</v>
      </c>
      <c r="N267" s="88">
        <v>34</v>
      </c>
      <c r="O267" s="88">
        <v>1</v>
      </c>
      <c r="P267" s="88">
        <v>1</v>
      </c>
      <c r="Q267" s="88">
        <v>1</v>
      </c>
      <c r="R267" s="88">
        <v>20</v>
      </c>
      <c r="S267" s="88">
        <v>10</v>
      </c>
      <c r="T267" s="88">
        <v>0</v>
      </c>
      <c r="U267" s="88">
        <v>0</v>
      </c>
      <c r="V267" s="88">
        <v>0</v>
      </c>
      <c r="W267" s="88">
        <v>0</v>
      </c>
      <c r="X267" s="88">
        <v>20</v>
      </c>
      <c r="Y267" s="88">
        <v>0</v>
      </c>
      <c r="Z267" s="88">
        <v>10</v>
      </c>
      <c r="AA267" s="88">
        <v>0</v>
      </c>
      <c r="AB267" s="88">
        <v>1</v>
      </c>
      <c r="AC267" s="88">
        <v>0</v>
      </c>
      <c r="AD267" s="88">
        <v>0</v>
      </c>
      <c r="AE267" s="88" t="s">
        <v>1133</v>
      </c>
      <c r="AF267" s="88">
        <v>0</v>
      </c>
      <c r="AG267" s="88">
        <v>0</v>
      </c>
      <c r="AH267" s="88" t="s">
        <v>1133</v>
      </c>
      <c r="AI267" s="88" t="s">
        <v>1133</v>
      </c>
      <c r="AJ267" s="88" t="s">
        <v>1133</v>
      </c>
      <c r="AK267" s="88">
        <v>2</v>
      </c>
      <c r="AL267" s="88">
        <v>20</v>
      </c>
      <c r="AM267" s="88">
        <v>9</v>
      </c>
      <c r="AN267" s="88">
        <v>0</v>
      </c>
      <c r="AO267" s="88">
        <v>1</v>
      </c>
      <c r="AP267" s="88" t="s">
        <v>1134</v>
      </c>
      <c r="AQ267" s="88" t="s">
        <v>1133</v>
      </c>
      <c r="AR267" s="88">
        <v>0</v>
      </c>
      <c r="AS267" s="88"/>
      <c r="AT267" s="88"/>
      <c r="AU267" s="88">
        <v>0</v>
      </c>
      <c r="AV267" s="88" t="s">
        <v>1133</v>
      </c>
      <c r="AW267" s="88" t="s">
        <v>1133</v>
      </c>
      <c r="AX267" s="88">
        <v>0</v>
      </c>
      <c r="AY267" s="88">
        <v>0</v>
      </c>
      <c r="AZ267" s="88">
        <v>0</v>
      </c>
      <c r="BA267" s="88">
        <v>0</v>
      </c>
      <c r="BB267" s="88" t="s">
        <v>0</v>
      </c>
    </row>
    <row r="268" spans="1:54">
      <c r="A268" s="88">
        <v>268</v>
      </c>
      <c r="B268" s="88">
        <v>268</v>
      </c>
      <c r="C268" s="88"/>
      <c r="D268" s="88" t="s">
        <v>268</v>
      </c>
      <c r="E268" s="88">
        <v>0</v>
      </c>
      <c r="F268" s="88">
        <v>1148</v>
      </c>
      <c r="G268" s="88">
        <v>1</v>
      </c>
      <c r="H268" s="88">
        <v>2</v>
      </c>
      <c r="I268" s="88">
        <v>2</v>
      </c>
      <c r="J268" s="88">
        <v>0</v>
      </c>
      <c r="K268" s="88">
        <v>0</v>
      </c>
      <c r="L268" s="88">
        <v>1</v>
      </c>
      <c r="M268" s="88">
        <v>40</v>
      </c>
      <c r="N268" s="88">
        <v>34</v>
      </c>
      <c r="O268" s="88">
        <v>1</v>
      </c>
      <c r="P268" s="88">
        <v>1</v>
      </c>
      <c r="Q268" s="88">
        <v>1</v>
      </c>
      <c r="R268" s="88">
        <v>20</v>
      </c>
      <c r="S268" s="88">
        <v>10</v>
      </c>
      <c r="T268" s="88">
        <v>0</v>
      </c>
      <c r="U268" s="88">
        <v>0</v>
      </c>
      <c r="V268" s="88">
        <v>0</v>
      </c>
      <c r="W268" s="88">
        <v>0</v>
      </c>
      <c r="X268" s="88">
        <v>20</v>
      </c>
      <c r="Y268" s="88">
        <v>0</v>
      </c>
      <c r="Z268" s="88">
        <v>10</v>
      </c>
      <c r="AA268" s="88">
        <v>0</v>
      </c>
      <c r="AB268" s="88">
        <v>1</v>
      </c>
      <c r="AC268" s="88">
        <v>0</v>
      </c>
      <c r="AD268" s="88">
        <v>0</v>
      </c>
      <c r="AE268" s="88" t="s">
        <v>1133</v>
      </c>
      <c r="AF268" s="88">
        <v>0</v>
      </c>
      <c r="AG268" s="88">
        <v>0</v>
      </c>
      <c r="AH268" s="88" t="s">
        <v>1133</v>
      </c>
      <c r="AI268" s="88" t="s">
        <v>1133</v>
      </c>
      <c r="AJ268" s="88" t="s">
        <v>1133</v>
      </c>
      <c r="AK268" s="88">
        <v>2</v>
      </c>
      <c r="AL268" s="88">
        <v>20</v>
      </c>
      <c r="AM268" s="88">
        <v>9</v>
      </c>
      <c r="AN268" s="88">
        <v>0</v>
      </c>
      <c r="AO268" s="88">
        <v>1</v>
      </c>
      <c r="AP268" s="88" t="s">
        <v>1134</v>
      </c>
      <c r="AQ268" s="88" t="s">
        <v>1133</v>
      </c>
      <c r="AR268" s="88">
        <v>0</v>
      </c>
      <c r="AS268" s="88"/>
      <c r="AT268" s="88"/>
      <c r="AU268" s="88">
        <v>0</v>
      </c>
      <c r="AV268" s="88" t="s">
        <v>1133</v>
      </c>
      <c r="AW268" s="88" t="s">
        <v>1133</v>
      </c>
      <c r="AX268" s="88">
        <v>0</v>
      </c>
      <c r="AY268" s="88">
        <v>0</v>
      </c>
      <c r="AZ268" s="88">
        <v>0</v>
      </c>
      <c r="BA268" s="88">
        <v>0</v>
      </c>
      <c r="BB268" s="88" t="s">
        <v>0</v>
      </c>
    </row>
    <row r="269" spans="1:54">
      <c r="A269" s="88">
        <v>269</v>
      </c>
      <c r="B269" s="88">
        <v>269</v>
      </c>
      <c r="C269" s="88"/>
      <c r="D269" s="88" t="s">
        <v>269</v>
      </c>
      <c r="E269" s="88">
        <v>0</v>
      </c>
      <c r="F269" s="88">
        <v>1148</v>
      </c>
      <c r="G269" s="88">
        <v>1</v>
      </c>
      <c r="H269" s="88">
        <v>2</v>
      </c>
      <c r="I269" s="88">
        <v>2</v>
      </c>
      <c r="J269" s="88">
        <v>0</v>
      </c>
      <c r="K269" s="88">
        <v>0</v>
      </c>
      <c r="L269" s="88">
        <v>1</v>
      </c>
      <c r="M269" s="88">
        <v>50</v>
      </c>
      <c r="N269" s="88">
        <v>34</v>
      </c>
      <c r="O269" s="88">
        <v>1</v>
      </c>
      <c r="P269" s="88">
        <v>1</v>
      </c>
      <c r="Q269" s="88">
        <v>1</v>
      </c>
      <c r="R269" s="88">
        <v>20</v>
      </c>
      <c r="S269" s="88">
        <v>10</v>
      </c>
      <c r="T269" s="88">
        <v>0</v>
      </c>
      <c r="U269" s="88">
        <v>0</v>
      </c>
      <c r="V269" s="88">
        <v>0</v>
      </c>
      <c r="W269" s="88">
        <v>0</v>
      </c>
      <c r="X269" s="88">
        <v>20</v>
      </c>
      <c r="Y269" s="88">
        <v>0</v>
      </c>
      <c r="Z269" s="88">
        <v>10</v>
      </c>
      <c r="AA269" s="88">
        <v>0</v>
      </c>
      <c r="AB269" s="88">
        <v>1</v>
      </c>
      <c r="AC269" s="88">
        <v>0</v>
      </c>
      <c r="AD269" s="88">
        <v>0</v>
      </c>
      <c r="AE269" s="88" t="s">
        <v>1133</v>
      </c>
      <c r="AF269" s="88">
        <v>0</v>
      </c>
      <c r="AG269" s="88">
        <v>0</v>
      </c>
      <c r="AH269" s="88" t="s">
        <v>1133</v>
      </c>
      <c r="AI269" s="88" t="s">
        <v>1133</v>
      </c>
      <c r="AJ269" s="88" t="s">
        <v>1133</v>
      </c>
      <c r="AK269" s="88">
        <v>2</v>
      </c>
      <c r="AL269" s="88">
        <v>20</v>
      </c>
      <c r="AM269" s="88">
        <v>9</v>
      </c>
      <c r="AN269" s="88">
        <v>0</v>
      </c>
      <c r="AO269" s="88">
        <v>1</v>
      </c>
      <c r="AP269" s="88" t="s">
        <v>1134</v>
      </c>
      <c r="AQ269" s="88" t="s">
        <v>1133</v>
      </c>
      <c r="AR269" s="88">
        <v>0</v>
      </c>
      <c r="AS269" s="88"/>
      <c r="AT269" s="88"/>
      <c r="AU269" s="88">
        <v>0</v>
      </c>
      <c r="AV269" s="88" t="s">
        <v>1133</v>
      </c>
      <c r="AW269" s="88" t="s">
        <v>1133</v>
      </c>
      <c r="AX269" s="88">
        <v>0</v>
      </c>
      <c r="AY269" s="88">
        <v>0</v>
      </c>
      <c r="AZ269" s="88">
        <v>0</v>
      </c>
      <c r="BA269" s="88">
        <v>0</v>
      </c>
      <c r="BB269" s="88" t="s">
        <v>0</v>
      </c>
    </row>
    <row r="270" spans="1:54">
      <c r="A270" s="88">
        <v>270</v>
      </c>
      <c r="B270" s="88">
        <v>270</v>
      </c>
      <c r="C270" s="88"/>
      <c r="D270" s="88" t="s">
        <v>270</v>
      </c>
      <c r="E270" s="88">
        <v>0</v>
      </c>
      <c r="F270" s="88">
        <v>1148</v>
      </c>
      <c r="G270" s="88">
        <v>1</v>
      </c>
      <c r="H270" s="88">
        <v>2</v>
      </c>
      <c r="I270" s="88">
        <v>2</v>
      </c>
      <c r="J270" s="88">
        <v>0</v>
      </c>
      <c r="K270" s="88">
        <v>0</v>
      </c>
      <c r="L270" s="88">
        <v>1</v>
      </c>
      <c r="M270" s="88">
        <v>600</v>
      </c>
      <c r="N270" s="88">
        <v>34</v>
      </c>
      <c r="O270" s="88">
        <v>1</v>
      </c>
      <c r="P270" s="88">
        <v>1</v>
      </c>
      <c r="Q270" s="88">
        <v>1</v>
      </c>
      <c r="R270" s="88">
        <v>20</v>
      </c>
      <c r="S270" s="88">
        <v>10</v>
      </c>
      <c r="T270" s="88">
        <v>0</v>
      </c>
      <c r="U270" s="88">
        <v>0</v>
      </c>
      <c r="V270" s="88">
        <v>0</v>
      </c>
      <c r="W270" s="88">
        <v>0</v>
      </c>
      <c r="X270" s="88">
        <v>20</v>
      </c>
      <c r="Y270" s="88">
        <v>0</v>
      </c>
      <c r="Z270" s="88">
        <v>10</v>
      </c>
      <c r="AA270" s="88">
        <v>0</v>
      </c>
      <c r="AB270" s="88">
        <v>1</v>
      </c>
      <c r="AC270" s="88">
        <v>0</v>
      </c>
      <c r="AD270" s="88">
        <v>0</v>
      </c>
      <c r="AE270" s="88" t="s">
        <v>1133</v>
      </c>
      <c r="AF270" s="88">
        <v>0</v>
      </c>
      <c r="AG270" s="88">
        <v>0</v>
      </c>
      <c r="AH270" s="88" t="s">
        <v>1133</v>
      </c>
      <c r="AI270" s="88" t="s">
        <v>1133</v>
      </c>
      <c r="AJ270" s="88" t="s">
        <v>1133</v>
      </c>
      <c r="AK270" s="88">
        <v>2</v>
      </c>
      <c r="AL270" s="88">
        <v>20</v>
      </c>
      <c r="AM270" s="88">
        <v>9</v>
      </c>
      <c r="AN270" s="88">
        <v>0</v>
      </c>
      <c r="AO270" s="88">
        <v>1</v>
      </c>
      <c r="AP270" s="88" t="s">
        <v>1134</v>
      </c>
      <c r="AQ270" s="88" t="s">
        <v>1133</v>
      </c>
      <c r="AR270" s="88">
        <v>0</v>
      </c>
      <c r="AS270" s="88"/>
      <c r="AT270" s="88"/>
      <c r="AU270" s="88">
        <v>0</v>
      </c>
      <c r="AV270" s="88" t="s">
        <v>1133</v>
      </c>
      <c r="AW270" s="88" t="s">
        <v>1133</v>
      </c>
      <c r="AX270" s="88">
        <v>0</v>
      </c>
      <c r="AY270" s="88">
        <v>0</v>
      </c>
      <c r="AZ270" s="88">
        <v>0</v>
      </c>
      <c r="BA270" s="88">
        <v>0</v>
      </c>
      <c r="BB270" s="88" t="s">
        <v>0</v>
      </c>
    </row>
    <row r="271" spans="1:54">
      <c r="A271" s="88">
        <v>271</v>
      </c>
      <c r="B271" s="88">
        <v>271</v>
      </c>
      <c r="C271" s="88"/>
      <c r="D271" s="88" t="s">
        <v>271</v>
      </c>
      <c r="E271" s="88">
        <v>0</v>
      </c>
      <c r="F271" s="88">
        <v>1148</v>
      </c>
      <c r="G271" s="88">
        <v>1</v>
      </c>
      <c r="H271" s="88">
        <v>2</v>
      </c>
      <c r="I271" s="88">
        <v>2</v>
      </c>
      <c r="J271" s="88">
        <v>0</v>
      </c>
      <c r="K271" s="88">
        <v>0</v>
      </c>
      <c r="L271" s="88">
        <v>1</v>
      </c>
      <c r="M271" s="88">
        <v>800</v>
      </c>
      <c r="N271" s="88">
        <v>34</v>
      </c>
      <c r="O271" s="88">
        <v>1</v>
      </c>
      <c r="P271" s="88">
        <v>1</v>
      </c>
      <c r="Q271" s="88">
        <v>1</v>
      </c>
      <c r="R271" s="88">
        <v>20</v>
      </c>
      <c r="S271" s="88">
        <v>10</v>
      </c>
      <c r="T271" s="88">
        <v>0</v>
      </c>
      <c r="U271" s="88">
        <v>0</v>
      </c>
      <c r="V271" s="88">
        <v>0</v>
      </c>
      <c r="W271" s="88">
        <v>0</v>
      </c>
      <c r="X271" s="88">
        <v>20</v>
      </c>
      <c r="Y271" s="88">
        <v>0</v>
      </c>
      <c r="Z271" s="88">
        <v>10</v>
      </c>
      <c r="AA271" s="88">
        <v>0</v>
      </c>
      <c r="AB271" s="88">
        <v>1</v>
      </c>
      <c r="AC271" s="88">
        <v>0</v>
      </c>
      <c r="AD271" s="88">
        <v>0</v>
      </c>
      <c r="AE271" s="88" t="s">
        <v>1133</v>
      </c>
      <c r="AF271" s="88">
        <v>0</v>
      </c>
      <c r="AG271" s="88">
        <v>0</v>
      </c>
      <c r="AH271" s="88" t="s">
        <v>1133</v>
      </c>
      <c r="AI271" s="88" t="s">
        <v>1133</v>
      </c>
      <c r="AJ271" s="88" t="s">
        <v>1133</v>
      </c>
      <c r="AK271" s="88">
        <v>2</v>
      </c>
      <c r="AL271" s="88">
        <v>20</v>
      </c>
      <c r="AM271" s="88">
        <v>9</v>
      </c>
      <c r="AN271" s="88">
        <v>0</v>
      </c>
      <c r="AO271" s="88">
        <v>1</v>
      </c>
      <c r="AP271" s="88" t="s">
        <v>1134</v>
      </c>
      <c r="AQ271" s="88" t="s">
        <v>1133</v>
      </c>
      <c r="AR271" s="88">
        <v>0</v>
      </c>
      <c r="AS271" s="88"/>
      <c r="AT271" s="88"/>
      <c r="AU271" s="88">
        <v>0</v>
      </c>
      <c r="AV271" s="88" t="s">
        <v>1133</v>
      </c>
      <c r="AW271" s="88" t="s">
        <v>1133</v>
      </c>
      <c r="AX271" s="88">
        <v>0</v>
      </c>
      <c r="AY271" s="88">
        <v>0</v>
      </c>
      <c r="AZ271" s="88">
        <v>0</v>
      </c>
      <c r="BA271" s="88">
        <v>0</v>
      </c>
      <c r="BB271" s="88" t="s">
        <v>0</v>
      </c>
    </row>
    <row r="272" spans="1:54">
      <c r="A272" s="88">
        <v>272</v>
      </c>
      <c r="B272" s="88">
        <v>272</v>
      </c>
      <c r="C272" s="88"/>
      <c r="D272" s="88" t="s">
        <v>272</v>
      </c>
      <c r="E272" s="88">
        <v>0</v>
      </c>
      <c r="F272" s="88">
        <v>1145</v>
      </c>
      <c r="G272" s="88">
        <v>1</v>
      </c>
      <c r="H272" s="88">
        <v>2</v>
      </c>
      <c r="I272" s="88">
        <v>2</v>
      </c>
      <c r="J272" s="88">
        <v>0</v>
      </c>
      <c r="K272" s="88">
        <v>0</v>
      </c>
      <c r="L272" s="88">
        <v>1</v>
      </c>
      <c r="M272" s="88">
        <v>5</v>
      </c>
      <c r="N272" s="88">
        <v>34</v>
      </c>
      <c r="O272" s="88">
        <v>1</v>
      </c>
      <c r="P272" s="88">
        <v>1</v>
      </c>
      <c r="Q272" s="88">
        <v>1</v>
      </c>
      <c r="R272" s="88">
        <v>20</v>
      </c>
      <c r="S272" s="88">
        <v>10</v>
      </c>
      <c r="T272" s="88">
        <v>0</v>
      </c>
      <c r="U272" s="88">
        <v>0</v>
      </c>
      <c r="V272" s="88">
        <v>0</v>
      </c>
      <c r="W272" s="88">
        <v>0</v>
      </c>
      <c r="X272" s="88">
        <v>20</v>
      </c>
      <c r="Y272" s="88">
        <v>0</v>
      </c>
      <c r="Z272" s="88">
        <v>10</v>
      </c>
      <c r="AA272" s="88">
        <v>0</v>
      </c>
      <c r="AB272" s="88">
        <v>1</v>
      </c>
      <c r="AC272" s="88">
        <v>0</v>
      </c>
      <c r="AD272" s="88">
        <v>0</v>
      </c>
      <c r="AE272" s="88" t="s">
        <v>1133</v>
      </c>
      <c r="AF272" s="88">
        <v>0</v>
      </c>
      <c r="AG272" s="88">
        <v>0</v>
      </c>
      <c r="AH272" s="88" t="s">
        <v>1133</v>
      </c>
      <c r="AI272" s="88" t="s">
        <v>1133</v>
      </c>
      <c r="AJ272" s="88" t="s">
        <v>1133</v>
      </c>
      <c r="AK272" s="88">
        <v>2</v>
      </c>
      <c r="AL272" s="88">
        <v>20</v>
      </c>
      <c r="AM272" s="88">
        <v>9</v>
      </c>
      <c r="AN272" s="88">
        <v>0</v>
      </c>
      <c r="AO272" s="88">
        <v>1</v>
      </c>
      <c r="AP272" s="88" t="s">
        <v>1134</v>
      </c>
      <c r="AQ272" s="88" t="s">
        <v>1133</v>
      </c>
      <c r="AR272" s="88">
        <v>0</v>
      </c>
      <c r="AS272" s="88"/>
      <c r="AT272" s="88"/>
      <c r="AU272" s="88">
        <v>0</v>
      </c>
      <c r="AV272" s="88" t="s">
        <v>1133</v>
      </c>
      <c r="AW272" s="88" t="s">
        <v>1133</v>
      </c>
      <c r="AX272" s="88">
        <v>0</v>
      </c>
      <c r="AY272" s="88">
        <v>0</v>
      </c>
      <c r="AZ272" s="88">
        <v>0</v>
      </c>
      <c r="BA272" s="88">
        <v>0</v>
      </c>
      <c r="BB272" s="88" t="s">
        <v>0</v>
      </c>
    </row>
    <row r="273" spans="1:54">
      <c r="A273" s="88">
        <v>273</v>
      </c>
      <c r="B273" s="88">
        <v>273</v>
      </c>
      <c r="C273" s="88"/>
      <c r="D273" s="88" t="s">
        <v>273</v>
      </c>
      <c r="E273" s="88">
        <v>0</v>
      </c>
      <c r="F273" s="88">
        <v>1145</v>
      </c>
      <c r="G273" s="88">
        <v>1</v>
      </c>
      <c r="H273" s="88">
        <v>2</v>
      </c>
      <c r="I273" s="88">
        <v>2</v>
      </c>
      <c r="J273" s="88">
        <v>0</v>
      </c>
      <c r="K273" s="88">
        <v>0</v>
      </c>
      <c r="L273" s="88">
        <v>1</v>
      </c>
      <c r="M273" s="88">
        <v>7</v>
      </c>
      <c r="N273" s="88">
        <v>34</v>
      </c>
      <c r="O273" s="88">
        <v>1</v>
      </c>
      <c r="P273" s="88">
        <v>1</v>
      </c>
      <c r="Q273" s="88">
        <v>1</v>
      </c>
      <c r="R273" s="88">
        <v>20</v>
      </c>
      <c r="S273" s="88">
        <v>10</v>
      </c>
      <c r="T273" s="88">
        <v>0</v>
      </c>
      <c r="U273" s="88">
        <v>0</v>
      </c>
      <c r="V273" s="88">
        <v>0</v>
      </c>
      <c r="W273" s="88">
        <v>0</v>
      </c>
      <c r="X273" s="88">
        <v>20</v>
      </c>
      <c r="Y273" s="88">
        <v>0</v>
      </c>
      <c r="Z273" s="88">
        <v>10</v>
      </c>
      <c r="AA273" s="88">
        <v>0</v>
      </c>
      <c r="AB273" s="88">
        <v>1</v>
      </c>
      <c r="AC273" s="88">
        <v>0</v>
      </c>
      <c r="AD273" s="88">
        <v>0</v>
      </c>
      <c r="AE273" s="88" t="s">
        <v>1133</v>
      </c>
      <c r="AF273" s="88">
        <v>0</v>
      </c>
      <c r="AG273" s="88">
        <v>0</v>
      </c>
      <c r="AH273" s="88" t="s">
        <v>1133</v>
      </c>
      <c r="AI273" s="88" t="s">
        <v>1133</v>
      </c>
      <c r="AJ273" s="88" t="s">
        <v>1133</v>
      </c>
      <c r="AK273" s="88">
        <v>2</v>
      </c>
      <c r="AL273" s="88">
        <v>20</v>
      </c>
      <c r="AM273" s="88">
        <v>9</v>
      </c>
      <c r="AN273" s="88">
        <v>0</v>
      </c>
      <c r="AO273" s="88">
        <v>1</v>
      </c>
      <c r="AP273" s="88" t="s">
        <v>1134</v>
      </c>
      <c r="AQ273" s="88" t="s">
        <v>1133</v>
      </c>
      <c r="AR273" s="88">
        <v>0</v>
      </c>
      <c r="AS273" s="88"/>
      <c r="AT273" s="88"/>
      <c r="AU273" s="88">
        <v>0</v>
      </c>
      <c r="AV273" s="88" t="s">
        <v>1133</v>
      </c>
      <c r="AW273" s="88" t="s">
        <v>1133</v>
      </c>
      <c r="AX273" s="88">
        <v>0</v>
      </c>
      <c r="AY273" s="88">
        <v>0</v>
      </c>
      <c r="AZ273" s="88">
        <v>0</v>
      </c>
      <c r="BA273" s="88">
        <v>0</v>
      </c>
      <c r="BB273" s="88" t="s">
        <v>0</v>
      </c>
    </row>
    <row r="274" spans="1:54">
      <c r="A274" s="88">
        <v>274</v>
      </c>
      <c r="B274" s="88">
        <v>274</v>
      </c>
      <c r="C274" s="88"/>
      <c r="D274" s="88" t="s">
        <v>274</v>
      </c>
      <c r="E274" s="88">
        <v>0</v>
      </c>
      <c r="F274" s="88">
        <v>1145</v>
      </c>
      <c r="G274" s="88">
        <v>1</v>
      </c>
      <c r="H274" s="88">
        <v>2</v>
      </c>
      <c r="I274" s="88">
        <v>2</v>
      </c>
      <c r="J274" s="88">
        <v>0</v>
      </c>
      <c r="K274" s="88">
        <v>0</v>
      </c>
      <c r="L274" s="88">
        <v>1</v>
      </c>
      <c r="M274" s="88">
        <v>10</v>
      </c>
      <c r="N274" s="88">
        <v>34</v>
      </c>
      <c r="O274" s="88">
        <v>1</v>
      </c>
      <c r="P274" s="88">
        <v>1</v>
      </c>
      <c r="Q274" s="88">
        <v>1</v>
      </c>
      <c r="R274" s="88">
        <v>20</v>
      </c>
      <c r="S274" s="88">
        <v>10</v>
      </c>
      <c r="T274" s="88">
        <v>0</v>
      </c>
      <c r="U274" s="88">
        <v>0</v>
      </c>
      <c r="V274" s="88">
        <v>0</v>
      </c>
      <c r="W274" s="88">
        <v>0</v>
      </c>
      <c r="X274" s="88">
        <v>20</v>
      </c>
      <c r="Y274" s="88">
        <v>0</v>
      </c>
      <c r="Z274" s="88">
        <v>10</v>
      </c>
      <c r="AA274" s="88">
        <v>0</v>
      </c>
      <c r="AB274" s="88">
        <v>1</v>
      </c>
      <c r="AC274" s="88">
        <v>0</v>
      </c>
      <c r="AD274" s="88">
        <v>0</v>
      </c>
      <c r="AE274" s="88" t="s">
        <v>1133</v>
      </c>
      <c r="AF274" s="88">
        <v>0</v>
      </c>
      <c r="AG274" s="88">
        <v>0</v>
      </c>
      <c r="AH274" s="88" t="s">
        <v>1133</v>
      </c>
      <c r="AI274" s="88" t="s">
        <v>1133</v>
      </c>
      <c r="AJ274" s="88" t="s">
        <v>1133</v>
      </c>
      <c r="AK274" s="88">
        <v>2</v>
      </c>
      <c r="AL274" s="88">
        <v>20</v>
      </c>
      <c r="AM274" s="88">
        <v>9</v>
      </c>
      <c r="AN274" s="88">
        <v>0</v>
      </c>
      <c r="AO274" s="88">
        <v>1</v>
      </c>
      <c r="AP274" s="88" t="s">
        <v>1134</v>
      </c>
      <c r="AQ274" s="88" t="s">
        <v>1133</v>
      </c>
      <c r="AR274" s="88">
        <v>0</v>
      </c>
      <c r="AS274" s="88"/>
      <c r="AT274" s="88"/>
      <c r="AU274" s="88">
        <v>0</v>
      </c>
      <c r="AV274" s="88" t="s">
        <v>1133</v>
      </c>
      <c r="AW274" s="88" t="s">
        <v>1133</v>
      </c>
      <c r="AX274" s="88">
        <v>0</v>
      </c>
      <c r="AY274" s="88">
        <v>0</v>
      </c>
      <c r="AZ274" s="88">
        <v>0</v>
      </c>
      <c r="BA274" s="88">
        <v>0</v>
      </c>
      <c r="BB274" s="88" t="s">
        <v>0</v>
      </c>
    </row>
    <row r="275" spans="1:54">
      <c r="A275" s="88">
        <v>275</v>
      </c>
      <c r="B275" s="88">
        <v>275</v>
      </c>
      <c r="C275" s="88"/>
      <c r="D275" s="88" t="s">
        <v>275</v>
      </c>
      <c r="E275" s="88">
        <v>0</v>
      </c>
      <c r="F275" s="88">
        <v>1145</v>
      </c>
      <c r="G275" s="88">
        <v>1</v>
      </c>
      <c r="H275" s="88">
        <v>2</v>
      </c>
      <c r="I275" s="88">
        <v>2</v>
      </c>
      <c r="J275" s="88">
        <v>0</v>
      </c>
      <c r="K275" s="88">
        <v>0</v>
      </c>
      <c r="L275" s="88">
        <v>1</v>
      </c>
      <c r="M275" s="88">
        <v>14</v>
      </c>
      <c r="N275" s="88">
        <v>34</v>
      </c>
      <c r="O275" s="88">
        <v>1</v>
      </c>
      <c r="P275" s="88">
        <v>1</v>
      </c>
      <c r="Q275" s="88">
        <v>1</v>
      </c>
      <c r="R275" s="88">
        <v>20</v>
      </c>
      <c r="S275" s="88">
        <v>10</v>
      </c>
      <c r="T275" s="88">
        <v>0</v>
      </c>
      <c r="U275" s="88">
        <v>0</v>
      </c>
      <c r="V275" s="88">
        <v>0</v>
      </c>
      <c r="W275" s="88">
        <v>0</v>
      </c>
      <c r="X275" s="88">
        <v>20</v>
      </c>
      <c r="Y275" s="88">
        <v>0</v>
      </c>
      <c r="Z275" s="88">
        <v>10</v>
      </c>
      <c r="AA275" s="88">
        <v>0</v>
      </c>
      <c r="AB275" s="88">
        <v>1</v>
      </c>
      <c r="AC275" s="88">
        <v>0</v>
      </c>
      <c r="AD275" s="88">
        <v>0</v>
      </c>
      <c r="AE275" s="88" t="s">
        <v>1133</v>
      </c>
      <c r="AF275" s="88">
        <v>0</v>
      </c>
      <c r="AG275" s="88">
        <v>0</v>
      </c>
      <c r="AH275" s="88" t="s">
        <v>1133</v>
      </c>
      <c r="AI275" s="88" t="s">
        <v>1133</v>
      </c>
      <c r="AJ275" s="88" t="s">
        <v>1133</v>
      </c>
      <c r="AK275" s="88">
        <v>2</v>
      </c>
      <c r="AL275" s="88">
        <v>20</v>
      </c>
      <c r="AM275" s="88">
        <v>9</v>
      </c>
      <c r="AN275" s="88">
        <v>0</v>
      </c>
      <c r="AO275" s="88">
        <v>1</v>
      </c>
      <c r="AP275" s="88" t="s">
        <v>1134</v>
      </c>
      <c r="AQ275" s="88" t="s">
        <v>1133</v>
      </c>
      <c r="AR275" s="88">
        <v>0</v>
      </c>
      <c r="AS275" s="88"/>
      <c r="AT275" s="88"/>
      <c r="AU275" s="88">
        <v>0</v>
      </c>
      <c r="AV275" s="88" t="s">
        <v>1133</v>
      </c>
      <c r="AW275" s="88" t="s">
        <v>1133</v>
      </c>
      <c r="AX275" s="88">
        <v>0</v>
      </c>
      <c r="AY275" s="88">
        <v>0</v>
      </c>
      <c r="AZ275" s="88">
        <v>0</v>
      </c>
      <c r="BA275" s="88">
        <v>0</v>
      </c>
      <c r="BB275" s="88" t="s">
        <v>0</v>
      </c>
    </row>
    <row r="276" spans="1:54">
      <c r="A276" s="88">
        <v>276</v>
      </c>
      <c r="B276" s="88">
        <v>276</v>
      </c>
      <c r="C276" s="88"/>
      <c r="D276" s="88" t="s">
        <v>276</v>
      </c>
      <c r="E276" s="88">
        <v>0</v>
      </c>
      <c r="F276" s="88">
        <v>1145</v>
      </c>
      <c r="G276" s="88">
        <v>1</v>
      </c>
      <c r="H276" s="88">
        <v>2</v>
      </c>
      <c r="I276" s="88">
        <v>2</v>
      </c>
      <c r="J276" s="88">
        <v>0</v>
      </c>
      <c r="K276" s="88">
        <v>0</v>
      </c>
      <c r="L276" s="88">
        <v>1</v>
      </c>
      <c r="M276" s="88">
        <v>20</v>
      </c>
      <c r="N276" s="88">
        <v>34</v>
      </c>
      <c r="O276" s="88">
        <v>1</v>
      </c>
      <c r="P276" s="88">
        <v>1</v>
      </c>
      <c r="Q276" s="88">
        <v>1</v>
      </c>
      <c r="R276" s="88">
        <v>20</v>
      </c>
      <c r="S276" s="88">
        <v>10</v>
      </c>
      <c r="T276" s="88">
        <v>0</v>
      </c>
      <c r="U276" s="88">
        <v>0</v>
      </c>
      <c r="V276" s="88">
        <v>0</v>
      </c>
      <c r="W276" s="88">
        <v>0</v>
      </c>
      <c r="X276" s="88">
        <v>20</v>
      </c>
      <c r="Y276" s="88">
        <v>0</v>
      </c>
      <c r="Z276" s="88">
        <v>10</v>
      </c>
      <c r="AA276" s="88">
        <v>0</v>
      </c>
      <c r="AB276" s="88">
        <v>1</v>
      </c>
      <c r="AC276" s="88">
        <v>0</v>
      </c>
      <c r="AD276" s="88">
        <v>0</v>
      </c>
      <c r="AE276" s="88" t="s">
        <v>1133</v>
      </c>
      <c r="AF276" s="88">
        <v>0</v>
      </c>
      <c r="AG276" s="88">
        <v>0</v>
      </c>
      <c r="AH276" s="88" t="s">
        <v>1133</v>
      </c>
      <c r="AI276" s="88" t="s">
        <v>1133</v>
      </c>
      <c r="AJ276" s="88" t="s">
        <v>1133</v>
      </c>
      <c r="AK276" s="88">
        <v>2</v>
      </c>
      <c r="AL276" s="88">
        <v>20</v>
      </c>
      <c r="AM276" s="88">
        <v>9</v>
      </c>
      <c r="AN276" s="88">
        <v>0</v>
      </c>
      <c r="AO276" s="88">
        <v>1</v>
      </c>
      <c r="AP276" s="88" t="s">
        <v>1134</v>
      </c>
      <c r="AQ276" s="88" t="s">
        <v>1133</v>
      </c>
      <c r="AR276" s="88">
        <v>0</v>
      </c>
      <c r="AS276" s="88"/>
      <c r="AT276" s="88"/>
      <c r="AU276" s="88">
        <v>0</v>
      </c>
      <c r="AV276" s="88" t="s">
        <v>1133</v>
      </c>
      <c r="AW276" s="88" t="s">
        <v>1133</v>
      </c>
      <c r="AX276" s="88">
        <v>0</v>
      </c>
      <c r="AY276" s="88">
        <v>0</v>
      </c>
      <c r="AZ276" s="88">
        <v>0</v>
      </c>
      <c r="BA276" s="88">
        <v>0</v>
      </c>
      <c r="BB276" s="88" t="s">
        <v>0</v>
      </c>
    </row>
    <row r="277" spans="1:54">
      <c r="A277" s="88">
        <v>277</v>
      </c>
      <c r="B277" s="88">
        <v>277</v>
      </c>
      <c r="C277" s="88"/>
      <c r="D277" s="88" t="s">
        <v>285</v>
      </c>
      <c r="E277" s="88">
        <v>0</v>
      </c>
      <c r="F277" s="88">
        <v>1145</v>
      </c>
      <c r="G277" s="88">
        <v>1</v>
      </c>
      <c r="H277" s="88">
        <v>2</v>
      </c>
      <c r="I277" s="88">
        <v>2</v>
      </c>
      <c r="J277" s="88">
        <v>0</v>
      </c>
      <c r="K277" s="88">
        <v>0</v>
      </c>
      <c r="L277" s="88">
        <v>1</v>
      </c>
      <c r="M277" s="88">
        <v>30</v>
      </c>
      <c r="N277" s="88">
        <v>34</v>
      </c>
      <c r="O277" s="88">
        <v>1</v>
      </c>
      <c r="P277" s="88">
        <v>1</v>
      </c>
      <c r="Q277" s="88">
        <v>1</v>
      </c>
      <c r="R277" s="88">
        <v>20</v>
      </c>
      <c r="S277" s="88">
        <v>10</v>
      </c>
      <c r="T277" s="88">
        <v>0</v>
      </c>
      <c r="U277" s="88">
        <v>0</v>
      </c>
      <c r="V277" s="88">
        <v>0</v>
      </c>
      <c r="W277" s="88">
        <v>0</v>
      </c>
      <c r="X277" s="88">
        <v>20</v>
      </c>
      <c r="Y277" s="88">
        <v>0</v>
      </c>
      <c r="Z277" s="88">
        <v>10</v>
      </c>
      <c r="AA277" s="88">
        <v>0</v>
      </c>
      <c r="AB277" s="88">
        <v>1</v>
      </c>
      <c r="AC277" s="88">
        <v>0</v>
      </c>
      <c r="AD277" s="88">
        <v>0</v>
      </c>
      <c r="AE277" s="88" t="s">
        <v>1133</v>
      </c>
      <c r="AF277" s="88">
        <v>0</v>
      </c>
      <c r="AG277" s="88">
        <v>0</v>
      </c>
      <c r="AH277" s="88" t="s">
        <v>1133</v>
      </c>
      <c r="AI277" s="88" t="s">
        <v>1133</v>
      </c>
      <c r="AJ277" s="88" t="s">
        <v>1133</v>
      </c>
      <c r="AK277" s="88">
        <v>2</v>
      </c>
      <c r="AL277" s="88">
        <v>20</v>
      </c>
      <c r="AM277" s="88">
        <v>9</v>
      </c>
      <c r="AN277" s="88">
        <v>0</v>
      </c>
      <c r="AO277" s="88">
        <v>1</v>
      </c>
      <c r="AP277" s="88" t="s">
        <v>1134</v>
      </c>
      <c r="AQ277" s="88" t="s">
        <v>1133</v>
      </c>
      <c r="AR277" s="88">
        <v>0</v>
      </c>
      <c r="AS277" s="88"/>
      <c r="AT277" s="88"/>
      <c r="AU277" s="88">
        <v>0</v>
      </c>
      <c r="AV277" s="88" t="s">
        <v>1133</v>
      </c>
      <c r="AW277" s="88" t="s">
        <v>1133</v>
      </c>
      <c r="AX277" s="88">
        <v>0</v>
      </c>
      <c r="AY277" s="88">
        <v>0</v>
      </c>
      <c r="AZ277" s="88">
        <v>0</v>
      </c>
      <c r="BA277" s="88">
        <v>0</v>
      </c>
      <c r="BB277" s="88" t="s">
        <v>0</v>
      </c>
    </row>
    <row r="278" spans="1:54">
      <c r="A278" s="88">
        <v>278</v>
      </c>
      <c r="B278" s="88">
        <v>278</v>
      </c>
      <c r="C278" s="88"/>
      <c r="D278" s="88" t="s">
        <v>278</v>
      </c>
      <c r="E278" s="88">
        <v>0</v>
      </c>
      <c r="F278" s="88">
        <v>1145</v>
      </c>
      <c r="G278" s="88">
        <v>1</v>
      </c>
      <c r="H278" s="88">
        <v>2</v>
      </c>
      <c r="I278" s="88">
        <v>2</v>
      </c>
      <c r="J278" s="88">
        <v>0</v>
      </c>
      <c r="K278" s="88">
        <v>0</v>
      </c>
      <c r="L278" s="88">
        <v>1</v>
      </c>
      <c r="M278" s="88">
        <v>40</v>
      </c>
      <c r="N278" s="88">
        <v>34</v>
      </c>
      <c r="O278" s="88">
        <v>1</v>
      </c>
      <c r="P278" s="88">
        <v>1</v>
      </c>
      <c r="Q278" s="88">
        <v>1</v>
      </c>
      <c r="R278" s="88">
        <v>20</v>
      </c>
      <c r="S278" s="88">
        <v>10</v>
      </c>
      <c r="T278" s="88">
        <v>0</v>
      </c>
      <c r="U278" s="88">
        <v>0</v>
      </c>
      <c r="V278" s="88">
        <v>0</v>
      </c>
      <c r="W278" s="88">
        <v>0</v>
      </c>
      <c r="X278" s="88">
        <v>20</v>
      </c>
      <c r="Y278" s="88">
        <v>0</v>
      </c>
      <c r="Z278" s="88">
        <v>10</v>
      </c>
      <c r="AA278" s="88">
        <v>0</v>
      </c>
      <c r="AB278" s="88">
        <v>1</v>
      </c>
      <c r="AC278" s="88">
        <v>0</v>
      </c>
      <c r="AD278" s="88">
        <v>0</v>
      </c>
      <c r="AE278" s="88" t="s">
        <v>1133</v>
      </c>
      <c r="AF278" s="88">
        <v>0</v>
      </c>
      <c r="AG278" s="88">
        <v>0</v>
      </c>
      <c r="AH278" s="88" t="s">
        <v>1133</v>
      </c>
      <c r="AI278" s="88" t="s">
        <v>1133</v>
      </c>
      <c r="AJ278" s="88" t="s">
        <v>1133</v>
      </c>
      <c r="AK278" s="88">
        <v>2</v>
      </c>
      <c r="AL278" s="88">
        <v>20</v>
      </c>
      <c r="AM278" s="88">
        <v>9</v>
      </c>
      <c r="AN278" s="88">
        <v>0</v>
      </c>
      <c r="AO278" s="88">
        <v>1</v>
      </c>
      <c r="AP278" s="88" t="s">
        <v>1134</v>
      </c>
      <c r="AQ278" s="88" t="s">
        <v>1133</v>
      </c>
      <c r="AR278" s="88">
        <v>0</v>
      </c>
      <c r="AS278" s="88"/>
      <c r="AT278" s="88"/>
      <c r="AU278" s="88">
        <v>0</v>
      </c>
      <c r="AV278" s="88" t="s">
        <v>1133</v>
      </c>
      <c r="AW278" s="88" t="s">
        <v>1133</v>
      </c>
      <c r="AX278" s="88">
        <v>0</v>
      </c>
      <c r="AY278" s="88">
        <v>0</v>
      </c>
      <c r="AZ278" s="88">
        <v>0</v>
      </c>
      <c r="BA278" s="88">
        <v>0</v>
      </c>
      <c r="BB278" s="88" t="s">
        <v>0</v>
      </c>
    </row>
    <row r="279" spans="1:54">
      <c r="A279" s="88">
        <v>279</v>
      </c>
      <c r="B279" s="88">
        <v>279</v>
      </c>
      <c r="C279" s="88"/>
      <c r="D279" s="88" t="s">
        <v>279</v>
      </c>
      <c r="E279" s="88">
        <v>0</v>
      </c>
      <c r="F279" s="88">
        <v>1145</v>
      </c>
      <c r="G279" s="88">
        <v>1</v>
      </c>
      <c r="H279" s="88">
        <v>2</v>
      </c>
      <c r="I279" s="88">
        <v>2</v>
      </c>
      <c r="J279" s="88">
        <v>0</v>
      </c>
      <c r="K279" s="88">
        <v>0</v>
      </c>
      <c r="L279" s="88">
        <v>1</v>
      </c>
      <c r="M279" s="88">
        <v>50</v>
      </c>
      <c r="N279" s="88">
        <v>34</v>
      </c>
      <c r="O279" s="88">
        <v>1</v>
      </c>
      <c r="P279" s="88">
        <v>1</v>
      </c>
      <c r="Q279" s="88">
        <v>1</v>
      </c>
      <c r="R279" s="88">
        <v>20</v>
      </c>
      <c r="S279" s="88">
        <v>10</v>
      </c>
      <c r="T279" s="88">
        <v>0</v>
      </c>
      <c r="U279" s="88">
        <v>0</v>
      </c>
      <c r="V279" s="88">
        <v>0</v>
      </c>
      <c r="W279" s="88">
        <v>0</v>
      </c>
      <c r="X279" s="88">
        <v>20</v>
      </c>
      <c r="Y279" s="88">
        <v>0</v>
      </c>
      <c r="Z279" s="88">
        <v>10</v>
      </c>
      <c r="AA279" s="88">
        <v>0</v>
      </c>
      <c r="AB279" s="88">
        <v>1</v>
      </c>
      <c r="AC279" s="88">
        <v>0</v>
      </c>
      <c r="AD279" s="88">
        <v>0</v>
      </c>
      <c r="AE279" s="88" t="s">
        <v>1133</v>
      </c>
      <c r="AF279" s="88">
        <v>0</v>
      </c>
      <c r="AG279" s="88">
        <v>0</v>
      </c>
      <c r="AH279" s="88" t="s">
        <v>1133</v>
      </c>
      <c r="AI279" s="88" t="s">
        <v>1133</v>
      </c>
      <c r="AJ279" s="88" t="s">
        <v>1133</v>
      </c>
      <c r="AK279" s="88">
        <v>2</v>
      </c>
      <c r="AL279" s="88">
        <v>20</v>
      </c>
      <c r="AM279" s="88">
        <v>9</v>
      </c>
      <c r="AN279" s="88">
        <v>0</v>
      </c>
      <c r="AO279" s="88">
        <v>1</v>
      </c>
      <c r="AP279" s="88" t="s">
        <v>1134</v>
      </c>
      <c r="AQ279" s="88" t="s">
        <v>1133</v>
      </c>
      <c r="AR279" s="88">
        <v>0</v>
      </c>
      <c r="AS279" s="88"/>
      <c r="AT279" s="88"/>
      <c r="AU279" s="88">
        <v>0</v>
      </c>
      <c r="AV279" s="88" t="s">
        <v>1133</v>
      </c>
      <c r="AW279" s="88" t="s">
        <v>1133</v>
      </c>
      <c r="AX279" s="88">
        <v>0</v>
      </c>
      <c r="AY279" s="88">
        <v>0</v>
      </c>
      <c r="AZ279" s="88">
        <v>0</v>
      </c>
      <c r="BA279" s="88">
        <v>0</v>
      </c>
      <c r="BB279" s="88" t="s">
        <v>0</v>
      </c>
    </row>
    <row r="280" spans="1:54">
      <c r="A280" s="88">
        <v>280</v>
      </c>
      <c r="B280" s="88">
        <v>280</v>
      </c>
      <c r="C280" s="88"/>
      <c r="D280" s="88" t="s">
        <v>280</v>
      </c>
      <c r="E280" s="88">
        <v>0</v>
      </c>
      <c r="F280" s="88">
        <v>1145</v>
      </c>
      <c r="G280" s="88">
        <v>1</v>
      </c>
      <c r="H280" s="88">
        <v>2</v>
      </c>
      <c r="I280" s="88">
        <v>2</v>
      </c>
      <c r="J280" s="88">
        <v>0</v>
      </c>
      <c r="K280" s="88">
        <v>0</v>
      </c>
      <c r="L280" s="88">
        <v>1</v>
      </c>
      <c r="M280" s="88">
        <v>5</v>
      </c>
      <c r="N280" s="88">
        <v>34</v>
      </c>
      <c r="O280" s="88">
        <v>1</v>
      </c>
      <c r="P280" s="88">
        <v>1</v>
      </c>
      <c r="Q280" s="88">
        <v>1</v>
      </c>
      <c r="R280" s="88">
        <v>20</v>
      </c>
      <c r="S280" s="88">
        <v>10</v>
      </c>
      <c r="T280" s="88">
        <v>0</v>
      </c>
      <c r="U280" s="88">
        <v>0</v>
      </c>
      <c r="V280" s="88">
        <v>0</v>
      </c>
      <c r="W280" s="88">
        <v>0</v>
      </c>
      <c r="X280" s="88">
        <v>20</v>
      </c>
      <c r="Y280" s="88">
        <v>0</v>
      </c>
      <c r="Z280" s="88">
        <v>10</v>
      </c>
      <c r="AA280" s="88">
        <v>0</v>
      </c>
      <c r="AB280" s="88">
        <v>1</v>
      </c>
      <c r="AC280" s="88">
        <v>0</v>
      </c>
      <c r="AD280" s="88">
        <v>0</v>
      </c>
      <c r="AE280" s="88" t="s">
        <v>1133</v>
      </c>
      <c r="AF280" s="88">
        <v>0</v>
      </c>
      <c r="AG280" s="88">
        <v>0</v>
      </c>
      <c r="AH280" s="88" t="s">
        <v>1133</v>
      </c>
      <c r="AI280" s="88" t="s">
        <v>1133</v>
      </c>
      <c r="AJ280" s="88" t="s">
        <v>1133</v>
      </c>
      <c r="AK280" s="88">
        <v>2</v>
      </c>
      <c r="AL280" s="88">
        <v>20</v>
      </c>
      <c r="AM280" s="88">
        <v>9</v>
      </c>
      <c r="AN280" s="88">
        <v>0</v>
      </c>
      <c r="AO280" s="88">
        <v>1</v>
      </c>
      <c r="AP280" s="88" t="s">
        <v>1134</v>
      </c>
      <c r="AQ280" s="88" t="s">
        <v>1133</v>
      </c>
      <c r="AR280" s="88">
        <v>0</v>
      </c>
      <c r="AS280" s="88"/>
      <c r="AT280" s="88"/>
      <c r="AU280" s="88">
        <v>0</v>
      </c>
      <c r="AV280" s="88" t="s">
        <v>1133</v>
      </c>
      <c r="AW280" s="88" t="s">
        <v>1133</v>
      </c>
      <c r="AX280" s="88">
        <v>0</v>
      </c>
      <c r="AY280" s="88">
        <v>0</v>
      </c>
      <c r="AZ280" s="88">
        <v>0</v>
      </c>
      <c r="BA280" s="88">
        <v>0</v>
      </c>
      <c r="BB280" s="88" t="s">
        <v>0</v>
      </c>
    </row>
    <row r="281" spans="1:54">
      <c r="A281" s="88">
        <v>281</v>
      </c>
      <c r="B281" s="88">
        <v>281</v>
      </c>
      <c r="C281" s="88"/>
      <c r="D281" s="88" t="s">
        <v>281</v>
      </c>
      <c r="E281" s="88">
        <v>0</v>
      </c>
      <c r="F281" s="88">
        <v>1145</v>
      </c>
      <c r="G281" s="88">
        <v>1</v>
      </c>
      <c r="H281" s="88">
        <v>2</v>
      </c>
      <c r="I281" s="88">
        <v>2</v>
      </c>
      <c r="J281" s="88">
        <v>0</v>
      </c>
      <c r="K281" s="88">
        <v>0</v>
      </c>
      <c r="L281" s="88">
        <v>1</v>
      </c>
      <c r="M281" s="88">
        <v>7</v>
      </c>
      <c r="N281" s="88">
        <v>34</v>
      </c>
      <c r="O281" s="88">
        <v>1</v>
      </c>
      <c r="P281" s="88">
        <v>1</v>
      </c>
      <c r="Q281" s="88">
        <v>1</v>
      </c>
      <c r="R281" s="88">
        <v>20</v>
      </c>
      <c r="S281" s="88">
        <v>10</v>
      </c>
      <c r="T281" s="88">
        <v>0</v>
      </c>
      <c r="U281" s="88">
        <v>0</v>
      </c>
      <c r="V281" s="88">
        <v>0</v>
      </c>
      <c r="W281" s="88">
        <v>0</v>
      </c>
      <c r="X281" s="88">
        <v>20</v>
      </c>
      <c r="Y281" s="88">
        <v>0</v>
      </c>
      <c r="Z281" s="88">
        <v>10</v>
      </c>
      <c r="AA281" s="88">
        <v>0</v>
      </c>
      <c r="AB281" s="88">
        <v>1</v>
      </c>
      <c r="AC281" s="88">
        <v>0</v>
      </c>
      <c r="AD281" s="88">
        <v>0</v>
      </c>
      <c r="AE281" s="88" t="s">
        <v>1133</v>
      </c>
      <c r="AF281" s="88">
        <v>0</v>
      </c>
      <c r="AG281" s="88">
        <v>0</v>
      </c>
      <c r="AH281" s="88" t="s">
        <v>1133</v>
      </c>
      <c r="AI281" s="88" t="s">
        <v>1133</v>
      </c>
      <c r="AJ281" s="88" t="s">
        <v>1133</v>
      </c>
      <c r="AK281" s="88">
        <v>2</v>
      </c>
      <c r="AL281" s="88">
        <v>20</v>
      </c>
      <c r="AM281" s="88">
        <v>9</v>
      </c>
      <c r="AN281" s="88">
        <v>0</v>
      </c>
      <c r="AO281" s="88">
        <v>1</v>
      </c>
      <c r="AP281" s="88" t="s">
        <v>1134</v>
      </c>
      <c r="AQ281" s="88" t="s">
        <v>1133</v>
      </c>
      <c r="AR281" s="88">
        <v>0</v>
      </c>
      <c r="AS281" s="88"/>
      <c r="AT281" s="88"/>
      <c r="AU281" s="88">
        <v>0</v>
      </c>
      <c r="AV281" s="88" t="s">
        <v>1133</v>
      </c>
      <c r="AW281" s="88" t="s">
        <v>1133</v>
      </c>
      <c r="AX281" s="88">
        <v>0</v>
      </c>
      <c r="AY281" s="88">
        <v>0</v>
      </c>
      <c r="AZ281" s="88">
        <v>0</v>
      </c>
      <c r="BA281" s="88">
        <v>0</v>
      </c>
      <c r="BB281" s="88" t="s">
        <v>0</v>
      </c>
    </row>
    <row r="282" spans="1:54">
      <c r="A282" s="88">
        <v>282</v>
      </c>
      <c r="B282" s="88">
        <v>282</v>
      </c>
      <c r="C282" s="88"/>
      <c r="D282" s="88" t="s">
        <v>282</v>
      </c>
      <c r="E282" s="88">
        <v>0</v>
      </c>
      <c r="F282" s="88">
        <v>1145</v>
      </c>
      <c r="G282" s="88">
        <v>1</v>
      </c>
      <c r="H282" s="88">
        <v>2</v>
      </c>
      <c r="I282" s="88">
        <v>2</v>
      </c>
      <c r="J282" s="88">
        <v>0</v>
      </c>
      <c r="K282" s="88">
        <v>0</v>
      </c>
      <c r="L282" s="88">
        <v>1</v>
      </c>
      <c r="M282" s="88">
        <v>10</v>
      </c>
      <c r="N282" s="88">
        <v>34</v>
      </c>
      <c r="O282" s="88">
        <v>1</v>
      </c>
      <c r="P282" s="88">
        <v>1</v>
      </c>
      <c r="Q282" s="88">
        <v>1</v>
      </c>
      <c r="R282" s="88">
        <v>20</v>
      </c>
      <c r="S282" s="88">
        <v>10</v>
      </c>
      <c r="T282" s="88">
        <v>0</v>
      </c>
      <c r="U282" s="88">
        <v>0</v>
      </c>
      <c r="V282" s="88">
        <v>0</v>
      </c>
      <c r="W282" s="88">
        <v>0</v>
      </c>
      <c r="X282" s="88">
        <v>20</v>
      </c>
      <c r="Y282" s="88">
        <v>0</v>
      </c>
      <c r="Z282" s="88">
        <v>10</v>
      </c>
      <c r="AA282" s="88">
        <v>0</v>
      </c>
      <c r="AB282" s="88">
        <v>1</v>
      </c>
      <c r="AC282" s="88">
        <v>0</v>
      </c>
      <c r="AD282" s="88">
        <v>0</v>
      </c>
      <c r="AE282" s="88" t="s">
        <v>1133</v>
      </c>
      <c r="AF282" s="88">
        <v>0</v>
      </c>
      <c r="AG282" s="88">
        <v>0</v>
      </c>
      <c r="AH282" s="88" t="s">
        <v>1133</v>
      </c>
      <c r="AI282" s="88" t="s">
        <v>1133</v>
      </c>
      <c r="AJ282" s="88" t="s">
        <v>1133</v>
      </c>
      <c r="AK282" s="88">
        <v>2</v>
      </c>
      <c r="AL282" s="88">
        <v>20</v>
      </c>
      <c r="AM282" s="88">
        <v>9</v>
      </c>
      <c r="AN282" s="88">
        <v>0</v>
      </c>
      <c r="AO282" s="88">
        <v>1</v>
      </c>
      <c r="AP282" s="88" t="s">
        <v>1134</v>
      </c>
      <c r="AQ282" s="88" t="s">
        <v>1133</v>
      </c>
      <c r="AR282" s="88">
        <v>0</v>
      </c>
      <c r="AS282" s="88"/>
      <c r="AT282" s="88"/>
      <c r="AU282" s="88">
        <v>0</v>
      </c>
      <c r="AV282" s="88" t="s">
        <v>1133</v>
      </c>
      <c r="AW282" s="88" t="s">
        <v>1133</v>
      </c>
      <c r="AX282" s="88">
        <v>0</v>
      </c>
      <c r="AY282" s="88">
        <v>0</v>
      </c>
      <c r="AZ282" s="88">
        <v>0</v>
      </c>
      <c r="BA282" s="88">
        <v>0</v>
      </c>
      <c r="BB282" s="88" t="s">
        <v>0</v>
      </c>
    </row>
    <row r="283" spans="1:54">
      <c r="A283" s="88">
        <v>283</v>
      </c>
      <c r="B283" s="88">
        <v>283</v>
      </c>
      <c r="C283" s="88"/>
      <c r="D283" s="88" t="s">
        <v>283</v>
      </c>
      <c r="E283" s="88">
        <v>0</v>
      </c>
      <c r="F283" s="88">
        <v>1145</v>
      </c>
      <c r="G283" s="88">
        <v>1</v>
      </c>
      <c r="H283" s="88">
        <v>2</v>
      </c>
      <c r="I283" s="88">
        <v>2</v>
      </c>
      <c r="J283" s="88">
        <v>0</v>
      </c>
      <c r="K283" s="88">
        <v>0</v>
      </c>
      <c r="L283" s="88">
        <v>1</v>
      </c>
      <c r="M283" s="88">
        <v>14</v>
      </c>
      <c r="N283" s="88">
        <v>34</v>
      </c>
      <c r="O283" s="88">
        <v>1</v>
      </c>
      <c r="P283" s="88">
        <v>1</v>
      </c>
      <c r="Q283" s="88">
        <v>1</v>
      </c>
      <c r="R283" s="88">
        <v>20</v>
      </c>
      <c r="S283" s="88">
        <v>10</v>
      </c>
      <c r="T283" s="88">
        <v>0</v>
      </c>
      <c r="U283" s="88">
        <v>0</v>
      </c>
      <c r="V283" s="88">
        <v>0</v>
      </c>
      <c r="W283" s="88">
        <v>0</v>
      </c>
      <c r="X283" s="88">
        <v>20</v>
      </c>
      <c r="Y283" s="88">
        <v>0</v>
      </c>
      <c r="Z283" s="88">
        <v>10</v>
      </c>
      <c r="AA283" s="88">
        <v>0</v>
      </c>
      <c r="AB283" s="88">
        <v>1</v>
      </c>
      <c r="AC283" s="88">
        <v>0</v>
      </c>
      <c r="AD283" s="88">
        <v>0</v>
      </c>
      <c r="AE283" s="88" t="s">
        <v>1133</v>
      </c>
      <c r="AF283" s="88">
        <v>0</v>
      </c>
      <c r="AG283" s="88">
        <v>0</v>
      </c>
      <c r="AH283" s="88" t="s">
        <v>1133</v>
      </c>
      <c r="AI283" s="88" t="s">
        <v>1133</v>
      </c>
      <c r="AJ283" s="88" t="s">
        <v>1133</v>
      </c>
      <c r="AK283" s="88">
        <v>2</v>
      </c>
      <c r="AL283" s="88">
        <v>20</v>
      </c>
      <c r="AM283" s="88">
        <v>9</v>
      </c>
      <c r="AN283" s="88">
        <v>0</v>
      </c>
      <c r="AO283" s="88">
        <v>1</v>
      </c>
      <c r="AP283" s="88" t="s">
        <v>1134</v>
      </c>
      <c r="AQ283" s="88" t="s">
        <v>1133</v>
      </c>
      <c r="AR283" s="88">
        <v>0</v>
      </c>
      <c r="AS283" s="88"/>
      <c r="AT283" s="88"/>
      <c r="AU283" s="88">
        <v>0</v>
      </c>
      <c r="AV283" s="88" t="s">
        <v>1133</v>
      </c>
      <c r="AW283" s="88" t="s">
        <v>1133</v>
      </c>
      <c r="AX283" s="88">
        <v>0</v>
      </c>
      <c r="AY283" s="88">
        <v>0</v>
      </c>
      <c r="AZ283" s="88">
        <v>0</v>
      </c>
      <c r="BA283" s="88">
        <v>0</v>
      </c>
      <c r="BB283" s="88" t="s">
        <v>0</v>
      </c>
    </row>
    <row r="284" spans="1:54">
      <c r="A284" s="88">
        <v>284</v>
      </c>
      <c r="B284" s="88">
        <v>284</v>
      </c>
      <c r="C284" s="88"/>
      <c r="D284" s="88" t="s">
        <v>284</v>
      </c>
      <c r="E284" s="88">
        <v>0</v>
      </c>
      <c r="F284" s="88">
        <v>1145</v>
      </c>
      <c r="G284" s="88">
        <v>1</v>
      </c>
      <c r="H284" s="88">
        <v>2</v>
      </c>
      <c r="I284" s="88">
        <v>2</v>
      </c>
      <c r="J284" s="88">
        <v>0</v>
      </c>
      <c r="K284" s="88">
        <v>0</v>
      </c>
      <c r="L284" s="88">
        <v>1</v>
      </c>
      <c r="M284" s="88">
        <v>20</v>
      </c>
      <c r="N284" s="88">
        <v>34</v>
      </c>
      <c r="O284" s="88">
        <v>1</v>
      </c>
      <c r="P284" s="88">
        <v>1</v>
      </c>
      <c r="Q284" s="88">
        <v>1</v>
      </c>
      <c r="R284" s="88">
        <v>20</v>
      </c>
      <c r="S284" s="88">
        <v>10</v>
      </c>
      <c r="T284" s="88">
        <v>0</v>
      </c>
      <c r="U284" s="88">
        <v>0</v>
      </c>
      <c r="V284" s="88">
        <v>0</v>
      </c>
      <c r="W284" s="88">
        <v>0</v>
      </c>
      <c r="X284" s="88">
        <v>20</v>
      </c>
      <c r="Y284" s="88">
        <v>0</v>
      </c>
      <c r="Z284" s="88">
        <v>10</v>
      </c>
      <c r="AA284" s="88">
        <v>0</v>
      </c>
      <c r="AB284" s="88">
        <v>1</v>
      </c>
      <c r="AC284" s="88">
        <v>0</v>
      </c>
      <c r="AD284" s="88">
        <v>0</v>
      </c>
      <c r="AE284" s="88" t="s">
        <v>1133</v>
      </c>
      <c r="AF284" s="88">
        <v>0</v>
      </c>
      <c r="AG284" s="88">
        <v>0</v>
      </c>
      <c r="AH284" s="88" t="s">
        <v>1133</v>
      </c>
      <c r="AI284" s="88" t="s">
        <v>1133</v>
      </c>
      <c r="AJ284" s="88" t="s">
        <v>1133</v>
      </c>
      <c r="AK284" s="88">
        <v>2</v>
      </c>
      <c r="AL284" s="88">
        <v>20</v>
      </c>
      <c r="AM284" s="88">
        <v>9</v>
      </c>
      <c r="AN284" s="88">
        <v>0</v>
      </c>
      <c r="AO284" s="88">
        <v>1</v>
      </c>
      <c r="AP284" s="88" t="s">
        <v>1134</v>
      </c>
      <c r="AQ284" s="88" t="s">
        <v>1133</v>
      </c>
      <c r="AR284" s="88">
        <v>0</v>
      </c>
      <c r="AS284" s="88"/>
      <c r="AT284" s="88"/>
      <c r="AU284" s="88">
        <v>0</v>
      </c>
      <c r="AV284" s="88" t="s">
        <v>1133</v>
      </c>
      <c r="AW284" s="88" t="s">
        <v>1133</v>
      </c>
      <c r="AX284" s="88">
        <v>0</v>
      </c>
      <c r="AY284" s="88">
        <v>0</v>
      </c>
      <c r="AZ284" s="88">
        <v>0</v>
      </c>
      <c r="BA284" s="88">
        <v>0</v>
      </c>
      <c r="BB284" s="88" t="s">
        <v>0</v>
      </c>
    </row>
    <row r="285" spans="1:54">
      <c r="A285" s="88">
        <v>285</v>
      </c>
      <c r="B285" s="88">
        <v>285</v>
      </c>
      <c r="C285" s="88"/>
      <c r="D285" s="88" t="s">
        <v>285</v>
      </c>
      <c r="E285" s="88">
        <v>0</v>
      </c>
      <c r="F285" s="88">
        <v>1145</v>
      </c>
      <c r="G285" s="88">
        <v>1</v>
      </c>
      <c r="H285" s="88">
        <v>2</v>
      </c>
      <c r="I285" s="88">
        <v>2</v>
      </c>
      <c r="J285" s="88">
        <v>0</v>
      </c>
      <c r="K285" s="88">
        <v>0</v>
      </c>
      <c r="L285" s="88">
        <v>1</v>
      </c>
      <c r="M285" s="88">
        <v>30</v>
      </c>
      <c r="N285" s="88">
        <v>34</v>
      </c>
      <c r="O285" s="88">
        <v>1</v>
      </c>
      <c r="P285" s="88">
        <v>1</v>
      </c>
      <c r="Q285" s="88">
        <v>1</v>
      </c>
      <c r="R285" s="88">
        <v>20</v>
      </c>
      <c r="S285" s="88">
        <v>10</v>
      </c>
      <c r="T285" s="88">
        <v>0</v>
      </c>
      <c r="U285" s="88">
        <v>0</v>
      </c>
      <c r="V285" s="88">
        <v>0</v>
      </c>
      <c r="W285" s="88">
        <v>0</v>
      </c>
      <c r="X285" s="88">
        <v>20</v>
      </c>
      <c r="Y285" s="88">
        <v>0</v>
      </c>
      <c r="Z285" s="88">
        <v>10</v>
      </c>
      <c r="AA285" s="88">
        <v>0</v>
      </c>
      <c r="AB285" s="88">
        <v>1</v>
      </c>
      <c r="AC285" s="88">
        <v>0</v>
      </c>
      <c r="AD285" s="88">
        <v>0</v>
      </c>
      <c r="AE285" s="88" t="s">
        <v>1133</v>
      </c>
      <c r="AF285" s="88">
        <v>0</v>
      </c>
      <c r="AG285" s="88">
        <v>0</v>
      </c>
      <c r="AH285" s="88" t="s">
        <v>1133</v>
      </c>
      <c r="AI285" s="88" t="s">
        <v>1133</v>
      </c>
      <c r="AJ285" s="88" t="s">
        <v>1133</v>
      </c>
      <c r="AK285" s="88">
        <v>2</v>
      </c>
      <c r="AL285" s="88">
        <v>20</v>
      </c>
      <c r="AM285" s="88">
        <v>9</v>
      </c>
      <c r="AN285" s="88">
        <v>0</v>
      </c>
      <c r="AO285" s="88">
        <v>1</v>
      </c>
      <c r="AP285" s="88" t="s">
        <v>1134</v>
      </c>
      <c r="AQ285" s="88" t="s">
        <v>1133</v>
      </c>
      <c r="AR285" s="88">
        <v>0</v>
      </c>
      <c r="AS285" s="88"/>
      <c r="AT285" s="88"/>
      <c r="AU285" s="88">
        <v>0</v>
      </c>
      <c r="AV285" s="88" t="s">
        <v>1133</v>
      </c>
      <c r="AW285" s="88" t="s">
        <v>1133</v>
      </c>
      <c r="AX285" s="88">
        <v>0</v>
      </c>
      <c r="AY285" s="88">
        <v>0</v>
      </c>
      <c r="AZ285" s="88">
        <v>0</v>
      </c>
      <c r="BA285" s="88">
        <v>0</v>
      </c>
      <c r="BB285" s="88" t="s">
        <v>0</v>
      </c>
    </row>
    <row r="286" spans="1:54">
      <c r="A286" s="88">
        <v>286</v>
      </c>
      <c r="B286" s="88">
        <v>286</v>
      </c>
      <c r="C286" s="88"/>
      <c r="D286" s="88" t="s">
        <v>286</v>
      </c>
      <c r="E286" s="88">
        <v>0</v>
      </c>
      <c r="F286" s="88">
        <v>1145</v>
      </c>
      <c r="G286" s="88">
        <v>1</v>
      </c>
      <c r="H286" s="88">
        <v>2</v>
      </c>
      <c r="I286" s="88">
        <v>2</v>
      </c>
      <c r="J286" s="88">
        <v>0</v>
      </c>
      <c r="K286" s="88">
        <v>0</v>
      </c>
      <c r="L286" s="88">
        <v>1</v>
      </c>
      <c r="M286" s="88">
        <v>50</v>
      </c>
      <c r="N286" s="88">
        <v>34</v>
      </c>
      <c r="O286" s="88">
        <v>1</v>
      </c>
      <c r="P286" s="88">
        <v>1</v>
      </c>
      <c r="Q286" s="88">
        <v>1</v>
      </c>
      <c r="R286" s="88">
        <v>20</v>
      </c>
      <c r="S286" s="88">
        <v>10</v>
      </c>
      <c r="T286" s="88">
        <v>0</v>
      </c>
      <c r="U286" s="88">
        <v>0</v>
      </c>
      <c r="V286" s="88">
        <v>0</v>
      </c>
      <c r="W286" s="88">
        <v>0</v>
      </c>
      <c r="X286" s="88">
        <v>20</v>
      </c>
      <c r="Y286" s="88">
        <v>0</v>
      </c>
      <c r="Z286" s="88">
        <v>10</v>
      </c>
      <c r="AA286" s="88">
        <v>0</v>
      </c>
      <c r="AB286" s="88">
        <v>1</v>
      </c>
      <c r="AC286" s="88">
        <v>0</v>
      </c>
      <c r="AD286" s="88">
        <v>0</v>
      </c>
      <c r="AE286" s="88" t="s">
        <v>1133</v>
      </c>
      <c r="AF286" s="88">
        <v>0</v>
      </c>
      <c r="AG286" s="88">
        <v>0</v>
      </c>
      <c r="AH286" s="88" t="s">
        <v>1133</v>
      </c>
      <c r="AI286" s="88" t="s">
        <v>1133</v>
      </c>
      <c r="AJ286" s="88" t="s">
        <v>1133</v>
      </c>
      <c r="AK286" s="88">
        <v>2</v>
      </c>
      <c r="AL286" s="88">
        <v>20</v>
      </c>
      <c r="AM286" s="88">
        <v>9</v>
      </c>
      <c r="AN286" s="88">
        <v>0</v>
      </c>
      <c r="AO286" s="88">
        <v>1</v>
      </c>
      <c r="AP286" s="88" t="s">
        <v>1134</v>
      </c>
      <c r="AQ286" s="88" t="s">
        <v>1133</v>
      </c>
      <c r="AR286" s="88">
        <v>0</v>
      </c>
      <c r="AS286" s="88"/>
      <c r="AT286" s="88"/>
      <c r="AU286" s="88">
        <v>0</v>
      </c>
      <c r="AV286" s="88" t="s">
        <v>1133</v>
      </c>
      <c r="AW286" s="88" t="s">
        <v>1133</v>
      </c>
      <c r="AX286" s="88">
        <v>0</v>
      </c>
      <c r="AY286" s="88">
        <v>0</v>
      </c>
      <c r="AZ286" s="88">
        <v>0</v>
      </c>
      <c r="BA286" s="88">
        <v>0</v>
      </c>
      <c r="BB286" s="88" t="s">
        <v>0</v>
      </c>
    </row>
    <row r="287" spans="1:54">
      <c r="A287" s="88">
        <v>287</v>
      </c>
      <c r="B287" s="88">
        <v>287</v>
      </c>
      <c r="C287" s="88"/>
      <c r="D287" s="88" t="s">
        <v>287</v>
      </c>
      <c r="E287" s="88">
        <v>0</v>
      </c>
      <c r="F287" s="88">
        <v>1152</v>
      </c>
      <c r="G287" s="88">
        <v>1</v>
      </c>
      <c r="H287" s="88">
        <v>2</v>
      </c>
      <c r="I287" s="88">
        <v>2</v>
      </c>
      <c r="J287" s="88">
        <v>0</v>
      </c>
      <c r="K287" s="88">
        <v>0</v>
      </c>
      <c r="L287" s="88">
        <v>1</v>
      </c>
      <c r="M287" s="88">
        <v>5</v>
      </c>
      <c r="N287" s="88">
        <v>34</v>
      </c>
      <c r="O287" s="88">
        <v>1</v>
      </c>
      <c r="P287" s="88">
        <v>1</v>
      </c>
      <c r="Q287" s="88">
        <v>1</v>
      </c>
      <c r="R287" s="88">
        <v>20</v>
      </c>
      <c r="S287" s="88">
        <v>10</v>
      </c>
      <c r="T287" s="88">
        <v>0</v>
      </c>
      <c r="U287" s="88">
        <v>0</v>
      </c>
      <c r="V287" s="88">
        <v>0</v>
      </c>
      <c r="W287" s="88">
        <v>0</v>
      </c>
      <c r="X287" s="88">
        <v>20</v>
      </c>
      <c r="Y287" s="88">
        <v>0</v>
      </c>
      <c r="Z287" s="88">
        <v>10</v>
      </c>
      <c r="AA287" s="88">
        <v>0</v>
      </c>
      <c r="AB287" s="88">
        <v>1</v>
      </c>
      <c r="AC287" s="88">
        <v>0</v>
      </c>
      <c r="AD287" s="88">
        <v>0</v>
      </c>
      <c r="AE287" s="88" t="s">
        <v>1133</v>
      </c>
      <c r="AF287" s="88">
        <v>0</v>
      </c>
      <c r="AG287" s="88">
        <v>0</v>
      </c>
      <c r="AH287" s="88" t="s">
        <v>1133</v>
      </c>
      <c r="AI287" s="88" t="s">
        <v>1133</v>
      </c>
      <c r="AJ287" s="88" t="s">
        <v>1133</v>
      </c>
      <c r="AK287" s="88">
        <v>2</v>
      </c>
      <c r="AL287" s="88">
        <v>20</v>
      </c>
      <c r="AM287" s="88">
        <v>9</v>
      </c>
      <c r="AN287" s="88">
        <v>0</v>
      </c>
      <c r="AO287" s="88">
        <v>1</v>
      </c>
      <c r="AP287" s="88" t="s">
        <v>1134</v>
      </c>
      <c r="AQ287" s="88" t="s">
        <v>1133</v>
      </c>
      <c r="AR287" s="88">
        <v>0</v>
      </c>
      <c r="AS287" s="88"/>
      <c r="AT287" s="88"/>
      <c r="AU287" s="88">
        <v>0</v>
      </c>
      <c r="AV287" s="88" t="s">
        <v>1133</v>
      </c>
      <c r="AW287" s="88" t="s">
        <v>1133</v>
      </c>
      <c r="AX287" s="88">
        <v>0</v>
      </c>
      <c r="AY287" s="88">
        <v>0</v>
      </c>
      <c r="AZ287" s="88">
        <v>0</v>
      </c>
      <c r="BA287" s="88">
        <v>0</v>
      </c>
      <c r="BB287" s="88" t="s">
        <v>0</v>
      </c>
    </row>
    <row r="288" spans="1:54">
      <c r="A288" s="88">
        <v>288</v>
      </c>
      <c r="B288" s="88">
        <v>288</v>
      </c>
      <c r="C288" s="88"/>
      <c r="D288" s="88" t="s">
        <v>288</v>
      </c>
      <c r="E288" s="88">
        <v>0</v>
      </c>
      <c r="F288" s="88">
        <v>1152</v>
      </c>
      <c r="G288" s="88">
        <v>1</v>
      </c>
      <c r="H288" s="88">
        <v>2</v>
      </c>
      <c r="I288" s="88">
        <v>2</v>
      </c>
      <c r="J288" s="88">
        <v>0</v>
      </c>
      <c r="K288" s="88">
        <v>0</v>
      </c>
      <c r="L288" s="88">
        <v>1</v>
      </c>
      <c r="M288" s="88">
        <v>7</v>
      </c>
      <c r="N288" s="88">
        <v>34</v>
      </c>
      <c r="O288" s="88">
        <v>1</v>
      </c>
      <c r="P288" s="88">
        <v>1</v>
      </c>
      <c r="Q288" s="88">
        <v>1</v>
      </c>
      <c r="R288" s="88">
        <v>20</v>
      </c>
      <c r="S288" s="88">
        <v>10</v>
      </c>
      <c r="T288" s="88">
        <v>0</v>
      </c>
      <c r="U288" s="88">
        <v>0</v>
      </c>
      <c r="V288" s="88">
        <v>0</v>
      </c>
      <c r="W288" s="88">
        <v>0</v>
      </c>
      <c r="X288" s="88">
        <v>20</v>
      </c>
      <c r="Y288" s="88">
        <v>0</v>
      </c>
      <c r="Z288" s="88">
        <v>10</v>
      </c>
      <c r="AA288" s="88">
        <v>0</v>
      </c>
      <c r="AB288" s="88">
        <v>1</v>
      </c>
      <c r="AC288" s="88">
        <v>0</v>
      </c>
      <c r="AD288" s="88">
        <v>0</v>
      </c>
      <c r="AE288" s="88" t="s">
        <v>1133</v>
      </c>
      <c r="AF288" s="88">
        <v>0</v>
      </c>
      <c r="AG288" s="88">
        <v>0</v>
      </c>
      <c r="AH288" s="88" t="s">
        <v>1133</v>
      </c>
      <c r="AI288" s="88" t="s">
        <v>1133</v>
      </c>
      <c r="AJ288" s="88" t="s">
        <v>1133</v>
      </c>
      <c r="AK288" s="88">
        <v>2</v>
      </c>
      <c r="AL288" s="88">
        <v>20</v>
      </c>
      <c r="AM288" s="88">
        <v>9</v>
      </c>
      <c r="AN288" s="88">
        <v>0</v>
      </c>
      <c r="AO288" s="88">
        <v>1</v>
      </c>
      <c r="AP288" s="88" t="s">
        <v>1134</v>
      </c>
      <c r="AQ288" s="88" t="s">
        <v>1133</v>
      </c>
      <c r="AR288" s="88">
        <v>0</v>
      </c>
      <c r="AS288" s="88"/>
      <c r="AT288" s="88"/>
      <c r="AU288" s="88">
        <v>0</v>
      </c>
      <c r="AV288" s="88" t="s">
        <v>1133</v>
      </c>
      <c r="AW288" s="88" t="s">
        <v>1133</v>
      </c>
      <c r="AX288" s="88">
        <v>0</v>
      </c>
      <c r="AY288" s="88">
        <v>0</v>
      </c>
      <c r="AZ288" s="88">
        <v>0</v>
      </c>
      <c r="BA288" s="88">
        <v>0</v>
      </c>
      <c r="BB288" s="88" t="s">
        <v>0</v>
      </c>
    </row>
    <row r="289" spans="1:54">
      <c r="A289" s="88">
        <v>289</v>
      </c>
      <c r="B289" s="88">
        <v>289</v>
      </c>
      <c r="C289" s="88"/>
      <c r="D289" s="88" t="s">
        <v>289</v>
      </c>
      <c r="E289" s="88">
        <v>0</v>
      </c>
      <c r="F289" s="88">
        <v>1152</v>
      </c>
      <c r="G289" s="88">
        <v>1</v>
      </c>
      <c r="H289" s="88">
        <v>2</v>
      </c>
      <c r="I289" s="88">
        <v>2</v>
      </c>
      <c r="J289" s="88">
        <v>0</v>
      </c>
      <c r="K289" s="88">
        <v>0</v>
      </c>
      <c r="L289" s="88">
        <v>1</v>
      </c>
      <c r="M289" s="88">
        <v>10</v>
      </c>
      <c r="N289" s="88">
        <v>34</v>
      </c>
      <c r="O289" s="88">
        <v>1</v>
      </c>
      <c r="P289" s="88">
        <v>1</v>
      </c>
      <c r="Q289" s="88">
        <v>1</v>
      </c>
      <c r="R289" s="88">
        <v>20</v>
      </c>
      <c r="S289" s="88">
        <v>10</v>
      </c>
      <c r="T289" s="88">
        <v>0</v>
      </c>
      <c r="U289" s="88">
        <v>0</v>
      </c>
      <c r="V289" s="88">
        <v>0</v>
      </c>
      <c r="W289" s="88">
        <v>0</v>
      </c>
      <c r="X289" s="88">
        <v>20</v>
      </c>
      <c r="Y289" s="88">
        <v>0</v>
      </c>
      <c r="Z289" s="88">
        <v>10</v>
      </c>
      <c r="AA289" s="88">
        <v>0</v>
      </c>
      <c r="AB289" s="88">
        <v>1</v>
      </c>
      <c r="AC289" s="88">
        <v>0</v>
      </c>
      <c r="AD289" s="88">
        <v>0</v>
      </c>
      <c r="AE289" s="88" t="s">
        <v>1133</v>
      </c>
      <c r="AF289" s="88">
        <v>0</v>
      </c>
      <c r="AG289" s="88">
        <v>0</v>
      </c>
      <c r="AH289" s="88" t="s">
        <v>1133</v>
      </c>
      <c r="AI289" s="88" t="s">
        <v>1133</v>
      </c>
      <c r="AJ289" s="88" t="s">
        <v>1133</v>
      </c>
      <c r="AK289" s="88">
        <v>2</v>
      </c>
      <c r="AL289" s="88">
        <v>20</v>
      </c>
      <c r="AM289" s="88">
        <v>9</v>
      </c>
      <c r="AN289" s="88">
        <v>0</v>
      </c>
      <c r="AO289" s="88">
        <v>1</v>
      </c>
      <c r="AP289" s="88" t="s">
        <v>1134</v>
      </c>
      <c r="AQ289" s="88" t="s">
        <v>1133</v>
      </c>
      <c r="AR289" s="88">
        <v>0</v>
      </c>
      <c r="AS289" s="88"/>
      <c r="AT289" s="88"/>
      <c r="AU289" s="88">
        <v>0</v>
      </c>
      <c r="AV289" s="88" t="s">
        <v>1133</v>
      </c>
      <c r="AW289" s="88" t="s">
        <v>1133</v>
      </c>
      <c r="AX289" s="88">
        <v>0</v>
      </c>
      <c r="AY289" s="88">
        <v>0</v>
      </c>
      <c r="AZ289" s="88">
        <v>0</v>
      </c>
      <c r="BA289" s="88">
        <v>0</v>
      </c>
      <c r="BB289" s="88" t="s">
        <v>0</v>
      </c>
    </row>
    <row r="290" spans="1:54">
      <c r="A290" s="88">
        <v>290</v>
      </c>
      <c r="B290" s="88">
        <v>290</v>
      </c>
      <c r="C290" s="88"/>
      <c r="D290" s="88" t="s">
        <v>290</v>
      </c>
      <c r="E290" s="88">
        <v>0</v>
      </c>
      <c r="F290" s="88">
        <v>1152</v>
      </c>
      <c r="G290" s="88">
        <v>1</v>
      </c>
      <c r="H290" s="88">
        <v>2</v>
      </c>
      <c r="I290" s="88">
        <v>2</v>
      </c>
      <c r="J290" s="88">
        <v>0</v>
      </c>
      <c r="K290" s="88">
        <v>0</v>
      </c>
      <c r="L290" s="88">
        <v>1</v>
      </c>
      <c r="M290" s="88">
        <v>14</v>
      </c>
      <c r="N290" s="88">
        <v>34</v>
      </c>
      <c r="O290" s="88">
        <v>1</v>
      </c>
      <c r="P290" s="88">
        <v>1</v>
      </c>
      <c r="Q290" s="88">
        <v>1</v>
      </c>
      <c r="R290" s="88">
        <v>20</v>
      </c>
      <c r="S290" s="88">
        <v>10</v>
      </c>
      <c r="T290" s="88">
        <v>0</v>
      </c>
      <c r="U290" s="88">
        <v>0</v>
      </c>
      <c r="V290" s="88">
        <v>0</v>
      </c>
      <c r="W290" s="88">
        <v>0</v>
      </c>
      <c r="X290" s="88">
        <v>20</v>
      </c>
      <c r="Y290" s="88">
        <v>0</v>
      </c>
      <c r="Z290" s="88">
        <v>10</v>
      </c>
      <c r="AA290" s="88">
        <v>0</v>
      </c>
      <c r="AB290" s="88">
        <v>1</v>
      </c>
      <c r="AC290" s="88">
        <v>0</v>
      </c>
      <c r="AD290" s="88">
        <v>0</v>
      </c>
      <c r="AE290" s="88" t="s">
        <v>1133</v>
      </c>
      <c r="AF290" s="88">
        <v>0</v>
      </c>
      <c r="AG290" s="88">
        <v>0</v>
      </c>
      <c r="AH290" s="88" t="s">
        <v>1133</v>
      </c>
      <c r="AI290" s="88" t="s">
        <v>1133</v>
      </c>
      <c r="AJ290" s="88" t="s">
        <v>1133</v>
      </c>
      <c r="AK290" s="88">
        <v>2</v>
      </c>
      <c r="AL290" s="88">
        <v>20</v>
      </c>
      <c r="AM290" s="88">
        <v>9</v>
      </c>
      <c r="AN290" s="88">
        <v>0</v>
      </c>
      <c r="AO290" s="88">
        <v>1</v>
      </c>
      <c r="AP290" s="88" t="s">
        <v>1134</v>
      </c>
      <c r="AQ290" s="88" t="s">
        <v>1133</v>
      </c>
      <c r="AR290" s="88">
        <v>0</v>
      </c>
      <c r="AS290" s="88"/>
      <c r="AT290" s="88"/>
      <c r="AU290" s="88">
        <v>0</v>
      </c>
      <c r="AV290" s="88" t="s">
        <v>1133</v>
      </c>
      <c r="AW290" s="88" t="s">
        <v>1133</v>
      </c>
      <c r="AX290" s="88">
        <v>0</v>
      </c>
      <c r="AY290" s="88">
        <v>0</v>
      </c>
      <c r="AZ290" s="88">
        <v>0</v>
      </c>
      <c r="BA290" s="88">
        <v>0</v>
      </c>
      <c r="BB290" s="88" t="s">
        <v>0</v>
      </c>
    </row>
    <row r="291" spans="1:54">
      <c r="A291" s="88">
        <v>291</v>
      </c>
      <c r="B291" s="88">
        <v>291</v>
      </c>
      <c r="C291" s="88"/>
      <c r="D291" s="88" t="s">
        <v>291</v>
      </c>
      <c r="E291" s="88">
        <v>0</v>
      </c>
      <c r="F291" s="88">
        <v>1152</v>
      </c>
      <c r="G291" s="88">
        <v>1</v>
      </c>
      <c r="H291" s="88">
        <v>2</v>
      </c>
      <c r="I291" s="88">
        <v>2</v>
      </c>
      <c r="J291" s="88">
        <v>0</v>
      </c>
      <c r="K291" s="88">
        <v>0</v>
      </c>
      <c r="L291" s="88">
        <v>1</v>
      </c>
      <c r="M291" s="88">
        <v>20</v>
      </c>
      <c r="N291" s="88">
        <v>34</v>
      </c>
      <c r="O291" s="88">
        <v>1</v>
      </c>
      <c r="P291" s="88">
        <v>1</v>
      </c>
      <c r="Q291" s="88">
        <v>1</v>
      </c>
      <c r="R291" s="88">
        <v>20</v>
      </c>
      <c r="S291" s="88">
        <v>10</v>
      </c>
      <c r="T291" s="88">
        <v>0</v>
      </c>
      <c r="U291" s="88">
        <v>0</v>
      </c>
      <c r="V291" s="88">
        <v>0</v>
      </c>
      <c r="W291" s="88">
        <v>0</v>
      </c>
      <c r="X291" s="88">
        <v>20</v>
      </c>
      <c r="Y291" s="88">
        <v>0</v>
      </c>
      <c r="Z291" s="88">
        <v>10</v>
      </c>
      <c r="AA291" s="88">
        <v>0</v>
      </c>
      <c r="AB291" s="88">
        <v>1</v>
      </c>
      <c r="AC291" s="88">
        <v>0</v>
      </c>
      <c r="AD291" s="88">
        <v>0</v>
      </c>
      <c r="AE291" s="88" t="s">
        <v>1133</v>
      </c>
      <c r="AF291" s="88">
        <v>0</v>
      </c>
      <c r="AG291" s="88">
        <v>0</v>
      </c>
      <c r="AH291" s="88" t="s">
        <v>1133</v>
      </c>
      <c r="AI291" s="88" t="s">
        <v>1133</v>
      </c>
      <c r="AJ291" s="88" t="s">
        <v>1133</v>
      </c>
      <c r="AK291" s="88">
        <v>2</v>
      </c>
      <c r="AL291" s="88">
        <v>20</v>
      </c>
      <c r="AM291" s="88">
        <v>9</v>
      </c>
      <c r="AN291" s="88">
        <v>0</v>
      </c>
      <c r="AO291" s="88">
        <v>1</v>
      </c>
      <c r="AP291" s="88" t="s">
        <v>1134</v>
      </c>
      <c r="AQ291" s="88" t="s">
        <v>1133</v>
      </c>
      <c r="AR291" s="88">
        <v>0</v>
      </c>
      <c r="AS291" s="88"/>
      <c r="AT291" s="88"/>
      <c r="AU291" s="88">
        <v>0</v>
      </c>
      <c r="AV291" s="88" t="s">
        <v>1133</v>
      </c>
      <c r="AW291" s="88" t="s">
        <v>1133</v>
      </c>
      <c r="AX291" s="88">
        <v>0</v>
      </c>
      <c r="AY291" s="88">
        <v>0</v>
      </c>
      <c r="AZ291" s="88">
        <v>0</v>
      </c>
      <c r="BA291" s="88">
        <v>0</v>
      </c>
      <c r="BB291" s="88" t="s">
        <v>0</v>
      </c>
    </row>
    <row r="292" spans="1:54">
      <c r="A292" s="88">
        <v>292</v>
      </c>
      <c r="B292" s="88">
        <v>292</v>
      </c>
      <c r="C292" s="88"/>
      <c r="D292" s="88" t="s">
        <v>292</v>
      </c>
      <c r="E292" s="88">
        <v>0</v>
      </c>
      <c r="F292" s="88">
        <v>1152</v>
      </c>
      <c r="G292" s="88">
        <v>1</v>
      </c>
      <c r="H292" s="88">
        <v>2</v>
      </c>
      <c r="I292" s="88">
        <v>2</v>
      </c>
      <c r="J292" s="88">
        <v>0</v>
      </c>
      <c r="K292" s="88">
        <v>0</v>
      </c>
      <c r="L292" s="88">
        <v>1</v>
      </c>
      <c r="M292" s="88">
        <v>30</v>
      </c>
      <c r="N292" s="88">
        <v>34</v>
      </c>
      <c r="O292" s="88">
        <v>1</v>
      </c>
      <c r="P292" s="88">
        <v>1</v>
      </c>
      <c r="Q292" s="88">
        <v>1</v>
      </c>
      <c r="R292" s="88">
        <v>20</v>
      </c>
      <c r="S292" s="88">
        <v>10</v>
      </c>
      <c r="T292" s="88">
        <v>0</v>
      </c>
      <c r="U292" s="88">
        <v>0</v>
      </c>
      <c r="V292" s="88">
        <v>0</v>
      </c>
      <c r="W292" s="88">
        <v>0</v>
      </c>
      <c r="X292" s="88">
        <v>20</v>
      </c>
      <c r="Y292" s="88">
        <v>0</v>
      </c>
      <c r="Z292" s="88">
        <v>10</v>
      </c>
      <c r="AA292" s="88">
        <v>0</v>
      </c>
      <c r="AB292" s="88">
        <v>1</v>
      </c>
      <c r="AC292" s="88">
        <v>0</v>
      </c>
      <c r="AD292" s="88">
        <v>0</v>
      </c>
      <c r="AE292" s="88" t="s">
        <v>1133</v>
      </c>
      <c r="AF292" s="88">
        <v>0</v>
      </c>
      <c r="AG292" s="88">
        <v>0</v>
      </c>
      <c r="AH292" s="88" t="s">
        <v>1133</v>
      </c>
      <c r="AI292" s="88" t="s">
        <v>1133</v>
      </c>
      <c r="AJ292" s="88" t="s">
        <v>1133</v>
      </c>
      <c r="AK292" s="88">
        <v>2</v>
      </c>
      <c r="AL292" s="88">
        <v>20</v>
      </c>
      <c r="AM292" s="88">
        <v>9</v>
      </c>
      <c r="AN292" s="88">
        <v>0</v>
      </c>
      <c r="AO292" s="88">
        <v>1</v>
      </c>
      <c r="AP292" s="88" t="s">
        <v>1134</v>
      </c>
      <c r="AQ292" s="88" t="s">
        <v>1133</v>
      </c>
      <c r="AR292" s="88">
        <v>0</v>
      </c>
      <c r="AS292" s="88"/>
      <c r="AT292" s="88"/>
      <c r="AU292" s="88">
        <v>0</v>
      </c>
      <c r="AV292" s="88" t="s">
        <v>1133</v>
      </c>
      <c r="AW292" s="88" t="s">
        <v>1133</v>
      </c>
      <c r="AX292" s="88">
        <v>0</v>
      </c>
      <c r="AY292" s="88">
        <v>0</v>
      </c>
      <c r="AZ292" s="88">
        <v>0</v>
      </c>
      <c r="BA292" s="88">
        <v>0</v>
      </c>
      <c r="BB292" s="88" t="s">
        <v>0</v>
      </c>
    </row>
    <row r="293" spans="1:54">
      <c r="A293" s="88">
        <v>293</v>
      </c>
      <c r="B293" s="88">
        <v>293</v>
      </c>
      <c r="C293" s="88"/>
      <c r="D293" s="88" t="s">
        <v>293</v>
      </c>
      <c r="E293" s="88">
        <v>0</v>
      </c>
      <c r="F293" s="88">
        <v>1152</v>
      </c>
      <c r="G293" s="88">
        <v>1</v>
      </c>
      <c r="H293" s="88">
        <v>2</v>
      </c>
      <c r="I293" s="88">
        <v>2</v>
      </c>
      <c r="J293" s="88">
        <v>0</v>
      </c>
      <c r="K293" s="88">
        <v>0</v>
      </c>
      <c r="L293" s="88">
        <v>1</v>
      </c>
      <c r="M293" s="88">
        <v>40</v>
      </c>
      <c r="N293" s="88">
        <v>34</v>
      </c>
      <c r="O293" s="88">
        <v>1</v>
      </c>
      <c r="P293" s="88">
        <v>1</v>
      </c>
      <c r="Q293" s="88">
        <v>1</v>
      </c>
      <c r="R293" s="88">
        <v>20</v>
      </c>
      <c r="S293" s="88">
        <v>10</v>
      </c>
      <c r="T293" s="88">
        <v>0</v>
      </c>
      <c r="U293" s="88">
        <v>0</v>
      </c>
      <c r="V293" s="88">
        <v>0</v>
      </c>
      <c r="W293" s="88">
        <v>0</v>
      </c>
      <c r="X293" s="88">
        <v>20</v>
      </c>
      <c r="Y293" s="88">
        <v>0</v>
      </c>
      <c r="Z293" s="88">
        <v>10</v>
      </c>
      <c r="AA293" s="88">
        <v>0</v>
      </c>
      <c r="AB293" s="88">
        <v>1</v>
      </c>
      <c r="AC293" s="88">
        <v>0</v>
      </c>
      <c r="AD293" s="88">
        <v>0</v>
      </c>
      <c r="AE293" s="88" t="s">
        <v>1133</v>
      </c>
      <c r="AF293" s="88">
        <v>0</v>
      </c>
      <c r="AG293" s="88">
        <v>0</v>
      </c>
      <c r="AH293" s="88" t="s">
        <v>1133</v>
      </c>
      <c r="AI293" s="88" t="s">
        <v>1133</v>
      </c>
      <c r="AJ293" s="88" t="s">
        <v>1133</v>
      </c>
      <c r="AK293" s="88">
        <v>2</v>
      </c>
      <c r="AL293" s="88">
        <v>20</v>
      </c>
      <c r="AM293" s="88">
        <v>9</v>
      </c>
      <c r="AN293" s="88">
        <v>0</v>
      </c>
      <c r="AO293" s="88">
        <v>1</v>
      </c>
      <c r="AP293" s="88" t="s">
        <v>1134</v>
      </c>
      <c r="AQ293" s="88" t="s">
        <v>1133</v>
      </c>
      <c r="AR293" s="88">
        <v>0</v>
      </c>
      <c r="AS293" s="88"/>
      <c r="AT293" s="88"/>
      <c r="AU293" s="88">
        <v>0</v>
      </c>
      <c r="AV293" s="88" t="s">
        <v>1133</v>
      </c>
      <c r="AW293" s="88" t="s">
        <v>1133</v>
      </c>
      <c r="AX293" s="88">
        <v>0</v>
      </c>
      <c r="AY293" s="88">
        <v>0</v>
      </c>
      <c r="AZ293" s="88">
        <v>0</v>
      </c>
      <c r="BA293" s="88">
        <v>0</v>
      </c>
      <c r="BB293" s="88" t="s">
        <v>0</v>
      </c>
    </row>
    <row r="294" spans="1:54">
      <c r="A294" s="88">
        <v>294</v>
      </c>
      <c r="B294" s="88">
        <v>294</v>
      </c>
      <c r="C294" s="88"/>
      <c r="D294" s="88" t="s">
        <v>294</v>
      </c>
      <c r="E294" s="88">
        <v>0</v>
      </c>
      <c r="F294" s="88">
        <v>1152</v>
      </c>
      <c r="G294" s="88">
        <v>1</v>
      </c>
      <c r="H294" s="88">
        <v>2</v>
      </c>
      <c r="I294" s="88">
        <v>2</v>
      </c>
      <c r="J294" s="88">
        <v>0</v>
      </c>
      <c r="K294" s="88">
        <v>0</v>
      </c>
      <c r="L294" s="88">
        <v>1</v>
      </c>
      <c r="M294" s="88">
        <v>50</v>
      </c>
      <c r="N294" s="88">
        <v>34</v>
      </c>
      <c r="O294" s="88">
        <v>1</v>
      </c>
      <c r="P294" s="88">
        <v>1</v>
      </c>
      <c r="Q294" s="88">
        <v>1</v>
      </c>
      <c r="R294" s="88">
        <v>20</v>
      </c>
      <c r="S294" s="88">
        <v>10</v>
      </c>
      <c r="T294" s="88">
        <v>0</v>
      </c>
      <c r="U294" s="88">
        <v>0</v>
      </c>
      <c r="V294" s="88">
        <v>0</v>
      </c>
      <c r="W294" s="88">
        <v>0</v>
      </c>
      <c r="X294" s="88">
        <v>20</v>
      </c>
      <c r="Y294" s="88">
        <v>0</v>
      </c>
      <c r="Z294" s="88">
        <v>10</v>
      </c>
      <c r="AA294" s="88">
        <v>0</v>
      </c>
      <c r="AB294" s="88">
        <v>1</v>
      </c>
      <c r="AC294" s="88">
        <v>0</v>
      </c>
      <c r="AD294" s="88">
        <v>0</v>
      </c>
      <c r="AE294" s="88" t="s">
        <v>1133</v>
      </c>
      <c r="AF294" s="88">
        <v>0</v>
      </c>
      <c r="AG294" s="88">
        <v>0</v>
      </c>
      <c r="AH294" s="88" t="s">
        <v>1133</v>
      </c>
      <c r="AI294" s="88" t="s">
        <v>1133</v>
      </c>
      <c r="AJ294" s="88" t="s">
        <v>1133</v>
      </c>
      <c r="AK294" s="88">
        <v>2</v>
      </c>
      <c r="AL294" s="88">
        <v>20</v>
      </c>
      <c r="AM294" s="88">
        <v>9</v>
      </c>
      <c r="AN294" s="88">
        <v>0</v>
      </c>
      <c r="AO294" s="88">
        <v>1</v>
      </c>
      <c r="AP294" s="88" t="s">
        <v>1134</v>
      </c>
      <c r="AQ294" s="88" t="s">
        <v>1133</v>
      </c>
      <c r="AR294" s="88">
        <v>0</v>
      </c>
      <c r="AS294" s="88"/>
      <c r="AT294" s="88"/>
      <c r="AU294" s="88">
        <v>0</v>
      </c>
      <c r="AV294" s="88" t="s">
        <v>1133</v>
      </c>
      <c r="AW294" s="88" t="s">
        <v>1133</v>
      </c>
      <c r="AX294" s="88">
        <v>0</v>
      </c>
      <c r="AY294" s="88">
        <v>0</v>
      </c>
      <c r="AZ294" s="88">
        <v>0</v>
      </c>
      <c r="BA294" s="88">
        <v>0</v>
      </c>
      <c r="BB294" s="88" t="s">
        <v>0</v>
      </c>
    </row>
    <row r="295" spans="1:54">
      <c r="A295" s="88">
        <v>295</v>
      </c>
      <c r="B295" s="88">
        <v>295</v>
      </c>
      <c r="C295" s="88"/>
      <c r="D295" s="88" t="s">
        <v>295</v>
      </c>
      <c r="E295" s="88">
        <v>0</v>
      </c>
      <c r="F295" s="88">
        <v>1152</v>
      </c>
      <c r="G295" s="88">
        <v>1</v>
      </c>
      <c r="H295" s="88">
        <v>2</v>
      </c>
      <c r="I295" s="88">
        <v>2</v>
      </c>
      <c r="J295" s="88">
        <v>0</v>
      </c>
      <c r="K295" s="88">
        <v>0</v>
      </c>
      <c r="L295" s="88">
        <v>1</v>
      </c>
      <c r="M295" s="88">
        <v>5</v>
      </c>
      <c r="N295" s="88">
        <v>34</v>
      </c>
      <c r="O295" s="88">
        <v>1</v>
      </c>
      <c r="P295" s="88">
        <v>1</v>
      </c>
      <c r="Q295" s="88">
        <v>1</v>
      </c>
      <c r="R295" s="88">
        <v>20</v>
      </c>
      <c r="S295" s="88">
        <v>10</v>
      </c>
      <c r="T295" s="88">
        <v>0</v>
      </c>
      <c r="U295" s="88">
        <v>0</v>
      </c>
      <c r="V295" s="88">
        <v>0</v>
      </c>
      <c r="W295" s="88">
        <v>0</v>
      </c>
      <c r="X295" s="88">
        <v>20</v>
      </c>
      <c r="Y295" s="88">
        <v>0</v>
      </c>
      <c r="Z295" s="88">
        <v>10</v>
      </c>
      <c r="AA295" s="88">
        <v>0</v>
      </c>
      <c r="AB295" s="88">
        <v>1</v>
      </c>
      <c r="AC295" s="88">
        <v>0</v>
      </c>
      <c r="AD295" s="88">
        <v>0</v>
      </c>
      <c r="AE295" s="88" t="s">
        <v>1133</v>
      </c>
      <c r="AF295" s="88">
        <v>0</v>
      </c>
      <c r="AG295" s="88">
        <v>0</v>
      </c>
      <c r="AH295" s="88" t="s">
        <v>1133</v>
      </c>
      <c r="AI295" s="88" t="s">
        <v>1133</v>
      </c>
      <c r="AJ295" s="88" t="s">
        <v>1133</v>
      </c>
      <c r="AK295" s="88">
        <v>2</v>
      </c>
      <c r="AL295" s="88">
        <v>20</v>
      </c>
      <c r="AM295" s="88">
        <v>9</v>
      </c>
      <c r="AN295" s="88">
        <v>0</v>
      </c>
      <c r="AO295" s="88">
        <v>1</v>
      </c>
      <c r="AP295" s="88" t="s">
        <v>1134</v>
      </c>
      <c r="AQ295" s="88" t="s">
        <v>1133</v>
      </c>
      <c r="AR295" s="88">
        <v>0</v>
      </c>
      <c r="AS295" s="88"/>
      <c r="AT295" s="88"/>
      <c r="AU295" s="88">
        <v>0</v>
      </c>
      <c r="AV295" s="88" t="s">
        <v>1133</v>
      </c>
      <c r="AW295" s="88" t="s">
        <v>1133</v>
      </c>
      <c r="AX295" s="88">
        <v>0</v>
      </c>
      <c r="AY295" s="88">
        <v>0</v>
      </c>
      <c r="AZ295" s="88">
        <v>0</v>
      </c>
      <c r="BA295" s="88">
        <v>0</v>
      </c>
      <c r="BB295" s="88" t="s">
        <v>0</v>
      </c>
    </row>
    <row r="296" spans="1:54">
      <c r="A296" s="88">
        <v>296</v>
      </c>
      <c r="B296" s="88">
        <v>296</v>
      </c>
      <c r="C296" s="88"/>
      <c r="D296" s="88" t="s">
        <v>296</v>
      </c>
      <c r="E296" s="88">
        <v>0</v>
      </c>
      <c r="F296" s="88">
        <v>1152</v>
      </c>
      <c r="G296" s="88">
        <v>1</v>
      </c>
      <c r="H296" s="88">
        <v>2</v>
      </c>
      <c r="I296" s="88">
        <v>2</v>
      </c>
      <c r="J296" s="88">
        <v>0</v>
      </c>
      <c r="K296" s="88">
        <v>0</v>
      </c>
      <c r="L296" s="88">
        <v>1</v>
      </c>
      <c r="M296" s="88">
        <v>7</v>
      </c>
      <c r="N296" s="88">
        <v>34</v>
      </c>
      <c r="O296" s="88">
        <v>1</v>
      </c>
      <c r="P296" s="88">
        <v>1</v>
      </c>
      <c r="Q296" s="88">
        <v>1</v>
      </c>
      <c r="R296" s="88">
        <v>20</v>
      </c>
      <c r="S296" s="88">
        <v>10</v>
      </c>
      <c r="T296" s="88">
        <v>0</v>
      </c>
      <c r="U296" s="88">
        <v>0</v>
      </c>
      <c r="V296" s="88">
        <v>0</v>
      </c>
      <c r="W296" s="88">
        <v>0</v>
      </c>
      <c r="X296" s="88">
        <v>20</v>
      </c>
      <c r="Y296" s="88">
        <v>0</v>
      </c>
      <c r="Z296" s="88">
        <v>10</v>
      </c>
      <c r="AA296" s="88">
        <v>0</v>
      </c>
      <c r="AB296" s="88">
        <v>1</v>
      </c>
      <c r="AC296" s="88">
        <v>0</v>
      </c>
      <c r="AD296" s="88">
        <v>0</v>
      </c>
      <c r="AE296" s="88" t="s">
        <v>1133</v>
      </c>
      <c r="AF296" s="88">
        <v>0</v>
      </c>
      <c r="AG296" s="88">
        <v>0</v>
      </c>
      <c r="AH296" s="88" t="s">
        <v>1133</v>
      </c>
      <c r="AI296" s="88" t="s">
        <v>1133</v>
      </c>
      <c r="AJ296" s="88" t="s">
        <v>1133</v>
      </c>
      <c r="AK296" s="88">
        <v>2</v>
      </c>
      <c r="AL296" s="88">
        <v>20</v>
      </c>
      <c r="AM296" s="88">
        <v>9</v>
      </c>
      <c r="AN296" s="88">
        <v>0</v>
      </c>
      <c r="AO296" s="88">
        <v>1</v>
      </c>
      <c r="AP296" s="88" t="s">
        <v>1134</v>
      </c>
      <c r="AQ296" s="88" t="s">
        <v>1133</v>
      </c>
      <c r="AR296" s="88">
        <v>0</v>
      </c>
      <c r="AS296" s="88"/>
      <c r="AT296" s="88"/>
      <c r="AU296" s="88">
        <v>0</v>
      </c>
      <c r="AV296" s="88" t="s">
        <v>1133</v>
      </c>
      <c r="AW296" s="88" t="s">
        <v>1133</v>
      </c>
      <c r="AX296" s="88">
        <v>0</v>
      </c>
      <c r="AY296" s="88">
        <v>0</v>
      </c>
      <c r="AZ296" s="88">
        <v>0</v>
      </c>
      <c r="BA296" s="88">
        <v>0</v>
      </c>
      <c r="BB296" s="88" t="s">
        <v>0</v>
      </c>
    </row>
    <row r="297" spans="1:54">
      <c r="A297" s="88">
        <v>297</v>
      </c>
      <c r="B297" s="88">
        <v>297</v>
      </c>
      <c r="C297" s="88"/>
      <c r="D297" s="88" t="s">
        <v>297</v>
      </c>
      <c r="E297" s="88">
        <v>0</v>
      </c>
      <c r="F297" s="88">
        <v>1152</v>
      </c>
      <c r="G297" s="88">
        <v>1</v>
      </c>
      <c r="H297" s="88">
        <v>2</v>
      </c>
      <c r="I297" s="88">
        <v>2</v>
      </c>
      <c r="J297" s="88">
        <v>0</v>
      </c>
      <c r="K297" s="88">
        <v>0</v>
      </c>
      <c r="L297" s="88">
        <v>1</v>
      </c>
      <c r="M297" s="88">
        <v>10</v>
      </c>
      <c r="N297" s="88">
        <v>34</v>
      </c>
      <c r="O297" s="88">
        <v>1</v>
      </c>
      <c r="P297" s="88">
        <v>1</v>
      </c>
      <c r="Q297" s="88">
        <v>1</v>
      </c>
      <c r="R297" s="88">
        <v>20</v>
      </c>
      <c r="S297" s="88">
        <v>10</v>
      </c>
      <c r="T297" s="88">
        <v>0</v>
      </c>
      <c r="U297" s="88">
        <v>0</v>
      </c>
      <c r="V297" s="88">
        <v>0</v>
      </c>
      <c r="W297" s="88">
        <v>0</v>
      </c>
      <c r="X297" s="88">
        <v>20</v>
      </c>
      <c r="Y297" s="88">
        <v>0</v>
      </c>
      <c r="Z297" s="88">
        <v>10</v>
      </c>
      <c r="AA297" s="88">
        <v>0</v>
      </c>
      <c r="AB297" s="88">
        <v>1</v>
      </c>
      <c r="AC297" s="88">
        <v>0</v>
      </c>
      <c r="AD297" s="88">
        <v>0</v>
      </c>
      <c r="AE297" s="88" t="s">
        <v>1133</v>
      </c>
      <c r="AF297" s="88">
        <v>0</v>
      </c>
      <c r="AG297" s="88">
        <v>0</v>
      </c>
      <c r="AH297" s="88" t="s">
        <v>1133</v>
      </c>
      <c r="AI297" s="88" t="s">
        <v>1133</v>
      </c>
      <c r="AJ297" s="88" t="s">
        <v>1133</v>
      </c>
      <c r="AK297" s="88">
        <v>2</v>
      </c>
      <c r="AL297" s="88">
        <v>20</v>
      </c>
      <c r="AM297" s="88">
        <v>9</v>
      </c>
      <c r="AN297" s="88">
        <v>0</v>
      </c>
      <c r="AO297" s="88">
        <v>1</v>
      </c>
      <c r="AP297" s="88" t="s">
        <v>1134</v>
      </c>
      <c r="AQ297" s="88" t="s">
        <v>1133</v>
      </c>
      <c r="AR297" s="88">
        <v>0</v>
      </c>
      <c r="AS297" s="88"/>
      <c r="AT297" s="88"/>
      <c r="AU297" s="88">
        <v>0</v>
      </c>
      <c r="AV297" s="88" t="s">
        <v>1133</v>
      </c>
      <c r="AW297" s="88" t="s">
        <v>1133</v>
      </c>
      <c r="AX297" s="88">
        <v>0</v>
      </c>
      <c r="AY297" s="88">
        <v>0</v>
      </c>
      <c r="AZ297" s="88">
        <v>0</v>
      </c>
      <c r="BA297" s="88">
        <v>0</v>
      </c>
      <c r="BB297" s="88" t="s">
        <v>0</v>
      </c>
    </row>
    <row r="298" spans="1:54">
      <c r="A298" s="88">
        <v>298</v>
      </c>
      <c r="B298" s="88">
        <v>298</v>
      </c>
      <c r="C298" s="88"/>
      <c r="D298" s="88" t="s">
        <v>298</v>
      </c>
      <c r="E298" s="88">
        <v>0</v>
      </c>
      <c r="F298" s="88">
        <v>1152</v>
      </c>
      <c r="G298" s="88">
        <v>1</v>
      </c>
      <c r="H298" s="88">
        <v>2</v>
      </c>
      <c r="I298" s="88">
        <v>2</v>
      </c>
      <c r="J298" s="88">
        <v>0</v>
      </c>
      <c r="K298" s="88">
        <v>0</v>
      </c>
      <c r="L298" s="88">
        <v>1</v>
      </c>
      <c r="M298" s="88">
        <v>14</v>
      </c>
      <c r="N298" s="88">
        <v>34</v>
      </c>
      <c r="O298" s="88">
        <v>1</v>
      </c>
      <c r="P298" s="88">
        <v>1</v>
      </c>
      <c r="Q298" s="88">
        <v>1</v>
      </c>
      <c r="R298" s="88">
        <v>20</v>
      </c>
      <c r="S298" s="88">
        <v>10</v>
      </c>
      <c r="T298" s="88">
        <v>0</v>
      </c>
      <c r="U298" s="88">
        <v>0</v>
      </c>
      <c r="V298" s="88">
        <v>0</v>
      </c>
      <c r="W298" s="88">
        <v>0</v>
      </c>
      <c r="X298" s="88">
        <v>20</v>
      </c>
      <c r="Y298" s="88">
        <v>0</v>
      </c>
      <c r="Z298" s="88">
        <v>10</v>
      </c>
      <c r="AA298" s="88">
        <v>0</v>
      </c>
      <c r="AB298" s="88">
        <v>1</v>
      </c>
      <c r="AC298" s="88">
        <v>0</v>
      </c>
      <c r="AD298" s="88">
        <v>0</v>
      </c>
      <c r="AE298" s="88" t="s">
        <v>1133</v>
      </c>
      <c r="AF298" s="88">
        <v>0</v>
      </c>
      <c r="AG298" s="88">
        <v>0</v>
      </c>
      <c r="AH298" s="88" t="s">
        <v>1133</v>
      </c>
      <c r="AI298" s="88" t="s">
        <v>1133</v>
      </c>
      <c r="AJ298" s="88" t="s">
        <v>1133</v>
      </c>
      <c r="AK298" s="88">
        <v>2</v>
      </c>
      <c r="AL298" s="88">
        <v>20</v>
      </c>
      <c r="AM298" s="88">
        <v>9</v>
      </c>
      <c r="AN298" s="88">
        <v>0</v>
      </c>
      <c r="AO298" s="88">
        <v>1</v>
      </c>
      <c r="AP298" s="88" t="s">
        <v>1134</v>
      </c>
      <c r="AQ298" s="88" t="s">
        <v>1133</v>
      </c>
      <c r="AR298" s="88">
        <v>0</v>
      </c>
      <c r="AS298" s="88"/>
      <c r="AT298" s="88"/>
      <c r="AU298" s="88">
        <v>0</v>
      </c>
      <c r="AV298" s="88" t="s">
        <v>1133</v>
      </c>
      <c r="AW298" s="88" t="s">
        <v>1133</v>
      </c>
      <c r="AX298" s="88">
        <v>0</v>
      </c>
      <c r="AY298" s="88">
        <v>0</v>
      </c>
      <c r="AZ298" s="88">
        <v>0</v>
      </c>
      <c r="BA298" s="88">
        <v>0</v>
      </c>
      <c r="BB298" s="88" t="s">
        <v>0</v>
      </c>
    </row>
    <row r="299" spans="1:54">
      <c r="A299" s="88">
        <v>299</v>
      </c>
      <c r="B299" s="88">
        <v>299</v>
      </c>
      <c r="C299" s="88"/>
      <c r="D299" s="88" t="s">
        <v>299</v>
      </c>
      <c r="E299" s="88">
        <v>0</v>
      </c>
      <c r="F299" s="88">
        <v>1152</v>
      </c>
      <c r="G299" s="88">
        <v>1</v>
      </c>
      <c r="H299" s="88">
        <v>2</v>
      </c>
      <c r="I299" s="88">
        <v>2</v>
      </c>
      <c r="J299" s="88">
        <v>0</v>
      </c>
      <c r="K299" s="88">
        <v>0</v>
      </c>
      <c r="L299" s="88">
        <v>1</v>
      </c>
      <c r="M299" s="88">
        <v>20</v>
      </c>
      <c r="N299" s="88">
        <v>34</v>
      </c>
      <c r="O299" s="88">
        <v>1</v>
      </c>
      <c r="P299" s="88">
        <v>1</v>
      </c>
      <c r="Q299" s="88">
        <v>1</v>
      </c>
      <c r="R299" s="88">
        <v>20</v>
      </c>
      <c r="S299" s="88">
        <v>10</v>
      </c>
      <c r="T299" s="88">
        <v>0</v>
      </c>
      <c r="U299" s="88">
        <v>0</v>
      </c>
      <c r="V299" s="88">
        <v>0</v>
      </c>
      <c r="W299" s="88">
        <v>0</v>
      </c>
      <c r="X299" s="88">
        <v>20</v>
      </c>
      <c r="Y299" s="88">
        <v>0</v>
      </c>
      <c r="Z299" s="88">
        <v>10</v>
      </c>
      <c r="AA299" s="88">
        <v>0</v>
      </c>
      <c r="AB299" s="88">
        <v>1</v>
      </c>
      <c r="AC299" s="88">
        <v>0</v>
      </c>
      <c r="AD299" s="88">
        <v>0</v>
      </c>
      <c r="AE299" s="88" t="s">
        <v>1133</v>
      </c>
      <c r="AF299" s="88">
        <v>0</v>
      </c>
      <c r="AG299" s="88">
        <v>0</v>
      </c>
      <c r="AH299" s="88" t="s">
        <v>1133</v>
      </c>
      <c r="AI299" s="88" t="s">
        <v>1133</v>
      </c>
      <c r="AJ299" s="88" t="s">
        <v>1133</v>
      </c>
      <c r="AK299" s="88">
        <v>2</v>
      </c>
      <c r="AL299" s="88">
        <v>20</v>
      </c>
      <c r="AM299" s="88">
        <v>9</v>
      </c>
      <c r="AN299" s="88">
        <v>0</v>
      </c>
      <c r="AO299" s="88">
        <v>1</v>
      </c>
      <c r="AP299" s="88" t="s">
        <v>1134</v>
      </c>
      <c r="AQ299" s="88" t="s">
        <v>1133</v>
      </c>
      <c r="AR299" s="88">
        <v>0</v>
      </c>
      <c r="AS299" s="88"/>
      <c r="AT299" s="88"/>
      <c r="AU299" s="88">
        <v>0</v>
      </c>
      <c r="AV299" s="88" t="s">
        <v>1133</v>
      </c>
      <c r="AW299" s="88" t="s">
        <v>1133</v>
      </c>
      <c r="AX299" s="88">
        <v>0</v>
      </c>
      <c r="AY299" s="88">
        <v>0</v>
      </c>
      <c r="AZ299" s="88">
        <v>0</v>
      </c>
      <c r="BA299" s="88">
        <v>0</v>
      </c>
      <c r="BB299" s="88" t="s">
        <v>0</v>
      </c>
    </row>
    <row r="300" spans="1:54">
      <c r="A300" s="88">
        <v>300</v>
      </c>
      <c r="B300" s="88">
        <v>300</v>
      </c>
      <c r="C300" s="88"/>
      <c r="D300" s="88" t="s">
        <v>292</v>
      </c>
      <c r="E300" s="88">
        <v>0</v>
      </c>
      <c r="F300" s="88">
        <v>1152</v>
      </c>
      <c r="G300" s="88">
        <v>1</v>
      </c>
      <c r="H300" s="88">
        <v>2</v>
      </c>
      <c r="I300" s="88">
        <v>2</v>
      </c>
      <c r="J300" s="88">
        <v>0</v>
      </c>
      <c r="K300" s="88">
        <v>0</v>
      </c>
      <c r="L300" s="88">
        <v>1</v>
      </c>
      <c r="M300" s="88">
        <v>30</v>
      </c>
      <c r="N300" s="88">
        <v>34</v>
      </c>
      <c r="O300" s="88">
        <v>1</v>
      </c>
      <c r="P300" s="88">
        <v>1</v>
      </c>
      <c r="Q300" s="88">
        <v>1</v>
      </c>
      <c r="R300" s="88">
        <v>20</v>
      </c>
      <c r="S300" s="88">
        <v>10</v>
      </c>
      <c r="T300" s="88">
        <v>0</v>
      </c>
      <c r="U300" s="88">
        <v>0</v>
      </c>
      <c r="V300" s="88">
        <v>0</v>
      </c>
      <c r="W300" s="88">
        <v>0</v>
      </c>
      <c r="X300" s="88">
        <v>20</v>
      </c>
      <c r="Y300" s="88">
        <v>0</v>
      </c>
      <c r="Z300" s="88">
        <v>10</v>
      </c>
      <c r="AA300" s="88">
        <v>0</v>
      </c>
      <c r="AB300" s="88">
        <v>1</v>
      </c>
      <c r="AC300" s="88">
        <v>0</v>
      </c>
      <c r="AD300" s="88">
        <v>0</v>
      </c>
      <c r="AE300" s="88" t="s">
        <v>1133</v>
      </c>
      <c r="AF300" s="88">
        <v>0</v>
      </c>
      <c r="AG300" s="88">
        <v>0</v>
      </c>
      <c r="AH300" s="88" t="s">
        <v>1133</v>
      </c>
      <c r="AI300" s="88" t="s">
        <v>1133</v>
      </c>
      <c r="AJ300" s="88" t="s">
        <v>1133</v>
      </c>
      <c r="AK300" s="88">
        <v>2</v>
      </c>
      <c r="AL300" s="88">
        <v>20</v>
      </c>
      <c r="AM300" s="88">
        <v>9</v>
      </c>
      <c r="AN300" s="88">
        <v>0</v>
      </c>
      <c r="AO300" s="88">
        <v>1</v>
      </c>
      <c r="AP300" s="88" t="s">
        <v>1134</v>
      </c>
      <c r="AQ300" s="88" t="s">
        <v>1133</v>
      </c>
      <c r="AR300" s="88">
        <v>0</v>
      </c>
      <c r="AS300" s="88"/>
      <c r="AT300" s="88"/>
      <c r="AU300" s="88">
        <v>0</v>
      </c>
      <c r="AV300" s="88" t="s">
        <v>1133</v>
      </c>
      <c r="AW300" s="88" t="s">
        <v>1133</v>
      </c>
      <c r="AX300" s="88">
        <v>0</v>
      </c>
      <c r="AY300" s="88">
        <v>0</v>
      </c>
      <c r="AZ300" s="88">
        <v>0</v>
      </c>
      <c r="BA300" s="88">
        <v>0</v>
      </c>
      <c r="BB300" s="88" t="s">
        <v>0</v>
      </c>
    </row>
    <row r="301" spans="1:54">
      <c r="A301" s="88">
        <v>301</v>
      </c>
      <c r="B301" s="88">
        <v>301</v>
      </c>
      <c r="C301" s="88"/>
      <c r="D301" s="88" t="s">
        <v>300</v>
      </c>
      <c r="E301" s="88">
        <v>0</v>
      </c>
      <c r="F301" s="88">
        <v>1152</v>
      </c>
      <c r="G301" s="88">
        <v>1</v>
      </c>
      <c r="H301" s="88">
        <v>2</v>
      </c>
      <c r="I301" s="88">
        <v>2</v>
      </c>
      <c r="J301" s="88">
        <v>0</v>
      </c>
      <c r="K301" s="88">
        <v>0</v>
      </c>
      <c r="L301" s="88">
        <v>1</v>
      </c>
      <c r="M301" s="88">
        <v>40</v>
      </c>
      <c r="N301" s="88">
        <v>34</v>
      </c>
      <c r="O301" s="88">
        <v>1</v>
      </c>
      <c r="P301" s="88">
        <v>1</v>
      </c>
      <c r="Q301" s="88">
        <v>1</v>
      </c>
      <c r="R301" s="88">
        <v>20</v>
      </c>
      <c r="S301" s="88">
        <v>10</v>
      </c>
      <c r="T301" s="88">
        <v>0</v>
      </c>
      <c r="U301" s="88">
        <v>0</v>
      </c>
      <c r="V301" s="88">
        <v>0</v>
      </c>
      <c r="W301" s="88">
        <v>0</v>
      </c>
      <c r="X301" s="88">
        <v>20</v>
      </c>
      <c r="Y301" s="88">
        <v>0</v>
      </c>
      <c r="Z301" s="88">
        <v>10</v>
      </c>
      <c r="AA301" s="88">
        <v>0</v>
      </c>
      <c r="AB301" s="88">
        <v>1</v>
      </c>
      <c r="AC301" s="88">
        <v>0</v>
      </c>
      <c r="AD301" s="88">
        <v>0</v>
      </c>
      <c r="AE301" s="88" t="s">
        <v>1133</v>
      </c>
      <c r="AF301" s="88">
        <v>0</v>
      </c>
      <c r="AG301" s="88">
        <v>0</v>
      </c>
      <c r="AH301" s="88" t="s">
        <v>1133</v>
      </c>
      <c r="AI301" s="88" t="s">
        <v>1133</v>
      </c>
      <c r="AJ301" s="88" t="s">
        <v>1133</v>
      </c>
      <c r="AK301" s="88">
        <v>2</v>
      </c>
      <c r="AL301" s="88">
        <v>20</v>
      </c>
      <c r="AM301" s="88">
        <v>9</v>
      </c>
      <c r="AN301" s="88">
        <v>0</v>
      </c>
      <c r="AO301" s="88">
        <v>1</v>
      </c>
      <c r="AP301" s="88" t="s">
        <v>1134</v>
      </c>
      <c r="AQ301" s="88" t="s">
        <v>1133</v>
      </c>
      <c r="AR301" s="88">
        <v>0</v>
      </c>
      <c r="AS301" s="88"/>
      <c r="AT301" s="88"/>
      <c r="AU301" s="88">
        <v>0</v>
      </c>
      <c r="AV301" s="88" t="s">
        <v>1133</v>
      </c>
      <c r="AW301" s="88" t="s">
        <v>1133</v>
      </c>
      <c r="AX301" s="88">
        <v>0</v>
      </c>
      <c r="AY301" s="88">
        <v>0</v>
      </c>
      <c r="AZ301" s="88">
        <v>0</v>
      </c>
      <c r="BA301" s="88">
        <v>0</v>
      </c>
      <c r="BB301" s="88" t="s">
        <v>0</v>
      </c>
    </row>
    <row r="302" spans="1:54">
      <c r="A302" s="88">
        <v>302</v>
      </c>
      <c r="B302" s="88">
        <v>302</v>
      </c>
      <c r="C302" s="88"/>
      <c r="D302" s="88" t="s">
        <v>301</v>
      </c>
      <c r="E302" s="88">
        <v>0</v>
      </c>
      <c r="F302" s="88">
        <v>1152</v>
      </c>
      <c r="G302" s="88">
        <v>1</v>
      </c>
      <c r="H302" s="88">
        <v>2</v>
      </c>
      <c r="I302" s="88">
        <v>2</v>
      </c>
      <c r="J302" s="88">
        <v>0</v>
      </c>
      <c r="K302" s="88">
        <v>0</v>
      </c>
      <c r="L302" s="88">
        <v>1</v>
      </c>
      <c r="M302" s="88">
        <v>50</v>
      </c>
      <c r="N302" s="88">
        <v>34</v>
      </c>
      <c r="O302" s="88">
        <v>1</v>
      </c>
      <c r="P302" s="88">
        <v>1</v>
      </c>
      <c r="Q302" s="88">
        <v>1</v>
      </c>
      <c r="R302" s="88">
        <v>20</v>
      </c>
      <c r="S302" s="88">
        <v>10</v>
      </c>
      <c r="T302" s="88">
        <v>0</v>
      </c>
      <c r="U302" s="88">
        <v>0</v>
      </c>
      <c r="V302" s="88">
        <v>0</v>
      </c>
      <c r="W302" s="88">
        <v>0</v>
      </c>
      <c r="X302" s="88">
        <v>20</v>
      </c>
      <c r="Y302" s="88">
        <v>0</v>
      </c>
      <c r="Z302" s="88">
        <v>10</v>
      </c>
      <c r="AA302" s="88">
        <v>0</v>
      </c>
      <c r="AB302" s="88">
        <v>1</v>
      </c>
      <c r="AC302" s="88">
        <v>0</v>
      </c>
      <c r="AD302" s="88">
        <v>0</v>
      </c>
      <c r="AE302" s="88" t="s">
        <v>1133</v>
      </c>
      <c r="AF302" s="88">
        <v>0</v>
      </c>
      <c r="AG302" s="88">
        <v>0</v>
      </c>
      <c r="AH302" s="88" t="s">
        <v>1133</v>
      </c>
      <c r="AI302" s="88" t="s">
        <v>1133</v>
      </c>
      <c r="AJ302" s="88" t="s">
        <v>1133</v>
      </c>
      <c r="AK302" s="88">
        <v>2</v>
      </c>
      <c r="AL302" s="88">
        <v>20</v>
      </c>
      <c r="AM302" s="88">
        <v>9</v>
      </c>
      <c r="AN302" s="88">
        <v>0</v>
      </c>
      <c r="AO302" s="88">
        <v>1</v>
      </c>
      <c r="AP302" s="88" t="s">
        <v>1134</v>
      </c>
      <c r="AQ302" s="88" t="s">
        <v>1133</v>
      </c>
      <c r="AR302" s="88">
        <v>0</v>
      </c>
      <c r="AS302" s="88"/>
      <c r="AT302" s="88"/>
      <c r="AU302" s="88">
        <v>0</v>
      </c>
      <c r="AV302" s="88" t="s">
        <v>1133</v>
      </c>
      <c r="AW302" s="88" t="s">
        <v>1133</v>
      </c>
      <c r="AX302" s="88">
        <v>0</v>
      </c>
      <c r="AY302" s="88">
        <v>0</v>
      </c>
      <c r="AZ302" s="88">
        <v>0</v>
      </c>
      <c r="BA302" s="88">
        <v>0</v>
      </c>
      <c r="BB302" s="88" t="s">
        <v>0</v>
      </c>
    </row>
    <row r="303" spans="1:54">
      <c r="A303" s="88">
        <v>303</v>
      </c>
      <c r="B303" s="88">
        <v>303</v>
      </c>
      <c r="C303" s="88"/>
      <c r="D303" s="88" t="s">
        <v>302</v>
      </c>
      <c r="E303" s="88">
        <v>0</v>
      </c>
      <c r="F303" s="88">
        <v>1155</v>
      </c>
      <c r="G303" s="88">
        <v>1</v>
      </c>
      <c r="H303" s="88">
        <v>2</v>
      </c>
      <c r="I303" s="88">
        <v>2</v>
      </c>
      <c r="J303" s="88">
        <v>0</v>
      </c>
      <c r="K303" s="88">
        <v>0</v>
      </c>
      <c r="L303" s="88">
        <v>1</v>
      </c>
      <c r="M303" s="88">
        <v>5</v>
      </c>
      <c r="N303" s="88">
        <v>34</v>
      </c>
      <c r="O303" s="88">
        <v>1</v>
      </c>
      <c r="P303" s="88">
        <v>1</v>
      </c>
      <c r="Q303" s="88">
        <v>1</v>
      </c>
      <c r="R303" s="88">
        <v>20</v>
      </c>
      <c r="S303" s="88">
        <v>10</v>
      </c>
      <c r="T303" s="88">
        <v>0</v>
      </c>
      <c r="U303" s="88">
        <v>0</v>
      </c>
      <c r="V303" s="88">
        <v>0</v>
      </c>
      <c r="W303" s="88">
        <v>0</v>
      </c>
      <c r="X303" s="88">
        <v>20</v>
      </c>
      <c r="Y303" s="88">
        <v>0</v>
      </c>
      <c r="Z303" s="88">
        <v>10</v>
      </c>
      <c r="AA303" s="88">
        <v>0</v>
      </c>
      <c r="AB303" s="88">
        <v>1</v>
      </c>
      <c r="AC303" s="88">
        <v>0</v>
      </c>
      <c r="AD303" s="88">
        <v>0</v>
      </c>
      <c r="AE303" s="88" t="s">
        <v>1133</v>
      </c>
      <c r="AF303" s="88">
        <v>0</v>
      </c>
      <c r="AG303" s="88">
        <v>0</v>
      </c>
      <c r="AH303" s="88" t="s">
        <v>1133</v>
      </c>
      <c r="AI303" s="88" t="s">
        <v>1133</v>
      </c>
      <c r="AJ303" s="88" t="s">
        <v>1133</v>
      </c>
      <c r="AK303" s="88">
        <v>2</v>
      </c>
      <c r="AL303" s="88">
        <v>20</v>
      </c>
      <c r="AM303" s="88">
        <v>9</v>
      </c>
      <c r="AN303" s="88">
        <v>0</v>
      </c>
      <c r="AO303" s="88">
        <v>1</v>
      </c>
      <c r="AP303" s="88" t="s">
        <v>1134</v>
      </c>
      <c r="AQ303" s="88" t="s">
        <v>1133</v>
      </c>
      <c r="AR303" s="88">
        <v>0</v>
      </c>
      <c r="AS303" s="88"/>
      <c r="AT303" s="88"/>
      <c r="AU303" s="88">
        <v>0</v>
      </c>
      <c r="AV303" s="88" t="s">
        <v>1133</v>
      </c>
      <c r="AW303" s="88" t="s">
        <v>1133</v>
      </c>
      <c r="AX303" s="88">
        <v>0</v>
      </c>
      <c r="AY303" s="88">
        <v>0</v>
      </c>
      <c r="AZ303" s="88">
        <v>0</v>
      </c>
      <c r="BA303" s="88">
        <v>0</v>
      </c>
      <c r="BB303" s="88" t="s">
        <v>0</v>
      </c>
    </row>
    <row r="304" spans="1:54">
      <c r="A304" s="88">
        <v>304</v>
      </c>
      <c r="B304" s="88">
        <v>304</v>
      </c>
      <c r="C304" s="88"/>
      <c r="D304" s="88" t="s">
        <v>1156</v>
      </c>
      <c r="E304" s="88">
        <v>0</v>
      </c>
      <c r="F304" s="88">
        <v>1155</v>
      </c>
      <c r="G304" s="88">
        <v>1</v>
      </c>
      <c r="H304" s="88">
        <v>2</v>
      </c>
      <c r="I304" s="88">
        <v>2</v>
      </c>
      <c r="J304" s="88">
        <v>0</v>
      </c>
      <c r="K304" s="88">
        <v>0</v>
      </c>
      <c r="L304" s="88">
        <v>1</v>
      </c>
      <c r="M304" s="88">
        <v>7</v>
      </c>
      <c r="N304" s="88">
        <v>34</v>
      </c>
      <c r="O304" s="88">
        <v>1</v>
      </c>
      <c r="P304" s="88">
        <v>1</v>
      </c>
      <c r="Q304" s="88">
        <v>1</v>
      </c>
      <c r="R304" s="88">
        <v>20</v>
      </c>
      <c r="S304" s="88">
        <v>10</v>
      </c>
      <c r="T304" s="88">
        <v>0</v>
      </c>
      <c r="U304" s="88">
        <v>0</v>
      </c>
      <c r="V304" s="88">
        <v>0</v>
      </c>
      <c r="W304" s="88">
        <v>0</v>
      </c>
      <c r="X304" s="88">
        <v>20</v>
      </c>
      <c r="Y304" s="88">
        <v>0</v>
      </c>
      <c r="Z304" s="88">
        <v>10</v>
      </c>
      <c r="AA304" s="88">
        <v>0</v>
      </c>
      <c r="AB304" s="88">
        <v>1</v>
      </c>
      <c r="AC304" s="88">
        <v>0</v>
      </c>
      <c r="AD304" s="88">
        <v>0</v>
      </c>
      <c r="AE304" s="88" t="s">
        <v>1133</v>
      </c>
      <c r="AF304" s="88">
        <v>0</v>
      </c>
      <c r="AG304" s="88">
        <v>0</v>
      </c>
      <c r="AH304" s="88" t="s">
        <v>1133</v>
      </c>
      <c r="AI304" s="88" t="s">
        <v>1133</v>
      </c>
      <c r="AJ304" s="88" t="s">
        <v>1133</v>
      </c>
      <c r="AK304" s="88">
        <v>2</v>
      </c>
      <c r="AL304" s="88">
        <v>20</v>
      </c>
      <c r="AM304" s="88">
        <v>9</v>
      </c>
      <c r="AN304" s="88">
        <v>0</v>
      </c>
      <c r="AO304" s="88">
        <v>1</v>
      </c>
      <c r="AP304" s="88" t="s">
        <v>1134</v>
      </c>
      <c r="AQ304" s="88" t="s">
        <v>1133</v>
      </c>
      <c r="AR304" s="88">
        <v>0</v>
      </c>
      <c r="AS304" s="88"/>
      <c r="AT304" s="88"/>
      <c r="AU304" s="88">
        <v>0</v>
      </c>
      <c r="AV304" s="88" t="s">
        <v>1133</v>
      </c>
      <c r="AW304" s="88" t="s">
        <v>1133</v>
      </c>
      <c r="AX304" s="88">
        <v>0</v>
      </c>
      <c r="AY304" s="88">
        <v>0</v>
      </c>
      <c r="AZ304" s="88">
        <v>0</v>
      </c>
      <c r="BA304" s="88">
        <v>0</v>
      </c>
      <c r="BB304" s="88" t="s">
        <v>0</v>
      </c>
    </row>
    <row r="305" spans="1:54">
      <c r="A305" s="88">
        <v>305</v>
      </c>
      <c r="B305" s="88">
        <v>305</v>
      </c>
      <c r="C305" s="88"/>
      <c r="D305" s="88" t="s">
        <v>1157</v>
      </c>
      <c r="E305" s="88">
        <v>0</v>
      </c>
      <c r="F305" s="88">
        <v>1155</v>
      </c>
      <c r="G305" s="88">
        <v>1</v>
      </c>
      <c r="H305" s="88">
        <v>2</v>
      </c>
      <c r="I305" s="88">
        <v>2</v>
      </c>
      <c r="J305" s="88">
        <v>0</v>
      </c>
      <c r="K305" s="88">
        <v>0</v>
      </c>
      <c r="L305" s="88">
        <v>1</v>
      </c>
      <c r="M305" s="88">
        <v>10</v>
      </c>
      <c r="N305" s="88">
        <v>34</v>
      </c>
      <c r="O305" s="88">
        <v>1</v>
      </c>
      <c r="P305" s="88">
        <v>1</v>
      </c>
      <c r="Q305" s="88">
        <v>1</v>
      </c>
      <c r="R305" s="88">
        <v>20</v>
      </c>
      <c r="S305" s="88">
        <v>10</v>
      </c>
      <c r="T305" s="88">
        <v>0</v>
      </c>
      <c r="U305" s="88">
        <v>0</v>
      </c>
      <c r="V305" s="88">
        <v>0</v>
      </c>
      <c r="W305" s="88">
        <v>0</v>
      </c>
      <c r="X305" s="88">
        <v>20</v>
      </c>
      <c r="Y305" s="88">
        <v>0</v>
      </c>
      <c r="Z305" s="88">
        <v>10</v>
      </c>
      <c r="AA305" s="88">
        <v>0</v>
      </c>
      <c r="AB305" s="88">
        <v>1</v>
      </c>
      <c r="AC305" s="88">
        <v>0</v>
      </c>
      <c r="AD305" s="88">
        <v>0</v>
      </c>
      <c r="AE305" s="88" t="s">
        <v>1133</v>
      </c>
      <c r="AF305" s="88">
        <v>0</v>
      </c>
      <c r="AG305" s="88">
        <v>0</v>
      </c>
      <c r="AH305" s="88" t="s">
        <v>1133</v>
      </c>
      <c r="AI305" s="88" t="s">
        <v>1133</v>
      </c>
      <c r="AJ305" s="88" t="s">
        <v>1133</v>
      </c>
      <c r="AK305" s="88">
        <v>2</v>
      </c>
      <c r="AL305" s="88">
        <v>20</v>
      </c>
      <c r="AM305" s="88">
        <v>9</v>
      </c>
      <c r="AN305" s="88">
        <v>0</v>
      </c>
      <c r="AO305" s="88">
        <v>1</v>
      </c>
      <c r="AP305" s="88" t="s">
        <v>1134</v>
      </c>
      <c r="AQ305" s="88" t="s">
        <v>1133</v>
      </c>
      <c r="AR305" s="88">
        <v>0</v>
      </c>
      <c r="AS305" s="88"/>
      <c r="AT305" s="88"/>
      <c r="AU305" s="88">
        <v>0</v>
      </c>
      <c r="AV305" s="88" t="s">
        <v>1133</v>
      </c>
      <c r="AW305" s="88" t="s">
        <v>1133</v>
      </c>
      <c r="AX305" s="88">
        <v>0</v>
      </c>
      <c r="AY305" s="88">
        <v>0</v>
      </c>
      <c r="AZ305" s="88">
        <v>0</v>
      </c>
      <c r="BA305" s="88">
        <v>0</v>
      </c>
      <c r="BB305" s="88" t="s">
        <v>0</v>
      </c>
    </row>
    <row r="306" spans="1:54">
      <c r="A306" s="88">
        <v>306</v>
      </c>
      <c r="B306" s="88">
        <v>306</v>
      </c>
      <c r="C306" s="88"/>
      <c r="D306" s="88" t="s">
        <v>1158</v>
      </c>
      <c r="E306" s="88">
        <v>0</v>
      </c>
      <c r="F306" s="88">
        <v>1155</v>
      </c>
      <c r="G306" s="88">
        <v>1</v>
      </c>
      <c r="H306" s="88">
        <v>2</v>
      </c>
      <c r="I306" s="88">
        <v>2</v>
      </c>
      <c r="J306" s="88">
        <v>0</v>
      </c>
      <c r="K306" s="88">
        <v>0</v>
      </c>
      <c r="L306" s="88">
        <v>1</v>
      </c>
      <c r="M306" s="88">
        <v>14</v>
      </c>
      <c r="N306" s="88">
        <v>34</v>
      </c>
      <c r="O306" s="88">
        <v>1</v>
      </c>
      <c r="P306" s="88">
        <v>1</v>
      </c>
      <c r="Q306" s="88">
        <v>1</v>
      </c>
      <c r="R306" s="88">
        <v>20</v>
      </c>
      <c r="S306" s="88">
        <v>10</v>
      </c>
      <c r="T306" s="88">
        <v>0</v>
      </c>
      <c r="U306" s="88">
        <v>0</v>
      </c>
      <c r="V306" s="88">
        <v>0</v>
      </c>
      <c r="W306" s="88">
        <v>0</v>
      </c>
      <c r="X306" s="88">
        <v>20</v>
      </c>
      <c r="Y306" s="88">
        <v>0</v>
      </c>
      <c r="Z306" s="88">
        <v>10</v>
      </c>
      <c r="AA306" s="88">
        <v>0</v>
      </c>
      <c r="AB306" s="88">
        <v>1</v>
      </c>
      <c r="AC306" s="88">
        <v>0</v>
      </c>
      <c r="AD306" s="88">
        <v>0</v>
      </c>
      <c r="AE306" s="88" t="s">
        <v>1133</v>
      </c>
      <c r="AF306" s="88">
        <v>0</v>
      </c>
      <c r="AG306" s="88">
        <v>0</v>
      </c>
      <c r="AH306" s="88" t="s">
        <v>1133</v>
      </c>
      <c r="AI306" s="88" t="s">
        <v>1133</v>
      </c>
      <c r="AJ306" s="88" t="s">
        <v>1133</v>
      </c>
      <c r="AK306" s="88">
        <v>2</v>
      </c>
      <c r="AL306" s="88">
        <v>20</v>
      </c>
      <c r="AM306" s="88">
        <v>9</v>
      </c>
      <c r="AN306" s="88">
        <v>0</v>
      </c>
      <c r="AO306" s="88">
        <v>1</v>
      </c>
      <c r="AP306" s="88" t="s">
        <v>1134</v>
      </c>
      <c r="AQ306" s="88" t="s">
        <v>1133</v>
      </c>
      <c r="AR306" s="88">
        <v>0</v>
      </c>
      <c r="AS306" s="88"/>
      <c r="AT306" s="88"/>
      <c r="AU306" s="88">
        <v>0</v>
      </c>
      <c r="AV306" s="88" t="s">
        <v>1133</v>
      </c>
      <c r="AW306" s="88" t="s">
        <v>1133</v>
      </c>
      <c r="AX306" s="88">
        <v>0</v>
      </c>
      <c r="AY306" s="88">
        <v>0</v>
      </c>
      <c r="AZ306" s="88">
        <v>0</v>
      </c>
      <c r="BA306" s="88">
        <v>0</v>
      </c>
      <c r="BB306" s="88" t="s">
        <v>0</v>
      </c>
    </row>
    <row r="307" spans="1:54">
      <c r="A307" s="88">
        <v>307</v>
      </c>
      <c r="B307" s="88">
        <v>307</v>
      </c>
      <c r="C307" s="88"/>
      <c r="D307" s="88" t="s">
        <v>1159</v>
      </c>
      <c r="E307" s="88">
        <v>0</v>
      </c>
      <c r="F307" s="88">
        <v>1155</v>
      </c>
      <c r="G307" s="88">
        <v>1</v>
      </c>
      <c r="H307" s="88">
        <v>2</v>
      </c>
      <c r="I307" s="88">
        <v>2</v>
      </c>
      <c r="J307" s="88">
        <v>0</v>
      </c>
      <c r="K307" s="88">
        <v>0</v>
      </c>
      <c r="L307" s="88">
        <v>1</v>
      </c>
      <c r="M307" s="88">
        <v>20</v>
      </c>
      <c r="N307" s="88">
        <v>34</v>
      </c>
      <c r="O307" s="88">
        <v>1</v>
      </c>
      <c r="P307" s="88">
        <v>1</v>
      </c>
      <c r="Q307" s="88">
        <v>1</v>
      </c>
      <c r="R307" s="88">
        <v>20</v>
      </c>
      <c r="S307" s="88">
        <v>10</v>
      </c>
      <c r="T307" s="88">
        <v>0</v>
      </c>
      <c r="U307" s="88">
        <v>0</v>
      </c>
      <c r="V307" s="88">
        <v>0</v>
      </c>
      <c r="W307" s="88">
        <v>0</v>
      </c>
      <c r="X307" s="88">
        <v>20</v>
      </c>
      <c r="Y307" s="88">
        <v>0</v>
      </c>
      <c r="Z307" s="88">
        <v>10</v>
      </c>
      <c r="AA307" s="88">
        <v>0</v>
      </c>
      <c r="AB307" s="88">
        <v>1</v>
      </c>
      <c r="AC307" s="88">
        <v>0</v>
      </c>
      <c r="AD307" s="88">
        <v>0</v>
      </c>
      <c r="AE307" s="88" t="s">
        <v>1133</v>
      </c>
      <c r="AF307" s="88">
        <v>0</v>
      </c>
      <c r="AG307" s="88">
        <v>0</v>
      </c>
      <c r="AH307" s="88" t="s">
        <v>1133</v>
      </c>
      <c r="AI307" s="88" t="s">
        <v>1133</v>
      </c>
      <c r="AJ307" s="88" t="s">
        <v>1133</v>
      </c>
      <c r="AK307" s="88">
        <v>2</v>
      </c>
      <c r="AL307" s="88">
        <v>20</v>
      </c>
      <c r="AM307" s="88">
        <v>9</v>
      </c>
      <c r="AN307" s="88">
        <v>0</v>
      </c>
      <c r="AO307" s="88">
        <v>1</v>
      </c>
      <c r="AP307" s="88" t="s">
        <v>1134</v>
      </c>
      <c r="AQ307" s="88" t="s">
        <v>1133</v>
      </c>
      <c r="AR307" s="88">
        <v>0</v>
      </c>
      <c r="AS307" s="88"/>
      <c r="AT307" s="88"/>
      <c r="AU307" s="88">
        <v>0</v>
      </c>
      <c r="AV307" s="88" t="s">
        <v>1133</v>
      </c>
      <c r="AW307" s="88" t="s">
        <v>1133</v>
      </c>
      <c r="AX307" s="88">
        <v>0</v>
      </c>
      <c r="AY307" s="88">
        <v>0</v>
      </c>
      <c r="AZ307" s="88">
        <v>0</v>
      </c>
      <c r="BA307" s="88">
        <v>0</v>
      </c>
      <c r="BB307" s="88" t="s">
        <v>0</v>
      </c>
    </row>
    <row r="308" spans="1:54">
      <c r="A308" s="88">
        <v>308</v>
      </c>
      <c r="B308" s="88">
        <v>308</v>
      </c>
      <c r="C308" s="88"/>
      <c r="D308" s="88" t="s">
        <v>1160</v>
      </c>
      <c r="E308" s="88">
        <v>0</v>
      </c>
      <c r="F308" s="88">
        <v>1155</v>
      </c>
      <c r="G308" s="88">
        <v>1</v>
      </c>
      <c r="H308" s="88">
        <v>2</v>
      </c>
      <c r="I308" s="88">
        <v>2</v>
      </c>
      <c r="J308" s="88">
        <v>0</v>
      </c>
      <c r="K308" s="88">
        <v>0</v>
      </c>
      <c r="L308" s="88">
        <v>1</v>
      </c>
      <c r="M308" s="88">
        <v>30</v>
      </c>
      <c r="N308" s="88">
        <v>34</v>
      </c>
      <c r="O308" s="88">
        <v>1</v>
      </c>
      <c r="P308" s="88">
        <v>1</v>
      </c>
      <c r="Q308" s="88">
        <v>1</v>
      </c>
      <c r="R308" s="88">
        <v>20</v>
      </c>
      <c r="S308" s="88">
        <v>10</v>
      </c>
      <c r="T308" s="88">
        <v>0</v>
      </c>
      <c r="U308" s="88">
        <v>0</v>
      </c>
      <c r="V308" s="88">
        <v>0</v>
      </c>
      <c r="W308" s="88">
        <v>0</v>
      </c>
      <c r="X308" s="88">
        <v>20</v>
      </c>
      <c r="Y308" s="88">
        <v>0</v>
      </c>
      <c r="Z308" s="88">
        <v>10</v>
      </c>
      <c r="AA308" s="88">
        <v>0</v>
      </c>
      <c r="AB308" s="88">
        <v>1</v>
      </c>
      <c r="AC308" s="88">
        <v>0</v>
      </c>
      <c r="AD308" s="88">
        <v>0</v>
      </c>
      <c r="AE308" s="88" t="s">
        <v>1133</v>
      </c>
      <c r="AF308" s="88">
        <v>0</v>
      </c>
      <c r="AG308" s="88">
        <v>0</v>
      </c>
      <c r="AH308" s="88" t="s">
        <v>1133</v>
      </c>
      <c r="AI308" s="88" t="s">
        <v>1133</v>
      </c>
      <c r="AJ308" s="88" t="s">
        <v>1133</v>
      </c>
      <c r="AK308" s="88">
        <v>2</v>
      </c>
      <c r="AL308" s="88">
        <v>20</v>
      </c>
      <c r="AM308" s="88">
        <v>9</v>
      </c>
      <c r="AN308" s="88">
        <v>0</v>
      </c>
      <c r="AO308" s="88">
        <v>1</v>
      </c>
      <c r="AP308" s="88" t="s">
        <v>1134</v>
      </c>
      <c r="AQ308" s="88" t="s">
        <v>1133</v>
      </c>
      <c r="AR308" s="88">
        <v>0</v>
      </c>
      <c r="AS308" s="88"/>
      <c r="AT308" s="88"/>
      <c r="AU308" s="88">
        <v>0</v>
      </c>
      <c r="AV308" s="88" t="s">
        <v>1133</v>
      </c>
      <c r="AW308" s="88" t="s">
        <v>1133</v>
      </c>
      <c r="AX308" s="88">
        <v>0</v>
      </c>
      <c r="AY308" s="88">
        <v>0</v>
      </c>
      <c r="AZ308" s="88">
        <v>0</v>
      </c>
      <c r="BA308" s="88">
        <v>0</v>
      </c>
      <c r="BB308" s="88" t="s">
        <v>0</v>
      </c>
    </row>
    <row r="309" spans="1:54">
      <c r="A309" s="88">
        <v>309</v>
      </c>
      <c r="B309" s="88">
        <v>309</v>
      </c>
      <c r="C309" s="88"/>
      <c r="D309" s="88" t="s">
        <v>1161</v>
      </c>
      <c r="E309" s="88">
        <v>0</v>
      </c>
      <c r="F309" s="88">
        <v>1155</v>
      </c>
      <c r="G309" s="88">
        <v>1</v>
      </c>
      <c r="H309" s="88">
        <v>2</v>
      </c>
      <c r="I309" s="88">
        <v>2</v>
      </c>
      <c r="J309" s="88">
        <v>0</v>
      </c>
      <c r="K309" s="88">
        <v>0</v>
      </c>
      <c r="L309" s="88">
        <v>1</v>
      </c>
      <c r="M309" s="88">
        <v>40</v>
      </c>
      <c r="N309" s="88">
        <v>34</v>
      </c>
      <c r="O309" s="88">
        <v>1</v>
      </c>
      <c r="P309" s="88">
        <v>1</v>
      </c>
      <c r="Q309" s="88">
        <v>1</v>
      </c>
      <c r="R309" s="88">
        <v>20</v>
      </c>
      <c r="S309" s="88">
        <v>10</v>
      </c>
      <c r="T309" s="88">
        <v>0</v>
      </c>
      <c r="U309" s="88">
        <v>0</v>
      </c>
      <c r="V309" s="88">
        <v>0</v>
      </c>
      <c r="W309" s="88">
        <v>0</v>
      </c>
      <c r="X309" s="88">
        <v>20</v>
      </c>
      <c r="Y309" s="88">
        <v>0</v>
      </c>
      <c r="Z309" s="88">
        <v>10</v>
      </c>
      <c r="AA309" s="88">
        <v>0</v>
      </c>
      <c r="AB309" s="88">
        <v>1</v>
      </c>
      <c r="AC309" s="88">
        <v>0</v>
      </c>
      <c r="AD309" s="88">
        <v>0</v>
      </c>
      <c r="AE309" s="88" t="s">
        <v>1133</v>
      </c>
      <c r="AF309" s="88">
        <v>0</v>
      </c>
      <c r="AG309" s="88">
        <v>0</v>
      </c>
      <c r="AH309" s="88" t="s">
        <v>1133</v>
      </c>
      <c r="AI309" s="88" t="s">
        <v>1133</v>
      </c>
      <c r="AJ309" s="88" t="s">
        <v>1133</v>
      </c>
      <c r="AK309" s="88">
        <v>2</v>
      </c>
      <c r="AL309" s="88">
        <v>20</v>
      </c>
      <c r="AM309" s="88">
        <v>9</v>
      </c>
      <c r="AN309" s="88">
        <v>0</v>
      </c>
      <c r="AO309" s="88">
        <v>1</v>
      </c>
      <c r="AP309" s="88" t="s">
        <v>1134</v>
      </c>
      <c r="AQ309" s="88" t="s">
        <v>1133</v>
      </c>
      <c r="AR309" s="88">
        <v>0</v>
      </c>
      <c r="AS309" s="88"/>
      <c r="AT309" s="88"/>
      <c r="AU309" s="88">
        <v>0</v>
      </c>
      <c r="AV309" s="88" t="s">
        <v>1133</v>
      </c>
      <c r="AW309" s="88" t="s">
        <v>1133</v>
      </c>
      <c r="AX309" s="88">
        <v>0</v>
      </c>
      <c r="AY309" s="88">
        <v>0</v>
      </c>
      <c r="AZ309" s="88">
        <v>0</v>
      </c>
      <c r="BA309" s="88">
        <v>0</v>
      </c>
      <c r="BB309" s="88" t="s">
        <v>0</v>
      </c>
    </row>
    <row r="310" spans="1:54">
      <c r="A310" s="88">
        <v>310</v>
      </c>
      <c r="B310" s="88">
        <v>310</v>
      </c>
      <c r="C310" s="88"/>
      <c r="D310" s="88" t="s">
        <v>309</v>
      </c>
      <c r="E310" s="88">
        <v>0</v>
      </c>
      <c r="F310" s="88">
        <v>1155</v>
      </c>
      <c r="G310" s="88">
        <v>1</v>
      </c>
      <c r="H310" s="88">
        <v>2</v>
      </c>
      <c r="I310" s="88">
        <v>2</v>
      </c>
      <c r="J310" s="88">
        <v>0</v>
      </c>
      <c r="K310" s="88">
        <v>0</v>
      </c>
      <c r="L310" s="88">
        <v>1</v>
      </c>
      <c r="M310" s="88">
        <v>50</v>
      </c>
      <c r="N310" s="88">
        <v>34</v>
      </c>
      <c r="O310" s="88">
        <v>1</v>
      </c>
      <c r="P310" s="88">
        <v>1</v>
      </c>
      <c r="Q310" s="88">
        <v>1</v>
      </c>
      <c r="R310" s="88">
        <v>20</v>
      </c>
      <c r="S310" s="88">
        <v>10</v>
      </c>
      <c r="T310" s="88">
        <v>0</v>
      </c>
      <c r="U310" s="88">
        <v>0</v>
      </c>
      <c r="V310" s="88">
        <v>0</v>
      </c>
      <c r="W310" s="88">
        <v>0</v>
      </c>
      <c r="X310" s="88">
        <v>20</v>
      </c>
      <c r="Y310" s="88">
        <v>0</v>
      </c>
      <c r="Z310" s="88">
        <v>10</v>
      </c>
      <c r="AA310" s="88">
        <v>0</v>
      </c>
      <c r="AB310" s="88">
        <v>1</v>
      </c>
      <c r="AC310" s="88">
        <v>0</v>
      </c>
      <c r="AD310" s="88">
        <v>0</v>
      </c>
      <c r="AE310" s="88" t="s">
        <v>1133</v>
      </c>
      <c r="AF310" s="88">
        <v>0</v>
      </c>
      <c r="AG310" s="88">
        <v>0</v>
      </c>
      <c r="AH310" s="88" t="s">
        <v>1133</v>
      </c>
      <c r="AI310" s="88" t="s">
        <v>1133</v>
      </c>
      <c r="AJ310" s="88" t="s">
        <v>1133</v>
      </c>
      <c r="AK310" s="88">
        <v>2</v>
      </c>
      <c r="AL310" s="88">
        <v>20</v>
      </c>
      <c r="AM310" s="88">
        <v>9</v>
      </c>
      <c r="AN310" s="88">
        <v>0</v>
      </c>
      <c r="AO310" s="88">
        <v>1</v>
      </c>
      <c r="AP310" s="88" t="s">
        <v>1134</v>
      </c>
      <c r="AQ310" s="88" t="s">
        <v>1133</v>
      </c>
      <c r="AR310" s="88">
        <v>0</v>
      </c>
      <c r="AS310" s="88"/>
      <c r="AT310" s="88"/>
      <c r="AU310" s="88">
        <v>0</v>
      </c>
      <c r="AV310" s="88" t="s">
        <v>1133</v>
      </c>
      <c r="AW310" s="88" t="s">
        <v>1133</v>
      </c>
      <c r="AX310" s="88">
        <v>0</v>
      </c>
      <c r="AY310" s="88">
        <v>0</v>
      </c>
      <c r="AZ310" s="88">
        <v>0</v>
      </c>
      <c r="BA310" s="88">
        <v>0</v>
      </c>
      <c r="BB310" s="88" t="s">
        <v>0</v>
      </c>
    </row>
    <row r="311" spans="1:54">
      <c r="A311" s="88">
        <v>311</v>
      </c>
      <c r="B311" s="88">
        <v>311</v>
      </c>
      <c r="C311" s="88"/>
      <c r="D311" s="88" t="s">
        <v>310</v>
      </c>
      <c r="E311" s="88">
        <v>0</v>
      </c>
      <c r="F311" s="88">
        <v>1155</v>
      </c>
      <c r="G311" s="88">
        <v>1</v>
      </c>
      <c r="H311" s="88">
        <v>2</v>
      </c>
      <c r="I311" s="88">
        <v>2</v>
      </c>
      <c r="J311" s="88">
        <v>0</v>
      </c>
      <c r="K311" s="88">
        <v>0</v>
      </c>
      <c r="L311" s="88">
        <v>1</v>
      </c>
      <c r="M311" s="88">
        <v>5</v>
      </c>
      <c r="N311" s="88">
        <v>34</v>
      </c>
      <c r="O311" s="88">
        <v>1</v>
      </c>
      <c r="P311" s="88">
        <v>1</v>
      </c>
      <c r="Q311" s="88">
        <v>1</v>
      </c>
      <c r="R311" s="88">
        <v>20</v>
      </c>
      <c r="S311" s="88">
        <v>10</v>
      </c>
      <c r="T311" s="88">
        <v>0</v>
      </c>
      <c r="U311" s="88">
        <v>0</v>
      </c>
      <c r="V311" s="88">
        <v>0</v>
      </c>
      <c r="W311" s="88">
        <v>0</v>
      </c>
      <c r="X311" s="88">
        <v>20</v>
      </c>
      <c r="Y311" s="88">
        <v>0</v>
      </c>
      <c r="Z311" s="88">
        <v>10</v>
      </c>
      <c r="AA311" s="88">
        <v>0</v>
      </c>
      <c r="AB311" s="88">
        <v>1</v>
      </c>
      <c r="AC311" s="88">
        <v>0</v>
      </c>
      <c r="AD311" s="88">
        <v>0</v>
      </c>
      <c r="AE311" s="88" t="s">
        <v>1133</v>
      </c>
      <c r="AF311" s="88">
        <v>0</v>
      </c>
      <c r="AG311" s="88">
        <v>0</v>
      </c>
      <c r="AH311" s="88" t="s">
        <v>1133</v>
      </c>
      <c r="AI311" s="88" t="s">
        <v>1133</v>
      </c>
      <c r="AJ311" s="88" t="s">
        <v>1133</v>
      </c>
      <c r="AK311" s="88">
        <v>2</v>
      </c>
      <c r="AL311" s="88">
        <v>20</v>
      </c>
      <c r="AM311" s="88">
        <v>9</v>
      </c>
      <c r="AN311" s="88">
        <v>0</v>
      </c>
      <c r="AO311" s="88">
        <v>1</v>
      </c>
      <c r="AP311" s="88" t="s">
        <v>1134</v>
      </c>
      <c r="AQ311" s="88" t="s">
        <v>1133</v>
      </c>
      <c r="AR311" s="88">
        <v>0</v>
      </c>
      <c r="AS311" s="88"/>
      <c r="AT311" s="88"/>
      <c r="AU311" s="88">
        <v>0</v>
      </c>
      <c r="AV311" s="88" t="s">
        <v>1133</v>
      </c>
      <c r="AW311" s="88" t="s">
        <v>1133</v>
      </c>
      <c r="AX311" s="88">
        <v>0</v>
      </c>
      <c r="AY311" s="88">
        <v>0</v>
      </c>
      <c r="AZ311" s="88">
        <v>0</v>
      </c>
      <c r="BA311" s="88">
        <v>0</v>
      </c>
      <c r="BB311" s="88" t="s">
        <v>0</v>
      </c>
    </row>
    <row r="312" spans="1:54">
      <c r="A312" s="88">
        <v>312</v>
      </c>
      <c r="B312" s="88">
        <v>312</v>
      </c>
      <c r="C312" s="88"/>
      <c r="D312" s="88" t="s">
        <v>311</v>
      </c>
      <c r="E312" s="88">
        <v>0</v>
      </c>
      <c r="F312" s="88">
        <v>1155</v>
      </c>
      <c r="G312" s="88">
        <v>1</v>
      </c>
      <c r="H312" s="88">
        <v>2</v>
      </c>
      <c r="I312" s="88">
        <v>2</v>
      </c>
      <c r="J312" s="88">
        <v>0</v>
      </c>
      <c r="K312" s="88">
        <v>0</v>
      </c>
      <c r="L312" s="88">
        <v>1</v>
      </c>
      <c r="M312" s="88">
        <v>7</v>
      </c>
      <c r="N312" s="88">
        <v>34</v>
      </c>
      <c r="O312" s="88">
        <v>1</v>
      </c>
      <c r="P312" s="88">
        <v>1</v>
      </c>
      <c r="Q312" s="88">
        <v>1</v>
      </c>
      <c r="R312" s="88">
        <v>20</v>
      </c>
      <c r="S312" s="88">
        <v>10</v>
      </c>
      <c r="T312" s="88">
        <v>0</v>
      </c>
      <c r="U312" s="88">
        <v>0</v>
      </c>
      <c r="V312" s="88">
        <v>0</v>
      </c>
      <c r="W312" s="88">
        <v>0</v>
      </c>
      <c r="X312" s="88">
        <v>20</v>
      </c>
      <c r="Y312" s="88">
        <v>0</v>
      </c>
      <c r="Z312" s="88">
        <v>10</v>
      </c>
      <c r="AA312" s="88">
        <v>0</v>
      </c>
      <c r="AB312" s="88">
        <v>1</v>
      </c>
      <c r="AC312" s="88">
        <v>0</v>
      </c>
      <c r="AD312" s="88">
        <v>0</v>
      </c>
      <c r="AE312" s="88" t="s">
        <v>1133</v>
      </c>
      <c r="AF312" s="88">
        <v>0</v>
      </c>
      <c r="AG312" s="88">
        <v>0</v>
      </c>
      <c r="AH312" s="88" t="s">
        <v>1133</v>
      </c>
      <c r="AI312" s="88" t="s">
        <v>1133</v>
      </c>
      <c r="AJ312" s="88" t="s">
        <v>1133</v>
      </c>
      <c r="AK312" s="88">
        <v>2</v>
      </c>
      <c r="AL312" s="88">
        <v>20</v>
      </c>
      <c r="AM312" s="88">
        <v>9</v>
      </c>
      <c r="AN312" s="88">
        <v>0</v>
      </c>
      <c r="AO312" s="88">
        <v>1</v>
      </c>
      <c r="AP312" s="88" t="s">
        <v>1134</v>
      </c>
      <c r="AQ312" s="88" t="s">
        <v>1133</v>
      </c>
      <c r="AR312" s="88">
        <v>0</v>
      </c>
      <c r="AS312" s="88"/>
      <c r="AT312" s="88"/>
      <c r="AU312" s="88">
        <v>0</v>
      </c>
      <c r="AV312" s="88" t="s">
        <v>1133</v>
      </c>
      <c r="AW312" s="88" t="s">
        <v>1133</v>
      </c>
      <c r="AX312" s="88">
        <v>0</v>
      </c>
      <c r="AY312" s="88">
        <v>0</v>
      </c>
      <c r="AZ312" s="88">
        <v>0</v>
      </c>
      <c r="BA312" s="88">
        <v>0</v>
      </c>
      <c r="BB312" s="88" t="s">
        <v>0</v>
      </c>
    </row>
    <row r="313" spans="1:54">
      <c r="A313" s="88">
        <v>313</v>
      </c>
      <c r="B313" s="88">
        <v>313</v>
      </c>
      <c r="C313" s="88"/>
      <c r="D313" s="88" t="s">
        <v>1162</v>
      </c>
      <c r="E313" s="88">
        <v>0</v>
      </c>
      <c r="F313" s="88">
        <v>1155</v>
      </c>
      <c r="G313" s="88">
        <v>1</v>
      </c>
      <c r="H313" s="88">
        <v>2</v>
      </c>
      <c r="I313" s="88">
        <v>2</v>
      </c>
      <c r="J313" s="88">
        <v>0</v>
      </c>
      <c r="K313" s="88">
        <v>0</v>
      </c>
      <c r="L313" s="88">
        <v>1</v>
      </c>
      <c r="M313" s="88">
        <v>10</v>
      </c>
      <c r="N313" s="88">
        <v>34</v>
      </c>
      <c r="O313" s="88">
        <v>1</v>
      </c>
      <c r="P313" s="88">
        <v>1</v>
      </c>
      <c r="Q313" s="88">
        <v>1</v>
      </c>
      <c r="R313" s="88">
        <v>20</v>
      </c>
      <c r="S313" s="88">
        <v>10</v>
      </c>
      <c r="T313" s="88">
        <v>0</v>
      </c>
      <c r="U313" s="88">
        <v>0</v>
      </c>
      <c r="V313" s="88">
        <v>0</v>
      </c>
      <c r="W313" s="88">
        <v>0</v>
      </c>
      <c r="X313" s="88">
        <v>20</v>
      </c>
      <c r="Y313" s="88">
        <v>0</v>
      </c>
      <c r="Z313" s="88">
        <v>10</v>
      </c>
      <c r="AA313" s="88">
        <v>0</v>
      </c>
      <c r="AB313" s="88">
        <v>1</v>
      </c>
      <c r="AC313" s="88">
        <v>0</v>
      </c>
      <c r="AD313" s="88">
        <v>0</v>
      </c>
      <c r="AE313" s="88" t="s">
        <v>1133</v>
      </c>
      <c r="AF313" s="88">
        <v>0</v>
      </c>
      <c r="AG313" s="88">
        <v>0</v>
      </c>
      <c r="AH313" s="88" t="s">
        <v>1133</v>
      </c>
      <c r="AI313" s="88" t="s">
        <v>1133</v>
      </c>
      <c r="AJ313" s="88" t="s">
        <v>1133</v>
      </c>
      <c r="AK313" s="88">
        <v>2</v>
      </c>
      <c r="AL313" s="88">
        <v>20</v>
      </c>
      <c r="AM313" s="88">
        <v>9</v>
      </c>
      <c r="AN313" s="88">
        <v>0</v>
      </c>
      <c r="AO313" s="88">
        <v>1</v>
      </c>
      <c r="AP313" s="88" t="s">
        <v>1134</v>
      </c>
      <c r="AQ313" s="88" t="s">
        <v>1133</v>
      </c>
      <c r="AR313" s="88">
        <v>0</v>
      </c>
      <c r="AS313" s="88"/>
      <c r="AT313" s="88"/>
      <c r="AU313" s="88">
        <v>0</v>
      </c>
      <c r="AV313" s="88" t="s">
        <v>1133</v>
      </c>
      <c r="AW313" s="88" t="s">
        <v>1133</v>
      </c>
      <c r="AX313" s="88">
        <v>0</v>
      </c>
      <c r="AY313" s="88">
        <v>0</v>
      </c>
      <c r="AZ313" s="88">
        <v>0</v>
      </c>
      <c r="BA313" s="88">
        <v>0</v>
      </c>
      <c r="BB313" s="88" t="s">
        <v>0</v>
      </c>
    </row>
    <row r="314" spans="1:54">
      <c r="A314" s="88">
        <v>314</v>
      </c>
      <c r="B314" s="88">
        <v>314</v>
      </c>
      <c r="C314" s="88"/>
      <c r="D314" s="88" t="s">
        <v>1163</v>
      </c>
      <c r="E314" s="88">
        <v>0</v>
      </c>
      <c r="F314" s="88">
        <v>1155</v>
      </c>
      <c r="G314" s="88">
        <v>1</v>
      </c>
      <c r="H314" s="88">
        <v>2</v>
      </c>
      <c r="I314" s="88">
        <v>2</v>
      </c>
      <c r="J314" s="88">
        <v>0</v>
      </c>
      <c r="K314" s="88">
        <v>0</v>
      </c>
      <c r="L314" s="88">
        <v>1</v>
      </c>
      <c r="M314" s="88">
        <v>14</v>
      </c>
      <c r="N314" s="88">
        <v>34</v>
      </c>
      <c r="O314" s="88">
        <v>1</v>
      </c>
      <c r="P314" s="88">
        <v>1</v>
      </c>
      <c r="Q314" s="88">
        <v>1</v>
      </c>
      <c r="R314" s="88">
        <v>20</v>
      </c>
      <c r="S314" s="88">
        <v>10</v>
      </c>
      <c r="T314" s="88">
        <v>0</v>
      </c>
      <c r="U314" s="88">
        <v>0</v>
      </c>
      <c r="V314" s="88">
        <v>0</v>
      </c>
      <c r="W314" s="88">
        <v>0</v>
      </c>
      <c r="X314" s="88">
        <v>20</v>
      </c>
      <c r="Y314" s="88">
        <v>0</v>
      </c>
      <c r="Z314" s="88">
        <v>10</v>
      </c>
      <c r="AA314" s="88">
        <v>0</v>
      </c>
      <c r="AB314" s="88">
        <v>1</v>
      </c>
      <c r="AC314" s="88">
        <v>0</v>
      </c>
      <c r="AD314" s="88">
        <v>0</v>
      </c>
      <c r="AE314" s="88" t="s">
        <v>1133</v>
      </c>
      <c r="AF314" s="88">
        <v>0</v>
      </c>
      <c r="AG314" s="88">
        <v>0</v>
      </c>
      <c r="AH314" s="88" t="s">
        <v>1133</v>
      </c>
      <c r="AI314" s="88" t="s">
        <v>1133</v>
      </c>
      <c r="AJ314" s="88" t="s">
        <v>1133</v>
      </c>
      <c r="AK314" s="88">
        <v>2</v>
      </c>
      <c r="AL314" s="88">
        <v>20</v>
      </c>
      <c r="AM314" s="88">
        <v>9</v>
      </c>
      <c r="AN314" s="88">
        <v>0</v>
      </c>
      <c r="AO314" s="88">
        <v>1</v>
      </c>
      <c r="AP314" s="88" t="s">
        <v>1134</v>
      </c>
      <c r="AQ314" s="88" t="s">
        <v>1133</v>
      </c>
      <c r="AR314" s="88">
        <v>0</v>
      </c>
      <c r="AS314" s="88"/>
      <c r="AT314" s="88"/>
      <c r="AU314" s="88">
        <v>0</v>
      </c>
      <c r="AV314" s="88" t="s">
        <v>1133</v>
      </c>
      <c r="AW314" s="88" t="s">
        <v>1133</v>
      </c>
      <c r="AX314" s="88">
        <v>0</v>
      </c>
      <c r="AY314" s="88">
        <v>0</v>
      </c>
      <c r="AZ314" s="88">
        <v>0</v>
      </c>
      <c r="BA314" s="88">
        <v>0</v>
      </c>
      <c r="BB314" s="88" t="s">
        <v>0</v>
      </c>
    </row>
    <row r="315" spans="1:54">
      <c r="A315" s="88">
        <v>315</v>
      </c>
      <c r="B315" s="88">
        <v>315</v>
      </c>
      <c r="C315" s="88"/>
      <c r="D315" s="88" t="s">
        <v>1164</v>
      </c>
      <c r="E315" s="88">
        <v>0</v>
      </c>
      <c r="F315" s="88">
        <v>1155</v>
      </c>
      <c r="G315" s="88">
        <v>1</v>
      </c>
      <c r="H315" s="88">
        <v>2</v>
      </c>
      <c r="I315" s="88">
        <v>2</v>
      </c>
      <c r="J315" s="88">
        <v>0</v>
      </c>
      <c r="K315" s="88">
        <v>0</v>
      </c>
      <c r="L315" s="88">
        <v>1</v>
      </c>
      <c r="M315" s="88">
        <v>20</v>
      </c>
      <c r="N315" s="88">
        <v>34</v>
      </c>
      <c r="O315" s="88">
        <v>1</v>
      </c>
      <c r="P315" s="88">
        <v>1</v>
      </c>
      <c r="Q315" s="88">
        <v>1</v>
      </c>
      <c r="R315" s="88">
        <v>20</v>
      </c>
      <c r="S315" s="88">
        <v>10</v>
      </c>
      <c r="T315" s="88">
        <v>0</v>
      </c>
      <c r="U315" s="88">
        <v>0</v>
      </c>
      <c r="V315" s="88">
        <v>0</v>
      </c>
      <c r="W315" s="88">
        <v>0</v>
      </c>
      <c r="X315" s="88">
        <v>20</v>
      </c>
      <c r="Y315" s="88">
        <v>0</v>
      </c>
      <c r="Z315" s="88">
        <v>10</v>
      </c>
      <c r="AA315" s="88">
        <v>0</v>
      </c>
      <c r="AB315" s="88">
        <v>1</v>
      </c>
      <c r="AC315" s="88">
        <v>0</v>
      </c>
      <c r="AD315" s="88">
        <v>0</v>
      </c>
      <c r="AE315" s="88" t="s">
        <v>1133</v>
      </c>
      <c r="AF315" s="88">
        <v>0</v>
      </c>
      <c r="AG315" s="88">
        <v>0</v>
      </c>
      <c r="AH315" s="88" t="s">
        <v>1133</v>
      </c>
      <c r="AI315" s="88" t="s">
        <v>1133</v>
      </c>
      <c r="AJ315" s="88" t="s">
        <v>1133</v>
      </c>
      <c r="AK315" s="88">
        <v>2</v>
      </c>
      <c r="AL315" s="88">
        <v>20</v>
      </c>
      <c r="AM315" s="88">
        <v>9</v>
      </c>
      <c r="AN315" s="88">
        <v>0</v>
      </c>
      <c r="AO315" s="88">
        <v>1</v>
      </c>
      <c r="AP315" s="88" t="s">
        <v>1134</v>
      </c>
      <c r="AQ315" s="88" t="s">
        <v>1133</v>
      </c>
      <c r="AR315" s="88">
        <v>0</v>
      </c>
      <c r="AS315" s="88"/>
      <c r="AT315" s="88"/>
      <c r="AU315" s="88">
        <v>0</v>
      </c>
      <c r="AV315" s="88" t="s">
        <v>1133</v>
      </c>
      <c r="AW315" s="88" t="s">
        <v>1133</v>
      </c>
      <c r="AX315" s="88">
        <v>0</v>
      </c>
      <c r="AY315" s="88">
        <v>0</v>
      </c>
      <c r="AZ315" s="88">
        <v>0</v>
      </c>
      <c r="BA315" s="88">
        <v>0</v>
      </c>
      <c r="BB315" s="88" t="s">
        <v>0</v>
      </c>
    </row>
    <row r="316" spans="1:54">
      <c r="A316" s="88">
        <v>316</v>
      </c>
      <c r="B316" s="88">
        <v>316</v>
      </c>
      <c r="C316" s="88"/>
      <c r="D316" s="88" t="s">
        <v>315</v>
      </c>
      <c r="E316" s="88">
        <v>0</v>
      </c>
      <c r="F316" s="88">
        <v>1155</v>
      </c>
      <c r="G316" s="88">
        <v>1</v>
      </c>
      <c r="H316" s="88">
        <v>2</v>
      </c>
      <c r="I316" s="88">
        <v>2</v>
      </c>
      <c r="J316" s="88">
        <v>0</v>
      </c>
      <c r="K316" s="88">
        <v>0</v>
      </c>
      <c r="L316" s="88">
        <v>1</v>
      </c>
      <c r="M316" s="88">
        <v>30</v>
      </c>
      <c r="N316" s="88">
        <v>34</v>
      </c>
      <c r="O316" s="88">
        <v>1</v>
      </c>
      <c r="P316" s="88">
        <v>1</v>
      </c>
      <c r="Q316" s="88">
        <v>1</v>
      </c>
      <c r="R316" s="88">
        <v>20</v>
      </c>
      <c r="S316" s="88">
        <v>10</v>
      </c>
      <c r="T316" s="88">
        <v>0</v>
      </c>
      <c r="U316" s="88">
        <v>0</v>
      </c>
      <c r="V316" s="88">
        <v>0</v>
      </c>
      <c r="W316" s="88">
        <v>0</v>
      </c>
      <c r="X316" s="88">
        <v>20</v>
      </c>
      <c r="Y316" s="88">
        <v>0</v>
      </c>
      <c r="Z316" s="88">
        <v>10</v>
      </c>
      <c r="AA316" s="88">
        <v>0</v>
      </c>
      <c r="AB316" s="88">
        <v>1</v>
      </c>
      <c r="AC316" s="88">
        <v>0</v>
      </c>
      <c r="AD316" s="88">
        <v>0</v>
      </c>
      <c r="AE316" s="88" t="s">
        <v>1133</v>
      </c>
      <c r="AF316" s="88">
        <v>0</v>
      </c>
      <c r="AG316" s="88">
        <v>0</v>
      </c>
      <c r="AH316" s="88" t="s">
        <v>1133</v>
      </c>
      <c r="AI316" s="88" t="s">
        <v>1133</v>
      </c>
      <c r="AJ316" s="88" t="s">
        <v>1133</v>
      </c>
      <c r="AK316" s="88">
        <v>2</v>
      </c>
      <c r="AL316" s="88">
        <v>20</v>
      </c>
      <c r="AM316" s="88">
        <v>9</v>
      </c>
      <c r="AN316" s="88">
        <v>0</v>
      </c>
      <c r="AO316" s="88">
        <v>1</v>
      </c>
      <c r="AP316" s="88" t="s">
        <v>1134</v>
      </c>
      <c r="AQ316" s="88" t="s">
        <v>1133</v>
      </c>
      <c r="AR316" s="88">
        <v>0</v>
      </c>
      <c r="AS316" s="88"/>
      <c r="AT316" s="88"/>
      <c r="AU316" s="88">
        <v>0</v>
      </c>
      <c r="AV316" s="88" t="s">
        <v>1133</v>
      </c>
      <c r="AW316" s="88" t="s">
        <v>1133</v>
      </c>
      <c r="AX316" s="88">
        <v>0</v>
      </c>
      <c r="AY316" s="88">
        <v>0</v>
      </c>
      <c r="AZ316" s="88">
        <v>0</v>
      </c>
      <c r="BA316" s="88">
        <v>0</v>
      </c>
      <c r="BB316" s="88" t="s">
        <v>0</v>
      </c>
    </row>
    <row r="317" spans="1:54">
      <c r="A317" s="88">
        <v>317</v>
      </c>
      <c r="B317" s="88">
        <v>317</v>
      </c>
      <c r="C317" s="88"/>
      <c r="D317" s="88" t="s">
        <v>1165</v>
      </c>
      <c r="E317" s="88">
        <v>0</v>
      </c>
      <c r="F317" s="88">
        <v>1155</v>
      </c>
      <c r="G317" s="88">
        <v>1</v>
      </c>
      <c r="H317" s="88">
        <v>2</v>
      </c>
      <c r="I317" s="88">
        <v>2</v>
      </c>
      <c r="J317" s="88">
        <v>0</v>
      </c>
      <c r="K317" s="88">
        <v>0</v>
      </c>
      <c r="L317" s="88">
        <v>1</v>
      </c>
      <c r="M317" s="88">
        <v>40</v>
      </c>
      <c r="N317" s="88">
        <v>34</v>
      </c>
      <c r="O317" s="88">
        <v>1</v>
      </c>
      <c r="P317" s="88">
        <v>1</v>
      </c>
      <c r="Q317" s="88">
        <v>1</v>
      </c>
      <c r="R317" s="88">
        <v>20</v>
      </c>
      <c r="S317" s="88">
        <v>10</v>
      </c>
      <c r="T317" s="88">
        <v>0</v>
      </c>
      <c r="U317" s="88">
        <v>0</v>
      </c>
      <c r="V317" s="88">
        <v>0</v>
      </c>
      <c r="W317" s="88">
        <v>0</v>
      </c>
      <c r="X317" s="88">
        <v>20</v>
      </c>
      <c r="Y317" s="88">
        <v>0</v>
      </c>
      <c r="Z317" s="88">
        <v>10</v>
      </c>
      <c r="AA317" s="88">
        <v>0</v>
      </c>
      <c r="AB317" s="88">
        <v>1</v>
      </c>
      <c r="AC317" s="88">
        <v>0</v>
      </c>
      <c r="AD317" s="88">
        <v>0</v>
      </c>
      <c r="AE317" s="88" t="s">
        <v>1133</v>
      </c>
      <c r="AF317" s="88">
        <v>0</v>
      </c>
      <c r="AG317" s="88">
        <v>0</v>
      </c>
      <c r="AH317" s="88" t="s">
        <v>1133</v>
      </c>
      <c r="AI317" s="88" t="s">
        <v>1133</v>
      </c>
      <c r="AJ317" s="88" t="s">
        <v>1133</v>
      </c>
      <c r="AK317" s="88">
        <v>2</v>
      </c>
      <c r="AL317" s="88">
        <v>20</v>
      </c>
      <c r="AM317" s="88">
        <v>9</v>
      </c>
      <c r="AN317" s="88">
        <v>0</v>
      </c>
      <c r="AO317" s="88">
        <v>1</v>
      </c>
      <c r="AP317" s="88" t="s">
        <v>1134</v>
      </c>
      <c r="AQ317" s="88" t="s">
        <v>1133</v>
      </c>
      <c r="AR317" s="88">
        <v>0</v>
      </c>
      <c r="AS317" s="88"/>
      <c r="AT317" s="88"/>
      <c r="AU317" s="88">
        <v>0</v>
      </c>
      <c r="AV317" s="88" t="s">
        <v>1133</v>
      </c>
      <c r="AW317" s="88" t="s">
        <v>1133</v>
      </c>
      <c r="AX317" s="88">
        <v>0</v>
      </c>
      <c r="AY317" s="88">
        <v>0</v>
      </c>
      <c r="AZ317" s="88">
        <v>0</v>
      </c>
      <c r="BA317" s="88">
        <v>0</v>
      </c>
      <c r="BB317" s="88" t="s">
        <v>0</v>
      </c>
    </row>
    <row r="318" spans="1:54">
      <c r="A318" s="88">
        <v>318</v>
      </c>
      <c r="B318" s="88">
        <v>318</v>
      </c>
      <c r="C318" s="88"/>
      <c r="D318" s="88" t="s">
        <v>1166</v>
      </c>
      <c r="E318" s="88">
        <v>0</v>
      </c>
      <c r="F318" s="88">
        <v>1155</v>
      </c>
      <c r="G318" s="88">
        <v>1</v>
      </c>
      <c r="H318" s="88">
        <v>2</v>
      </c>
      <c r="I318" s="88">
        <v>2</v>
      </c>
      <c r="J318" s="88">
        <v>0</v>
      </c>
      <c r="K318" s="88">
        <v>0</v>
      </c>
      <c r="L318" s="88">
        <v>1</v>
      </c>
      <c r="M318" s="88">
        <v>50</v>
      </c>
      <c r="N318" s="88">
        <v>34</v>
      </c>
      <c r="O318" s="88">
        <v>1</v>
      </c>
      <c r="P318" s="88">
        <v>1</v>
      </c>
      <c r="Q318" s="88">
        <v>1</v>
      </c>
      <c r="R318" s="88">
        <v>20</v>
      </c>
      <c r="S318" s="88">
        <v>10</v>
      </c>
      <c r="T318" s="88">
        <v>0</v>
      </c>
      <c r="U318" s="88">
        <v>0</v>
      </c>
      <c r="V318" s="88">
        <v>0</v>
      </c>
      <c r="W318" s="88">
        <v>0</v>
      </c>
      <c r="X318" s="88">
        <v>20</v>
      </c>
      <c r="Y318" s="88">
        <v>0</v>
      </c>
      <c r="Z318" s="88">
        <v>10</v>
      </c>
      <c r="AA318" s="88">
        <v>0</v>
      </c>
      <c r="AB318" s="88">
        <v>1</v>
      </c>
      <c r="AC318" s="88">
        <v>0</v>
      </c>
      <c r="AD318" s="88">
        <v>0</v>
      </c>
      <c r="AE318" s="88" t="s">
        <v>1133</v>
      </c>
      <c r="AF318" s="88">
        <v>0</v>
      </c>
      <c r="AG318" s="88">
        <v>0</v>
      </c>
      <c r="AH318" s="88" t="s">
        <v>1133</v>
      </c>
      <c r="AI318" s="88" t="s">
        <v>1133</v>
      </c>
      <c r="AJ318" s="88" t="s">
        <v>1133</v>
      </c>
      <c r="AK318" s="88">
        <v>2</v>
      </c>
      <c r="AL318" s="88">
        <v>20</v>
      </c>
      <c r="AM318" s="88">
        <v>9</v>
      </c>
      <c r="AN318" s="88">
        <v>0</v>
      </c>
      <c r="AO318" s="88">
        <v>1</v>
      </c>
      <c r="AP318" s="88" t="s">
        <v>1134</v>
      </c>
      <c r="AQ318" s="88" t="s">
        <v>1133</v>
      </c>
      <c r="AR318" s="88">
        <v>0</v>
      </c>
      <c r="AS318" s="88"/>
      <c r="AT318" s="88"/>
      <c r="AU318" s="88">
        <v>0</v>
      </c>
      <c r="AV318" s="88" t="s">
        <v>1133</v>
      </c>
      <c r="AW318" s="88" t="s">
        <v>1133</v>
      </c>
      <c r="AX318" s="88">
        <v>0</v>
      </c>
      <c r="AY318" s="88">
        <v>0</v>
      </c>
      <c r="AZ318" s="88">
        <v>0</v>
      </c>
      <c r="BA318" s="88">
        <v>0</v>
      </c>
      <c r="BB318" s="88" t="s">
        <v>0</v>
      </c>
    </row>
    <row r="319" spans="1:54">
      <c r="A319" s="88">
        <v>319</v>
      </c>
      <c r="B319" s="88">
        <v>319</v>
      </c>
      <c r="C319" s="88"/>
      <c r="D319" s="88" t="s">
        <v>1167</v>
      </c>
      <c r="E319" s="88">
        <v>0</v>
      </c>
      <c r="F319" s="88">
        <v>1154</v>
      </c>
      <c r="G319" s="88">
        <v>1</v>
      </c>
      <c r="H319" s="88">
        <v>2</v>
      </c>
      <c r="I319" s="88">
        <v>2</v>
      </c>
      <c r="J319" s="88">
        <v>0</v>
      </c>
      <c r="K319" s="88">
        <v>0</v>
      </c>
      <c r="L319" s="88">
        <v>1</v>
      </c>
      <c r="M319" s="88">
        <v>5</v>
      </c>
      <c r="N319" s="88">
        <v>34</v>
      </c>
      <c r="O319" s="88">
        <v>1</v>
      </c>
      <c r="P319" s="88">
        <v>1</v>
      </c>
      <c r="Q319" s="88">
        <v>1</v>
      </c>
      <c r="R319" s="88">
        <v>20</v>
      </c>
      <c r="S319" s="88">
        <v>10</v>
      </c>
      <c r="T319" s="88">
        <v>0</v>
      </c>
      <c r="U319" s="88">
        <v>0</v>
      </c>
      <c r="V319" s="88">
        <v>0</v>
      </c>
      <c r="W319" s="88">
        <v>0</v>
      </c>
      <c r="X319" s="88">
        <v>20</v>
      </c>
      <c r="Y319" s="88">
        <v>0</v>
      </c>
      <c r="Z319" s="88">
        <v>10</v>
      </c>
      <c r="AA319" s="88">
        <v>0</v>
      </c>
      <c r="AB319" s="88">
        <v>1</v>
      </c>
      <c r="AC319" s="88">
        <v>0</v>
      </c>
      <c r="AD319" s="88">
        <v>0</v>
      </c>
      <c r="AE319" s="88" t="s">
        <v>1133</v>
      </c>
      <c r="AF319" s="88">
        <v>0</v>
      </c>
      <c r="AG319" s="88">
        <v>0</v>
      </c>
      <c r="AH319" s="88" t="s">
        <v>1133</v>
      </c>
      <c r="AI319" s="88" t="s">
        <v>1133</v>
      </c>
      <c r="AJ319" s="88" t="s">
        <v>1133</v>
      </c>
      <c r="AK319" s="88">
        <v>2</v>
      </c>
      <c r="AL319" s="88">
        <v>20</v>
      </c>
      <c r="AM319" s="88">
        <v>9</v>
      </c>
      <c r="AN319" s="88">
        <v>0</v>
      </c>
      <c r="AO319" s="88">
        <v>1</v>
      </c>
      <c r="AP319" s="88" t="s">
        <v>1134</v>
      </c>
      <c r="AQ319" s="88" t="s">
        <v>1133</v>
      </c>
      <c r="AR319" s="88">
        <v>0</v>
      </c>
      <c r="AS319" s="88"/>
      <c r="AT319" s="88"/>
      <c r="AU319" s="88">
        <v>0</v>
      </c>
      <c r="AV319" s="88" t="s">
        <v>1133</v>
      </c>
      <c r="AW319" s="88" t="s">
        <v>1133</v>
      </c>
      <c r="AX319" s="88">
        <v>0</v>
      </c>
      <c r="AY319" s="88">
        <v>0</v>
      </c>
      <c r="AZ319" s="88">
        <v>0</v>
      </c>
      <c r="BA319" s="88">
        <v>0</v>
      </c>
      <c r="BB319" s="88" t="s">
        <v>0</v>
      </c>
    </row>
    <row r="320" spans="1:54">
      <c r="A320" s="88">
        <v>320</v>
      </c>
      <c r="B320" s="88">
        <v>320</v>
      </c>
      <c r="C320" s="88"/>
      <c r="D320" s="88" t="s">
        <v>319</v>
      </c>
      <c r="E320" s="88">
        <v>0</v>
      </c>
      <c r="F320" s="88">
        <v>1154</v>
      </c>
      <c r="G320" s="88">
        <v>1</v>
      </c>
      <c r="H320" s="88">
        <v>2</v>
      </c>
      <c r="I320" s="88">
        <v>2</v>
      </c>
      <c r="J320" s="88">
        <v>0</v>
      </c>
      <c r="K320" s="88">
        <v>0</v>
      </c>
      <c r="L320" s="88">
        <v>1</v>
      </c>
      <c r="M320" s="88">
        <v>7</v>
      </c>
      <c r="N320" s="88">
        <v>34</v>
      </c>
      <c r="O320" s="88">
        <v>1</v>
      </c>
      <c r="P320" s="88">
        <v>1</v>
      </c>
      <c r="Q320" s="88">
        <v>1</v>
      </c>
      <c r="R320" s="88">
        <v>20</v>
      </c>
      <c r="S320" s="88">
        <v>10</v>
      </c>
      <c r="T320" s="88">
        <v>0</v>
      </c>
      <c r="U320" s="88">
        <v>0</v>
      </c>
      <c r="V320" s="88">
        <v>0</v>
      </c>
      <c r="W320" s="88">
        <v>0</v>
      </c>
      <c r="X320" s="88">
        <v>20</v>
      </c>
      <c r="Y320" s="88">
        <v>0</v>
      </c>
      <c r="Z320" s="88">
        <v>10</v>
      </c>
      <c r="AA320" s="88">
        <v>0</v>
      </c>
      <c r="AB320" s="88">
        <v>1</v>
      </c>
      <c r="AC320" s="88">
        <v>0</v>
      </c>
      <c r="AD320" s="88">
        <v>0</v>
      </c>
      <c r="AE320" s="88" t="s">
        <v>1133</v>
      </c>
      <c r="AF320" s="88">
        <v>0</v>
      </c>
      <c r="AG320" s="88">
        <v>0</v>
      </c>
      <c r="AH320" s="88" t="s">
        <v>1133</v>
      </c>
      <c r="AI320" s="88" t="s">
        <v>1133</v>
      </c>
      <c r="AJ320" s="88" t="s">
        <v>1133</v>
      </c>
      <c r="AK320" s="88">
        <v>2</v>
      </c>
      <c r="AL320" s="88">
        <v>20</v>
      </c>
      <c r="AM320" s="88">
        <v>9</v>
      </c>
      <c r="AN320" s="88">
        <v>0</v>
      </c>
      <c r="AO320" s="88">
        <v>1</v>
      </c>
      <c r="AP320" s="88" t="s">
        <v>1134</v>
      </c>
      <c r="AQ320" s="88" t="s">
        <v>1133</v>
      </c>
      <c r="AR320" s="88">
        <v>0</v>
      </c>
      <c r="AS320" s="88"/>
      <c r="AT320" s="88"/>
      <c r="AU320" s="88">
        <v>0</v>
      </c>
      <c r="AV320" s="88" t="s">
        <v>1133</v>
      </c>
      <c r="AW320" s="88" t="s">
        <v>1133</v>
      </c>
      <c r="AX320" s="88">
        <v>0</v>
      </c>
      <c r="AY320" s="88">
        <v>0</v>
      </c>
      <c r="AZ320" s="88">
        <v>0</v>
      </c>
      <c r="BA320" s="88">
        <v>0</v>
      </c>
      <c r="BB320" s="88" t="s">
        <v>0</v>
      </c>
    </row>
    <row r="321" spans="1:54">
      <c r="A321" s="88">
        <v>321</v>
      </c>
      <c r="B321" s="88">
        <v>321</v>
      </c>
      <c r="C321" s="88"/>
      <c r="D321" s="88" t="s">
        <v>320</v>
      </c>
      <c r="E321" s="88">
        <v>0</v>
      </c>
      <c r="F321" s="88">
        <v>1154</v>
      </c>
      <c r="G321" s="88">
        <v>1</v>
      </c>
      <c r="H321" s="88">
        <v>2</v>
      </c>
      <c r="I321" s="88">
        <v>2</v>
      </c>
      <c r="J321" s="88">
        <v>0</v>
      </c>
      <c r="K321" s="88">
        <v>0</v>
      </c>
      <c r="L321" s="88">
        <v>1</v>
      </c>
      <c r="M321" s="88">
        <v>10</v>
      </c>
      <c r="N321" s="88">
        <v>34</v>
      </c>
      <c r="O321" s="88">
        <v>1</v>
      </c>
      <c r="P321" s="88">
        <v>1</v>
      </c>
      <c r="Q321" s="88">
        <v>1</v>
      </c>
      <c r="R321" s="88">
        <v>20</v>
      </c>
      <c r="S321" s="88">
        <v>10</v>
      </c>
      <c r="T321" s="88">
        <v>0</v>
      </c>
      <c r="U321" s="88">
        <v>0</v>
      </c>
      <c r="V321" s="88">
        <v>0</v>
      </c>
      <c r="W321" s="88">
        <v>0</v>
      </c>
      <c r="X321" s="88">
        <v>20</v>
      </c>
      <c r="Y321" s="88">
        <v>0</v>
      </c>
      <c r="Z321" s="88">
        <v>10</v>
      </c>
      <c r="AA321" s="88">
        <v>0</v>
      </c>
      <c r="AB321" s="88">
        <v>1</v>
      </c>
      <c r="AC321" s="88">
        <v>0</v>
      </c>
      <c r="AD321" s="88">
        <v>0</v>
      </c>
      <c r="AE321" s="88" t="s">
        <v>1133</v>
      </c>
      <c r="AF321" s="88">
        <v>0</v>
      </c>
      <c r="AG321" s="88">
        <v>0</v>
      </c>
      <c r="AH321" s="88" t="s">
        <v>1133</v>
      </c>
      <c r="AI321" s="88" t="s">
        <v>1133</v>
      </c>
      <c r="AJ321" s="88" t="s">
        <v>1133</v>
      </c>
      <c r="AK321" s="88">
        <v>2</v>
      </c>
      <c r="AL321" s="88">
        <v>20</v>
      </c>
      <c r="AM321" s="88">
        <v>9</v>
      </c>
      <c r="AN321" s="88">
        <v>0</v>
      </c>
      <c r="AO321" s="88">
        <v>1</v>
      </c>
      <c r="AP321" s="88" t="s">
        <v>1134</v>
      </c>
      <c r="AQ321" s="88" t="s">
        <v>1133</v>
      </c>
      <c r="AR321" s="88">
        <v>0</v>
      </c>
      <c r="AS321" s="88"/>
      <c r="AT321" s="88"/>
      <c r="AU321" s="88">
        <v>0</v>
      </c>
      <c r="AV321" s="88" t="s">
        <v>1133</v>
      </c>
      <c r="AW321" s="88" t="s">
        <v>1133</v>
      </c>
      <c r="AX321" s="88">
        <v>0</v>
      </c>
      <c r="AY321" s="88">
        <v>0</v>
      </c>
      <c r="AZ321" s="88">
        <v>0</v>
      </c>
      <c r="BA321" s="88">
        <v>0</v>
      </c>
      <c r="BB321" s="88" t="s">
        <v>0</v>
      </c>
    </row>
    <row r="322" spans="1:54">
      <c r="A322" s="88">
        <v>322</v>
      </c>
      <c r="B322" s="88">
        <v>322</v>
      </c>
      <c r="C322" s="88"/>
      <c r="D322" s="88" t="s">
        <v>321</v>
      </c>
      <c r="E322" s="88">
        <v>0</v>
      </c>
      <c r="F322" s="88">
        <v>1154</v>
      </c>
      <c r="G322" s="88">
        <v>1</v>
      </c>
      <c r="H322" s="88">
        <v>2</v>
      </c>
      <c r="I322" s="88">
        <v>2</v>
      </c>
      <c r="J322" s="88">
        <v>0</v>
      </c>
      <c r="K322" s="88">
        <v>0</v>
      </c>
      <c r="L322" s="88">
        <v>1</v>
      </c>
      <c r="M322" s="88">
        <v>14</v>
      </c>
      <c r="N322" s="88">
        <v>34</v>
      </c>
      <c r="O322" s="88">
        <v>1</v>
      </c>
      <c r="P322" s="88">
        <v>1</v>
      </c>
      <c r="Q322" s="88">
        <v>1</v>
      </c>
      <c r="R322" s="88">
        <v>20</v>
      </c>
      <c r="S322" s="88">
        <v>10</v>
      </c>
      <c r="T322" s="88">
        <v>0</v>
      </c>
      <c r="U322" s="88">
        <v>0</v>
      </c>
      <c r="V322" s="88">
        <v>0</v>
      </c>
      <c r="W322" s="88">
        <v>0</v>
      </c>
      <c r="X322" s="88">
        <v>20</v>
      </c>
      <c r="Y322" s="88">
        <v>0</v>
      </c>
      <c r="Z322" s="88">
        <v>10</v>
      </c>
      <c r="AA322" s="88">
        <v>0</v>
      </c>
      <c r="AB322" s="88">
        <v>1</v>
      </c>
      <c r="AC322" s="88">
        <v>0</v>
      </c>
      <c r="AD322" s="88">
        <v>0</v>
      </c>
      <c r="AE322" s="88" t="s">
        <v>1133</v>
      </c>
      <c r="AF322" s="88">
        <v>0</v>
      </c>
      <c r="AG322" s="88">
        <v>0</v>
      </c>
      <c r="AH322" s="88" t="s">
        <v>1133</v>
      </c>
      <c r="AI322" s="88" t="s">
        <v>1133</v>
      </c>
      <c r="AJ322" s="88" t="s">
        <v>1133</v>
      </c>
      <c r="AK322" s="88">
        <v>2</v>
      </c>
      <c r="AL322" s="88">
        <v>20</v>
      </c>
      <c r="AM322" s="88">
        <v>9</v>
      </c>
      <c r="AN322" s="88">
        <v>0</v>
      </c>
      <c r="AO322" s="88">
        <v>1</v>
      </c>
      <c r="AP322" s="88" t="s">
        <v>1134</v>
      </c>
      <c r="AQ322" s="88" t="s">
        <v>1133</v>
      </c>
      <c r="AR322" s="88">
        <v>0</v>
      </c>
      <c r="AS322" s="88"/>
      <c r="AT322" s="88"/>
      <c r="AU322" s="88">
        <v>0</v>
      </c>
      <c r="AV322" s="88" t="s">
        <v>1133</v>
      </c>
      <c r="AW322" s="88" t="s">
        <v>1133</v>
      </c>
      <c r="AX322" s="88">
        <v>0</v>
      </c>
      <c r="AY322" s="88">
        <v>0</v>
      </c>
      <c r="AZ322" s="88">
        <v>0</v>
      </c>
      <c r="BA322" s="88">
        <v>0</v>
      </c>
      <c r="BB322" s="88" t="s">
        <v>0</v>
      </c>
    </row>
    <row r="323" spans="1:54">
      <c r="A323" s="88">
        <v>323</v>
      </c>
      <c r="B323" s="88">
        <v>323</v>
      </c>
      <c r="C323" s="88"/>
      <c r="D323" s="88" t="s">
        <v>322</v>
      </c>
      <c r="E323" s="88">
        <v>0</v>
      </c>
      <c r="F323" s="88">
        <v>1154</v>
      </c>
      <c r="G323" s="88">
        <v>1</v>
      </c>
      <c r="H323" s="88">
        <v>2</v>
      </c>
      <c r="I323" s="88">
        <v>2</v>
      </c>
      <c r="J323" s="88">
        <v>0</v>
      </c>
      <c r="K323" s="88">
        <v>0</v>
      </c>
      <c r="L323" s="88">
        <v>1</v>
      </c>
      <c r="M323" s="88">
        <v>20</v>
      </c>
      <c r="N323" s="88">
        <v>34</v>
      </c>
      <c r="O323" s="88">
        <v>1</v>
      </c>
      <c r="P323" s="88">
        <v>1</v>
      </c>
      <c r="Q323" s="88">
        <v>1</v>
      </c>
      <c r="R323" s="88">
        <v>20</v>
      </c>
      <c r="S323" s="88">
        <v>10</v>
      </c>
      <c r="T323" s="88">
        <v>0</v>
      </c>
      <c r="U323" s="88">
        <v>0</v>
      </c>
      <c r="V323" s="88">
        <v>0</v>
      </c>
      <c r="W323" s="88">
        <v>0</v>
      </c>
      <c r="X323" s="88">
        <v>20</v>
      </c>
      <c r="Y323" s="88">
        <v>0</v>
      </c>
      <c r="Z323" s="88">
        <v>10</v>
      </c>
      <c r="AA323" s="88">
        <v>0</v>
      </c>
      <c r="AB323" s="88">
        <v>1</v>
      </c>
      <c r="AC323" s="88">
        <v>0</v>
      </c>
      <c r="AD323" s="88">
        <v>0</v>
      </c>
      <c r="AE323" s="88" t="s">
        <v>1133</v>
      </c>
      <c r="AF323" s="88">
        <v>0</v>
      </c>
      <c r="AG323" s="88">
        <v>0</v>
      </c>
      <c r="AH323" s="88" t="s">
        <v>1133</v>
      </c>
      <c r="AI323" s="88" t="s">
        <v>1133</v>
      </c>
      <c r="AJ323" s="88" t="s">
        <v>1133</v>
      </c>
      <c r="AK323" s="88">
        <v>2</v>
      </c>
      <c r="AL323" s="88">
        <v>20</v>
      </c>
      <c r="AM323" s="88">
        <v>9</v>
      </c>
      <c r="AN323" s="88">
        <v>0</v>
      </c>
      <c r="AO323" s="88">
        <v>1</v>
      </c>
      <c r="AP323" s="88" t="s">
        <v>1134</v>
      </c>
      <c r="AQ323" s="88" t="s">
        <v>1133</v>
      </c>
      <c r="AR323" s="88">
        <v>0</v>
      </c>
      <c r="AS323" s="88"/>
      <c r="AT323" s="88"/>
      <c r="AU323" s="88">
        <v>0</v>
      </c>
      <c r="AV323" s="88" t="s">
        <v>1133</v>
      </c>
      <c r="AW323" s="88" t="s">
        <v>1133</v>
      </c>
      <c r="AX323" s="88">
        <v>0</v>
      </c>
      <c r="AY323" s="88">
        <v>0</v>
      </c>
      <c r="AZ323" s="88">
        <v>0</v>
      </c>
      <c r="BA323" s="88">
        <v>0</v>
      </c>
      <c r="BB323" s="88" t="s">
        <v>0</v>
      </c>
    </row>
    <row r="324" spans="1:54">
      <c r="A324" s="88">
        <v>324</v>
      </c>
      <c r="B324" s="88">
        <v>324</v>
      </c>
      <c r="C324" s="88"/>
      <c r="D324" s="88" t="s">
        <v>323</v>
      </c>
      <c r="E324" s="88">
        <v>0</v>
      </c>
      <c r="F324" s="88">
        <v>1154</v>
      </c>
      <c r="G324" s="88">
        <v>1</v>
      </c>
      <c r="H324" s="88">
        <v>2</v>
      </c>
      <c r="I324" s="88">
        <v>2</v>
      </c>
      <c r="J324" s="88">
        <v>0</v>
      </c>
      <c r="K324" s="88">
        <v>0</v>
      </c>
      <c r="L324" s="88">
        <v>1</v>
      </c>
      <c r="M324" s="88">
        <v>30</v>
      </c>
      <c r="N324" s="88">
        <v>34</v>
      </c>
      <c r="O324" s="88">
        <v>1</v>
      </c>
      <c r="P324" s="88">
        <v>1</v>
      </c>
      <c r="Q324" s="88">
        <v>1</v>
      </c>
      <c r="R324" s="88">
        <v>20</v>
      </c>
      <c r="S324" s="88">
        <v>10</v>
      </c>
      <c r="T324" s="88">
        <v>0</v>
      </c>
      <c r="U324" s="88">
        <v>0</v>
      </c>
      <c r="V324" s="88">
        <v>0</v>
      </c>
      <c r="W324" s="88">
        <v>0</v>
      </c>
      <c r="X324" s="88">
        <v>20</v>
      </c>
      <c r="Y324" s="88">
        <v>0</v>
      </c>
      <c r="Z324" s="88">
        <v>10</v>
      </c>
      <c r="AA324" s="88">
        <v>0</v>
      </c>
      <c r="AB324" s="88">
        <v>1</v>
      </c>
      <c r="AC324" s="88">
        <v>0</v>
      </c>
      <c r="AD324" s="88">
        <v>0</v>
      </c>
      <c r="AE324" s="88" t="s">
        <v>1133</v>
      </c>
      <c r="AF324" s="88">
        <v>0</v>
      </c>
      <c r="AG324" s="88">
        <v>0</v>
      </c>
      <c r="AH324" s="88" t="s">
        <v>1133</v>
      </c>
      <c r="AI324" s="88" t="s">
        <v>1133</v>
      </c>
      <c r="AJ324" s="88" t="s">
        <v>1133</v>
      </c>
      <c r="AK324" s="88">
        <v>2</v>
      </c>
      <c r="AL324" s="88">
        <v>20</v>
      </c>
      <c r="AM324" s="88">
        <v>9</v>
      </c>
      <c r="AN324" s="88">
        <v>0</v>
      </c>
      <c r="AO324" s="88">
        <v>1</v>
      </c>
      <c r="AP324" s="88" t="s">
        <v>1134</v>
      </c>
      <c r="AQ324" s="88" t="s">
        <v>1133</v>
      </c>
      <c r="AR324" s="88">
        <v>0</v>
      </c>
      <c r="AS324" s="88"/>
      <c r="AT324" s="88"/>
      <c r="AU324" s="88">
        <v>0</v>
      </c>
      <c r="AV324" s="88" t="s">
        <v>1133</v>
      </c>
      <c r="AW324" s="88" t="s">
        <v>1133</v>
      </c>
      <c r="AX324" s="88">
        <v>0</v>
      </c>
      <c r="AY324" s="88">
        <v>0</v>
      </c>
      <c r="AZ324" s="88">
        <v>0</v>
      </c>
      <c r="BA324" s="88">
        <v>0</v>
      </c>
      <c r="BB324" s="88" t="s">
        <v>0</v>
      </c>
    </row>
    <row r="325" spans="1:54">
      <c r="A325" s="88">
        <v>325</v>
      </c>
      <c r="B325" s="88">
        <v>325</v>
      </c>
      <c r="C325" s="88"/>
      <c r="D325" s="88" t="s">
        <v>324</v>
      </c>
      <c r="E325" s="88">
        <v>0</v>
      </c>
      <c r="F325" s="88">
        <v>1154</v>
      </c>
      <c r="G325" s="88">
        <v>1</v>
      </c>
      <c r="H325" s="88">
        <v>2</v>
      </c>
      <c r="I325" s="88">
        <v>2</v>
      </c>
      <c r="J325" s="88">
        <v>0</v>
      </c>
      <c r="K325" s="88">
        <v>0</v>
      </c>
      <c r="L325" s="88">
        <v>1</v>
      </c>
      <c r="M325" s="88">
        <v>40</v>
      </c>
      <c r="N325" s="88">
        <v>34</v>
      </c>
      <c r="O325" s="88">
        <v>1</v>
      </c>
      <c r="P325" s="88">
        <v>1</v>
      </c>
      <c r="Q325" s="88">
        <v>1</v>
      </c>
      <c r="R325" s="88">
        <v>20</v>
      </c>
      <c r="S325" s="88">
        <v>10</v>
      </c>
      <c r="T325" s="88">
        <v>0</v>
      </c>
      <c r="U325" s="88">
        <v>0</v>
      </c>
      <c r="V325" s="88">
        <v>0</v>
      </c>
      <c r="W325" s="88">
        <v>0</v>
      </c>
      <c r="X325" s="88">
        <v>20</v>
      </c>
      <c r="Y325" s="88">
        <v>0</v>
      </c>
      <c r="Z325" s="88">
        <v>10</v>
      </c>
      <c r="AA325" s="88">
        <v>0</v>
      </c>
      <c r="AB325" s="88">
        <v>1</v>
      </c>
      <c r="AC325" s="88">
        <v>0</v>
      </c>
      <c r="AD325" s="88">
        <v>0</v>
      </c>
      <c r="AE325" s="88" t="s">
        <v>1133</v>
      </c>
      <c r="AF325" s="88">
        <v>0</v>
      </c>
      <c r="AG325" s="88">
        <v>0</v>
      </c>
      <c r="AH325" s="88" t="s">
        <v>1133</v>
      </c>
      <c r="AI325" s="88" t="s">
        <v>1133</v>
      </c>
      <c r="AJ325" s="88" t="s">
        <v>1133</v>
      </c>
      <c r="AK325" s="88">
        <v>2</v>
      </c>
      <c r="AL325" s="88">
        <v>20</v>
      </c>
      <c r="AM325" s="88">
        <v>9</v>
      </c>
      <c r="AN325" s="88">
        <v>0</v>
      </c>
      <c r="AO325" s="88">
        <v>1</v>
      </c>
      <c r="AP325" s="88" t="s">
        <v>1134</v>
      </c>
      <c r="AQ325" s="88" t="s">
        <v>1133</v>
      </c>
      <c r="AR325" s="88">
        <v>0</v>
      </c>
      <c r="AS325" s="88"/>
      <c r="AT325" s="88"/>
      <c r="AU325" s="88">
        <v>0</v>
      </c>
      <c r="AV325" s="88" t="s">
        <v>1133</v>
      </c>
      <c r="AW325" s="88" t="s">
        <v>1133</v>
      </c>
      <c r="AX325" s="88">
        <v>0</v>
      </c>
      <c r="AY325" s="88">
        <v>0</v>
      </c>
      <c r="AZ325" s="88">
        <v>0</v>
      </c>
      <c r="BA325" s="88">
        <v>0</v>
      </c>
      <c r="BB325" s="88" t="s">
        <v>0</v>
      </c>
    </row>
    <row r="326" spans="1:54">
      <c r="A326" s="88">
        <v>326</v>
      </c>
      <c r="B326" s="88">
        <v>326</v>
      </c>
      <c r="C326" s="88"/>
      <c r="D326" s="88" t="s">
        <v>325</v>
      </c>
      <c r="E326" s="88">
        <v>0</v>
      </c>
      <c r="F326" s="88">
        <v>1154</v>
      </c>
      <c r="G326" s="88">
        <v>1</v>
      </c>
      <c r="H326" s="88">
        <v>2</v>
      </c>
      <c r="I326" s="88">
        <v>2</v>
      </c>
      <c r="J326" s="88">
        <v>0</v>
      </c>
      <c r="K326" s="88">
        <v>0</v>
      </c>
      <c r="L326" s="88">
        <v>1</v>
      </c>
      <c r="M326" s="88">
        <v>50</v>
      </c>
      <c r="N326" s="88">
        <v>34</v>
      </c>
      <c r="O326" s="88">
        <v>1</v>
      </c>
      <c r="P326" s="88">
        <v>1</v>
      </c>
      <c r="Q326" s="88">
        <v>1</v>
      </c>
      <c r="R326" s="88">
        <v>20</v>
      </c>
      <c r="S326" s="88">
        <v>10</v>
      </c>
      <c r="T326" s="88">
        <v>0</v>
      </c>
      <c r="U326" s="88">
        <v>0</v>
      </c>
      <c r="V326" s="88">
        <v>0</v>
      </c>
      <c r="W326" s="88">
        <v>0</v>
      </c>
      <c r="X326" s="88">
        <v>20</v>
      </c>
      <c r="Y326" s="88">
        <v>0</v>
      </c>
      <c r="Z326" s="88">
        <v>10</v>
      </c>
      <c r="AA326" s="88">
        <v>0</v>
      </c>
      <c r="AB326" s="88">
        <v>1</v>
      </c>
      <c r="AC326" s="88">
        <v>0</v>
      </c>
      <c r="AD326" s="88">
        <v>0</v>
      </c>
      <c r="AE326" s="88" t="s">
        <v>1133</v>
      </c>
      <c r="AF326" s="88">
        <v>0</v>
      </c>
      <c r="AG326" s="88">
        <v>0</v>
      </c>
      <c r="AH326" s="88" t="s">
        <v>1133</v>
      </c>
      <c r="AI326" s="88" t="s">
        <v>1133</v>
      </c>
      <c r="AJ326" s="88" t="s">
        <v>1133</v>
      </c>
      <c r="AK326" s="88">
        <v>2</v>
      </c>
      <c r="AL326" s="88">
        <v>20</v>
      </c>
      <c r="AM326" s="88">
        <v>9</v>
      </c>
      <c r="AN326" s="88">
        <v>0</v>
      </c>
      <c r="AO326" s="88">
        <v>1</v>
      </c>
      <c r="AP326" s="88" t="s">
        <v>1134</v>
      </c>
      <c r="AQ326" s="88" t="s">
        <v>1133</v>
      </c>
      <c r="AR326" s="88">
        <v>0</v>
      </c>
      <c r="AS326" s="88"/>
      <c r="AT326" s="88"/>
      <c r="AU326" s="88">
        <v>0</v>
      </c>
      <c r="AV326" s="88" t="s">
        <v>1133</v>
      </c>
      <c r="AW326" s="88" t="s">
        <v>1133</v>
      </c>
      <c r="AX326" s="88">
        <v>0</v>
      </c>
      <c r="AY326" s="88">
        <v>0</v>
      </c>
      <c r="AZ326" s="88">
        <v>0</v>
      </c>
      <c r="BA326" s="88">
        <v>0</v>
      </c>
      <c r="BB326" s="88" t="s">
        <v>0</v>
      </c>
    </row>
    <row r="327" spans="1:54">
      <c r="A327" s="88">
        <v>327</v>
      </c>
      <c r="B327" s="88">
        <v>327</v>
      </c>
      <c r="C327" s="88"/>
      <c r="D327" s="88" t="s">
        <v>326</v>
      </c>
      <c r="E327" s="88">
        <v>0</v>
      </c>
      <c r="F327" s="88">
        <v>1154</v>
      </c>
      <c r="G327" s="88">
        <v>1</v>
      </c>
      <c r="H327" s="88">
        <v>2</v>
      </c>
      <c r="I327" s="88">
        <v>2</v>
      </c>
      <c r="J327" s="88">
        <v>0</v>
      </c>
      <c r="K327" s="88">
        <v>0</v>
      </c>
      <c r="L327" s="88">
        <v>1</v>
      </c>
      <c r="M327" s="88">
        <v>5</v>
      </c>
      <c r="N327" s="88">
        <v>34</v>
      </c>
      <c r="O327" s="88">
        <v>1</v>
      </c>
      <c r="P327" s="88">
        <v>1</v>
      </c>
      <c r="Q327" s="88">
        <v>1</v>
      </c>
      <c r="R327" s="88">
        <v>20</v>
      </c>
      <c r="S327" s="88">
        <v>10</v>
      </c>
      <c r="T327" s="88">
        <v>0</v>
      </c>
      <c r="U327" s="88">
        <v>0</v>
      </c>
      <c r="V327" s="88">
        <v>0</v>
      </c>
      <c r="W327" s="88">
        <v>0</v>
      </c>
      <c r="X327" s="88">
        <v>20</v>
      </c>
      <c r="Y327" s="88">
        <v>0</v>
      </c>
      <c r="Z327" s="88">
        <v>10</v>
      </c>
      <c r="AA327" s="88">
        <v>0</v>
      </c>
      <c r="AB327" s="88">
        <v>1</v>
      </c>
      <c r="AC327" s="88">
        <v>0</v>
      </c>
      <c r="AD327" s="88">
        <v>0</v>
      </c>
      <c r="AE327" s="88" t="s">
        <v>1133</v>
      </c>
      <c r="AF327" s="88">
        <v>0</v>
      </c>
      <c r="AG327" s="88">
        <v>0</v>
      </c>
      <c r="AH327" s="88" t="s">
        <v>1133</v>
      </c>
      <c r="AI327" s="88" t="s">
        <v>1133</v>
      </c>
      <c r="AJ327" s="88" t="s">
        <v>1133</v>
      </c>
      <c r="AK327" s="88">
        <v>2</v>
      </c>
      <c r="AL327" s="88">
        <v>20</v>
      </c>
      <c r="AM327" s="88">
        <v>9</v>
      </c>
      <c r="AN327" s="88">
        <v>0</v>
      </c>
      <c r="AO327" s="88">
        <v>1</v>
      </c>
      <c r="AP327" s="88" t="s">
        <v>1134</v>
      </c>
      <c r="AQ327" s="88" t="s">
        <v>1133</v>
      </c>
      <c r="AR327" s="88">
        <v>0</v>
      </c>
      <c r="AS327" s="88"/>
      <c r="AT327" s="88"/>
      <c r="AU327" s="88">
        <v>0</v>
      </c>
      <c r="AV327" s="88" t="s">
        <v>1133</v>
      </c>
      <c r="AW327" s="88" t="s">
        <v>1133</v>
      </c>
      <c r="AX327" s="88">
        <v>0</v>
      </c>
      <c r="AY327" s="88">
        <v>0</v>
      </c>
      <c r="AZ327" s="88">
        <v>0</v>
      </c>
      <c r="BA327" s="88">
        <v>0</v>
      </c>
      <c r="BB327" s="88" t="s">
        <v>0</v>
      </c>
    </row>
    <row r="328" spans="1:54">
      <c r="A328" s="88">
        <v>328</v>
      </c>
      <c r="B328" s="88">
        <v>328</v>
      </c>
      <c r="C328" s="88"/>
      <c r="D328" s="88" t="s">
        <v>327</v>
      </c>
      <c r="E328" s="88">
        <v>0</v>
      </c>
      <c r="F328" s="88">
        <v>1154</v>
      </c>
      <c r="G328" s="88">
        <v>1</v>
      </c>
      <c r="H328" s="88">
        <v>2</v>
      </c>
      <c r="I328" s="88">
        <v>2</v>
      </c>
      <c r="J328" s="88">
        <v>0</v>
      </c>
      <c r="K328" s="88">
        <v>0</v>
      </c>
      <c r="L328" s="88">
        <v>1</v>
      </c>
      <c r="M328" s="88">
        <v>7</v>
      </c>
      <c r="N328" s="88">
        <v>34</v>
      </c>
      <c r="O328" s="88">
        <v>1</v>
      </c>
      <c r="P328" s="88">
        <v>1</v>
      </c>
      <c r="Q328" s="88">
        <v>1</v>
      </c>
      <c r="R328" s="88">
        <v>20</v>
      </c>
      <c r="S328" s="88">
        <v>10</v>
      </c>
      <c r="T328" s="88">
        <v>0</v>
      </c>
      <c r="U328" s="88">
        <v>0</v>
      </c>
      <c r="V328" s="88">
        <v>0</v>
      </c>
      <c r="W328" s="88">
        <v>0</v>
      </c>
      <c r="X328" s="88">
        <v>20</v>
      </c>
      <c r="Y328" s="88">
        <v>0</v>
      </c>
      <c r="Z328" s="88">
        <v>10</v>
      </c>
      <c r="AA328" s="88">
        <v>0</v>
      </c>
      <c r="AB328" s="88">
        <v>1</v>
      </c>
      <c r="AC328" s="88">
        <v>0</v>
      </c>
      <c r="AD328" s="88">
        <v>0</v>
      </c>
      <c r="AE328" s="88" t="s">
        <v>1133</v>
      </c>
      <c r="AF328" s="88">
        <v>0</v>
      </c>
      <c r="AG328" s="88">
        <v>0</v>
      </c>
      <c r="AH328" s="88" t="s">
        <v>1133</v>
      </c>
      <c r="AI328" s="88" t="s">
        <v>1133</v>
      </c>
      <c r="AJ328" s="88" t="s">
        <v>1133</v>
      </c>
      <c r="AK328" s="88">
        <v>2</v>
      </c>
      <c r="AL328" s="88">
        <v>20</v>
      </c>
      <c r="AM328" s="88">
        <v>9</v>
      </c>
      <c r="AN328" s="88">
        <v>0</v>
      </c>
      <c r="AO328" s="88">
        <v>1</v>
      </c>
      <c r="AP328" s="88" t="s">
        <v>1134</v>
      </c>
      <c r="AQ328" s="88" t="s">
        <v>1133</v>
      </c>
      <c r="AR328" s="88">
        <v>0</v>
      </c>
      <c r="AS328" s="88"/>
      <c r="AT328" s="88"/>
      <c r="AU328" s="88">
        <v>0</v>
      </c>
      <c r="AV328" s="88" t="s">
        <v>1133</v>
      </c>
      <c r="AW328" s="88" t="s">
        <v>1133</v>
      </c>
      <c r="AX328" s="88">
        <v>0</v>
      </c>
      <c r="AY328" s="88">
        <v>0</v>
      </c>
      <c r="AZ328" s="88">
        <v>0</v>
      </c>
      <c r="BA328" s="88">
        <v>0</v>
      </c>
      <c r="BB328" s="88" t="s">
        <v>0</v>
      </c>
    </row>
    <row r="329" spans="1:54">
      <c r="A329" s="88">
        <v>329</v>
      </c>
      <c r="B329" s="88">
        <v>329</v>
      </c>
      <c r="C329" s="88"/>
      <c r="D329" s="88" t="s">
        <v>328</v>
      </c>
      <c r="E329" s="88">
        <v>0</v>
      </c>
      <c r="F329" s="88">
        <v>1154</v>
      </c>
      <c r="G329" s="88">
        <v>1</v>
      </c>
      <c r="H329" s="88">
        <v>2</v>
      </c>
      <c r="I329" s="88">
        <v>2</v>
      </c>
      <c r="J329" s="88">
        <v>0</v>
      </c>
      <c r="K329" s="88">
        <v>0</v>
      </c>
      <c r="L329" s="88">
        <v>1</v>
      </c>
      <c r="M329" s="88">
        <v>10</v>
      </c>
      <c r="N329" s="88">
        <v>34</v>
      </c>
      <c r="O329" s="88">
        <v>1</v>
      </c>
      <c r="P329" s="88">
        <v>1</v>
      </c>
      <c r="Q329" s="88">
        <v>1</v>
      </c>
      <c r="R329" s="88">
        <v>20</v>
      </c>
      <c r="S329" s="88">
        <v>10</v>
      </c>
      <c r="T329" s="88">
        <v>0</v>
      </c>
      <c r="U329" s="88">
        <v>0</v>
      </c>
      <c r="V329" s="88">
        <v>0</v>
      </c>
      <c r="W329" s="88">
        <v>0</v>
      </c>
      <c r="X329" s="88">
        <v>20</v>
      </c>
      <c r="Y329" s="88">
        <v>0</v>
      </c>
      <c r="Z329" s="88">
        <v>10</v>
      </c>
      <c r="AA329" s="88">
        <v>0</v>
      </c>
      <c r="AB329" s="88">
        <v>1</v>
      </c>
      <c r="AC329" s="88">
        <v>0</v>
      </c>
      <c r="AD329" s="88">
        <v>0</v>
      </c>
      <c r="AE329" s="88" t="s">
        <v>1133</v>
      </c>
      <c r="AF329" s="88">
        <v>0</v>
      </c>
      <c r="AG329" s="88">
        <v>0</v>
      </c>
      <c r="AH329" s="88" t="s">
        <v>1133</v>
      </c>
      <c r="AI329" s="88" t="s">
        <v>1133</v>
      </c>
      <c r="AJ329" s="88" t="s">
        <v>1133</v>
      </c>
      <c r="AK329" s="88">
        <v>2</v>
      </c>
      <c r="AL329" s="88">
        <v>20</v>
      </c>
      <c r="AM329" s="88">
        <v>9</v>
      </c>
      <c r="AN329" s="88">
        <v>0</v>
      </c>
      <c r="AO329" s="88">
        <v>1</v>
      </c>
      <c r="AP329" s="88" t="s">
        <v>1134</v>
      </c>
      <c r="AQ329" s="88" t="s">
        <v>1133</v>
      </c>
      <c r="AR329" s="88">
        <v>0</v>
      </c>
      <c r="AS329" s="88"/>
      <c r="AT329" s="88"/>
      <c r="AU329" s="88">
        <v>0</v>
      </c>
      <c r="AV329" s="88" t="s">
        <v>1133</v>
      </c>
      <c r="AW329" s="88" t="s">
        <v>1133</v>
      </c>
      <c r="AX329" s="88">
        <v>0</v>
      </c>
      <c r="AY329" s="88">
        <v>0</v>
      </c>
      <c r="AZ329" s="88">
        <v>0</v>
      </c>
      <c r="BA329" s="88">
        <v>0</v>
      </c>
      <c r="BB329" s="88" t="s">
        <v>0</v>
      </c>
    </row>
    <row r="330" spans="1:54">
      <c r="A330" s="88">
        <v>330</v>
      </c>
      <c r="B330" s="88">
        <v>330</v>
      </c>
      <c r="C330" s="88"/>
      <c r="D330" s="88" t="s">
        <v>329</v>
      </c>
      <c r="E330" s="88">
        <v>0</v>
      </c>
      <c r="F330" s="88">
        <v>1154</v>
      </c>
      <c r="G330" s="88">
        <v>1</v>
      </c>
      <c r="H330" s="88">
        <v>2</v>
      </c>
      <c r="I330" s="88">
        <v>2</v>
      </c>
      <c r="J330" s="88">
        <v>0</v>
      </c>
      <c r="K330" s="88">
        <v>0</v>
      </c>
      <c r="L330" s="88">
        <v>1</v>
      </c>
      <c r="M330" s="88">
        <v>14</v>
      </c>
      <c r="N330" s="88">
        <v>34</v>
      </c>
      <c r="O330" s="88">
        <v>1</v>
      </c>
      <c r="P330" s="88">
        <v>1</v>
      </c>
      <c r="Q330" s="88">
        <v>1</v>
      </c>
      <c r="R330" s="88">
        <v>20</v>
      </c>
      <c r="S330" s="88">
        <v>10</v>
      </c>
      <c r="T330" s="88">
        <v>0</v>
      </c>
      <c r="U330" s="88">
        <v>0</v>
      </c>
      <c r="V330" s="88">
        <v>0</v>
      </c>
      <c r="W330" s="88">
        <v>0</v>
      </c>
      <c r="X330" s="88">
        <v>20</v>
      </c>
      <c r="Y330" s="88">
        <v>0</v>
      </c>
      <c r="Z330" s="88">
        <v>10</v>
      </c>
      <c r="AA330" s="88">
        <v>0</v>
      </c>
      <c r="AB330" s="88">
        <v>1</v>
      </c>
      <c r="AC330" s="88">
        <v>0</v>
      </c>
      <c r="AD330" s="88">
        <v>0</v>
      </c>
      <c r="AE330" s="88" t="s">
        <v>1133</v>
      </c>
      <c r="AF330" s="88">
        <v>0</v>
      </c>
      <c r="AG330" s="88">
        <v>0</v>
      </c>
      <c r="AH330" s="88" t="s">
        <v>1133</v>
      </c>
      <c r="AI330" s="88" t="s">
        <v>1133</v>
      </c>
      <c r="AJ330" s="88" t="s">
        <v>1133</v>
      </c>
      <c r="AK330" s="88">
        <v>2</v>
      </c>
      <c r="AL330" s="88">
        <v>20</v>
      </c>
      <c r="AM330" s="88">
        <v>9</v>
      </c>
      <c r="AN330" s="88">
        <v>0</v>
      </c>
      <c r="AO330" s="88">
        <v>1</v>
      </c>
      <c r="AP330" s="88" t="s">
        <v>1134</v>
      </c>
      <c r="AQ330" s="88" t="s">
        <v>1133</v>
      </c>
      <c r="AR330" s="88">
        <v>0</v>
      </c>
      <c r="AS330" s="88"/>
      <c r="AT330" s="88"/>
      <c r="AU330" s="88">
        <v>0</v>
      </c>
      <c r="AV330" s="88" t="s">
        <v>1133</v>
      </c>
      <c r="AW330" s="88" t="s">
        <v>1133</v>
      </c>
      <c r="AX330" s="88">
        <v>0</v>
      </c>
      <c r="AY330" s="88">
        <v>0</v>
      </c>
      <c r="AZ330" s="88">
        <v>0</v>
      </c>
      <c r="BA330" s="88">
        <v>0</v>
      </c>
      <c r="BB330" s="88" t="s">
        <v>0</v>
      </c>
    </row>
    <row r="331" spans="1:54">
      <c r="A331" s="88">
        <v>331</v>
      </c>
      <c r="B331" s="88">
        <v>331</v>
      </c>
      <c r="C331" s="88"/>
      <c r="D331" s="88" t="s">
        <v>330</v>
      </c>
      <c r="E331" s="88">
        <v>0</v>
      </c>
      <c r="F331" s="88">
        <v>1154</v>
      </c>
      <c r="G331" s="88">
        <v>1</v>
      </c>
      <c r="H331" s="88">
        <v>2</v>
      </c>
      <c r="I331" s="88">
        <v>2</v>
      </c>
      <c r="J331" s="88">
        <v>0</v>
      </c>
      <c r="K331" s="88">
        <v>0</v>
      </c>
      <c r="L331" s="88">
        <v>1</v>
      </c>
      <c r="M331" s="88">
        <v>20</v>
      </c>
      <c r="N331" s="88">
        <v>34</v>
      </c>
      <c r="O331" s="88">
        <v>1</v>
      </c>
      <c r="P331" s="88">
        <v>1</v>
      </c>
      <c r="Q331" s="88">
        <v>1</v>
      </c>
      <c r="R331" s="88">
        <v>20</v>
      </c>
      <c r="S331" s="88">
        <v>10</v>
      </c>
      <c r="T331" s="88">
        <v>0</v>
      </c>
      <c r="U331" s="88">
        <v>0</v>
      </c>
      <c r="V331" s="88">
        <v>0</v>
      </c>
      <c r="W331" s="88">
        <v>0</v>
      </c>
      <c r="X331" s="88">
        <v>20</v>
      </c>
      <c r="Y331" s="88">
        <v>0</v>
      </c>
      <c r="Z331" s="88">
        <v>10</v>
      </c>
      <c r="AA331" s="88">
        <v>0</v>
      </c>
      <c r="AB331" s="88">
        <v>1</v>
      </c>
      <c r="AC331" s="88">
        <v>0</v>
      </c>
      <c r="AD331" s="88">
        <v>0</v>
      </c>
      <c r="AE331" s="88" t="s">
        <v>1133</v>
      </c>
      <c r="AF331" s="88">
        <v>0</v>
      </c>
      <c r="AG331" s="88">
        <v>0</v>
      </c>
      <c r="AH331" s="88" t="s">
        <v>1133</v>
      </c>
      <c r="AI331" s="88" t="s">
        <v>1133</v>
      </c>
      <c r="AJ331" s="88" t="s">
        <v>1133</v>
      </c>
      <c r="AK331" s="88">
        <v>2</v>
      </c>
      <c r="AL331" s="88">
        <v>20</v>
      </c>
      <c r="AM331" s="88">
        <v>9</v>
      </c>
      <c r="AN331" s="88">
        <v>0</v>
      </c>
      <c r="AO331" s="88">
        <v>1</v>
      </c>
      <c r="AP331" s="88" t="s">
        <v>1134</v>
      </c>
      <c r="AQ331" s="88" t="s">
        <v>1133</v>
      </c>
      <c r="AR331" s="88">
        <v>0</v>
      </c>
      <c r="AS331" s="88"/>
      <c r="AT331" s="88"/>
      <c r="AU331" s="88">
        <v>0</v>
      </c>
      <c r="AV331" s="88" t="s">
        <v>1133</v>
      </c>
      <c r="AW331" s="88" t="s">
        <v>1133</v>
      </c>
      <c r="AX331" s="88">
        <v>0</v>
      </c>
      <c r="AY331" s="88">
        <v>0</v>
      </c>
      <c r="AZ331" s="88">
        <v>0</v>
      </c>
      <c r="BA331" s="88">
        <v>0</v>
      </c>
      <c r="BB331" s="88" t="s">
        <v>0</v>
      </c>
    </row>
    <row r="332" spans="1:54">
      <c r="A332" s="88">
        <v>332</v>
      </c>
      <c r="B332" s="88">
        <v>332</v>
      </c>
      <c r="C332" s="88"/>
      <c r="D332" s="88" t="s">
        <v>331</v>
      </c>
      <c r="E332" s="88">
        <v>0</v>
      </c>
      <c r="F332" s="88">
        <v>1154</v>
      </c>
      <c r="G332" s="88">
        <v>1</v>
      </c>
      <c r="H332" s="88">
        <v>2</v>
      </c>
      <c r="I332" s="88">
        <v>2</v>
      </c>
      <c r="J332" s="88">
        <v>0</v>
      </c>
      <c r="K332" s="88">
        <v>0</v>
      </c>
      <c r="L332" s="88">
        <v>1</v>
      </c>
      <c r="M332" s="88">
        <v>30</v>
      </c>
      <c r="N332" s="88">
        <v>34</v>
      </c>
      <c r="O332" s="88">
        <v>1</v>
      </c>
      <c r="P332" s="88">
        <v>1</v>
      </c>
      <c r="Q332" s="88">
        <v>1</v>
      </c>
      <c r="R332" s="88">
        <v>20</v>
      </c>
      <c r="S332" s="88">
        <v>10</v>
      </c>
      <c r="T332" s="88">
        <v>0</v>
      </c>
      <c r="U332" s="88">
        <v>0</v>
      </c>
      <c r="V332" s="88">
        <v>0</v>
      </c>
      <c r="W332" s="88">
        <v>0</v>
      </c>
      <c r="X332" s="88">
        <v>20</v>
      </c>
      <c r="Y332" s="88">
        <v>0</v>
      </c>
      <c r="Z332" s="88">
        <v>10</v>
      </c>
      <c r="AA332" s="88">
        <v>0</v>
      </c>
      <c r="AB332" s="88">
        <v>1</v>
      </c>
      <c r="AC332" s="88">
        <v>0</v>
      </c>
      <c r="AD332" s="88">
        <v>0</v>
      </c>
      <c r="AE332" s="88" t="s">
        <v>1133</v>
      </c>
      <c r="AF332" s="88">
        <v>0</v>
      </c>
      <c r="AG332" s="88">
        <v>0</v>
      </c>
      <c r="AH332" s="88" t="s">
        <v>1133</v>
      </c>
      <c r="AI332" s="88" t="s">
        <v>1133</v>
      </c>
      <c r="AJ332" s="88" t="s">
        <v>1133</v>
      </c>
      <c r="AK332" s="88">
        <v>2</v>
      </c>
      <c r="AL332" s="88">
        <v>20</v>
      </c>
      <c r="AM332" s="88">
        <v>9</v>
      </c>
      <c r="AN332" s="88">
        <v>0</v>
      </c>
      <c r="AO332" s="88">
        <v>1</v>
      </c>
      <c r="AP332" s="88" t="s">
        <v>1134</v>
      </c>
      <c r="AQ332" s="88" t="s">
        <v>1133</v>
      </c>
      <c r="AR332" s="88">
        <v>0</v>
      </c>
      <c r="AS332" s="88"/>
      <c r="AT332" s="88"/>
      <c r="AU332" s="88">
        <v>0</v>
      </c>
      <c r="AV332" s="88" t="s">
        <v>1133</v>
      </c>
      <c r="AW332" s="88" t="s">
        <v>1133</v>
      </c>
      <c r="AX332" s="88">
        <v>0</v>
      </c>
      <c r="AY332" s="88">
        <v>0</v>
      </c>
      <c r="AZ332" s="88">
        <v>0</v>
      </c>
      <c r="BA332" s="88">
        <v>0</v>
      </c>
      <c r="BB332" s="88" t="s">
        <v>0</v>
      </c>
    </row>
    <row r="333" spans="1:54">
      <c r="A333" s="88">
        <v>333</v>
      </c>
      <c r="B333" s="88">
        <v>333</v>
      </c>
      <c r="C333" s="88"/>
      <c r="D333" s="88" t="s">
        <v>332</v>
      </c>
      <c r="E333" s="88">
        <v>0</v>
      </c>
      <c r="F333" s="88">
        <v>1154</v>
      </c>
      <c r="G333" s="88">
        <v>1</v>
      </c>
      <c r="H333" s="88">
        <v>2</v>
      </c>
      <c r="I333" s="88">
        <v>2</v>
      </c>
      <c r="J333" s="88">
        <v>0</v>
      </c>
      <c r="K333" s="88">
        <v>0</v>
      </c>
      <c r="L333" s="88">
        <v>1</v>
      </c>
      <c r="M333" s="88">
        <v>40</v>
      </c>
      <c r="N333" s="88">
        <v>34</v>
      </c>
      <c r="O333" s="88">
        <v>1</v>
      </c>
      <c r="P333" s="88">
        <v>1</v>
      </c>
      <c r="Q333" s="88">
        <v>1</v>
      </c>
      <c r="R333" s="88">
        <v>20</v>
      </c>
      <c r="S333" s="88">
        <v>10</v>
      </c>
      <c r="T333" s="88">
        <v>0</v>
      </c>
      <c r="U333" s="88">
        <v>0</v>
      </c>
      <c r="V333" s="88">
        <v>0</v>
      </c>
      <c r="W333" s="88">
        <v>0</v>
      </c>
      <c r="X333" s="88">
        <v>20</v>
      </c>
      <c r="Y333" s="88">
        <v>0</v>
      </c>
      <c r="Z333" s="88">
        <v>10</v>
      </c>
      <c r="AA333" s="88">
        <v>0</v>
      </c>
      <c r="AB333" s="88">
        <v>1</v>
      </c>
      <c r="AC333" s="88">
        <v>0</v>
      </c>
      <c r="AD333" s="88">
        <v>0</v>
      </c>
      <c r="AE333" s="88" t="s">
        <v>1133</v>
      </c>
      <c r="AF333" s="88">
        <v>0</v>
      </c>
      <c r="AG333" s="88">
        <v>0</v>
      </c>
      <c r="AH333" s="88" t="s">
        <v>1133</v>
      </c>
      <c r="AI333" s="88" t="s">
        <v>1133</v>
      </c>
      <c r="AJ333" s="88" t="s">
        <v>1133</v>
      </c>
      <c r="AK333" s="88">
        <v>2</v>
      </c>
      <c r="AL333" s="88">
        <v>20</v>
      </c>
      <c r="AM333" s="88">
        <v>9</v>
      </c>
      <c r="AN333" s="88">
        <v>0</v>
      </c>
      <c r="AO333" s="88">
        <v>1</v>
      </c>
      <c r="AP333" s="88" t="s">
        <v>1134</v>
      </c>
      <c r="AQ333" s="88" t="s">
        <v>1133</v>
      </c>
      <c r="AR333" s="88">
        <v>0</v>
      </c>
      <c r="AS333" s="88"/>
      <c r="AT333" s="88"/>
      <c r="AU333" s="88">
        <v>0</v>
      </c>
      <c r="AV333" s="88" t="s">
        <v>1133</v>
      </c>
      <c r="AW333" s="88" t="s">
        <v>1133</v>
      </c>
      <c r="AX333" s="88">
        <v>0</v>
      </c>
      <c r="AY333" s="88">
        <v>0</v>
      </c>
      <c r="AZ333" s="88">
        <v>0</v>
      </c>
      <c r="BA333" s="88">
        <v>0</v>
      </c>
      <c r="BB333" s="88" t="s">
        <v>0</v>
      </c>
    </row>
    <row r="334" spans="1:54">
      <c r="A334" s="88">
        <v>334</v>
      </c>
      <c r="B334" s="88">
        <v>334</v>
      </c>
      <c r="C334" s="88"/>
      <c r="D334" s="88" t="s">
        <v>333</v>
      </c>
      <c r="E334" s="88">
        <v>0</v>
      </c>
      <c r="F334" s="88">
        <v>1154</v>
      </c>
      <c r="G334" s="88">
        <v>1</v>
      </c>
      <c r="H334" s="88">
        <v>2</v>
      </c>
      <c r="I334" s="88">
        <v>2</v>
      </c>
      <c r="J334" s="88">
        <v>0</v>
      </c>
      <c r="K334" s="88">
        <v>0</v>
      </c>
      <c r="L334" s="88">
        <v>1</v>
      </c>
      <c r="M334" s="88">
        <v>50</v>
      </c>
      <c r="N334" s="88">
        <v>34</v>
      </c>
      <c r="O334" s="88">
        <v>1</v>
      </c>
      <c r="P334" s="88">
        <v>1</v>
      </c>
      <c r="Q334" s="88">
        <v>1</v>
      </c>
      <c r="R334" s="88">
        <v>20</v>
      </c>
      <c r="S334" s="88">
        <v>10</v>
      </c>
      <c r="T334" s="88">
        <v>0</v>
      </c>
      <c r="U334" s="88">
        <v>0</v>
      </c>
      <c r="V334" s="88">
        <v>0</v>
      </c>
      <c r="W334" s="88">
        <v>0</v>
      </c>
      <c r="X334" s="88">
        <v>20</v>
      </c>
      <c r="Y334" s="88">
        <v>0</v>
      </c>
      <c r="Z334" s="88">
        <v>10</v>
      </c>
      <c r="AA334" s="88">
        <v>0</v>
      </c>
      <c r="AB334" s="88">
        <v>1</v>
      </c>
      <c r="AC334" s="88">
        <v>0</v>
      </c>
      <c r="AD334" s="88">
        <v>0</v>
      </c>
      <c r="AE334" s="88" t="s">
        <v>1133</v>
      </c>
      <c r="AF334" s="88">
        <v>0</v>
      </c>
      <c r="AG334" s="88">
        <v>0</v>
      </c>
      <c r="AH334" s="88" t="s">
        <v>1133</v>
      </c>
      <c r="AI334" s="88" t="s">
        <v>1133</v>
      </c>
      <c r="AJ334" s="88" t="s">
        <v>1133</v>
      </c>
      <c r="AK334" s="88">
        <v>2</v>
      </c>
      <c r="AL334" s="88">
        <v>20</v>
      </c>
      <c r="AM334" s="88">
        <v>9</v>
      </c>
      <c r="AN334" s="88">
        <v>0</v>
      </c>
      <c r="AO334" s="88">
        <v>1</v>
      </c>
      <c r="AP334" s="88" t="s">
        <v>1134</v>
      </c>
      <c r="AQ334" s="88" t="s">
        <v>1133</v>
      </c>
      <c r="AR334" s="88">
        <v>0</v>
      </c>
      <c r="AS334" s="88"/>
      <c r="AT334" s="88"/>
      <c r="AU334" s="88">
        <v>0</v>
      </c>
      <c r="AV334" s="88" t="s">
        <v>1133</v>
      </c>
      <c r="AW334" s="88" t="s">
        <v>1133</v>
      </c>
      <c r="AX334" s="88">
        <v>0</v>
      </c>
      <c r="AY334" s="88">
        <v>0</v>
      </c>
      <c r="AZ334" s="88">
        <v>0</v>
      </c>
      <c r="BA334" s="88">
        <v>0</v>
      </c>
      <c r="BB334" s="88" t="s">
        <v>0</v>
      </c>
    </row>
    <row r="335" spans="1:54">
      <c r="A335" s="88">
        <v>335</v>
      </c>
      <c r="B335" s="88">
        <v>335</v>
      </c>
      <c r="C335" s="88"/>
      <c r="D335" s="88" t="s">
        <v>334</v>
      </c>
      <c r="E335" s="88">
        <v>0</v>
      </c>
      <c r="F335" s="88">
        <v>1147</v>
      </c>
      <c r="G335" s="88">
        <v>1</v>
      </c>
      <c r="H335" s="88">
        <v>2</v>
      </c>
      <c r="I335" s="88">
        <v>2</v>
      </c>
      <c r="J335" s="88">
        <v>0</v>
      </c>
      <c r="K335" s="88">
        <v>0</v>
      </c>
      <c r="L335" s="88">
        <v>1</v>
      </c>
      <c r="M335" s="88">
        <v>2</v>
      </c>
      <c r="N335" s="88">
        <v>34</v>
      </c>
      <c r="O335" s="88">
        <v>1</v>
      </c>
      <c r="P335" s="88">
        <v>1</v>
      </c>
      <c r="Q335" s="88">
        <v>1</v>
      </c>
      <c r="R335" s="88">
        <v>20</v>
      </c>
      <c r="S335" s="88">
        <v>10</v>
      </c>
      <c r="T335" s="88">
        <v>0</v>
      </c>
      <c r="U335" s="88">
        <v>0</v>
      </c>
      <c r="V335" s="88">
        <v>0</v>
      </c>
      <c r="W335" s="88">
        <v>0</v>
      </c>
      <c r="X335" s="88">
        <v>20</v>
      </c>
      <c r="Y335" s="88">
        <v>0</v>
      </c>
      <c r="Z335" s="88">
        <v>10</v>
      </c>
      <c r="AA335" s="88">
        <v>0</v>
      </c>
      <c r="AB335" s="88">
        <v>1</v>
      </c>
      <c r="AC335" s="88">
        <v>0</v>
      </c>
      <c r="AD335" s="88">
        <v>0</v>
      </c>
      <c r="AE335" s="88" t="s">
        <v>1133</v>
      </c>
      <c r="AF335" s="88">
        <v>0</v>
      </c>
      <c r="AG335" s="88">
        <v>0</v>
      </c>
      <c r="AH335" s="88" t="s">
        <v>1133</v>
      </c>
      <c r="AI335" s="88" t="s">
        <v>1133</v>
      </c>
      <c r="AJ335" s="88" t="s">
        <v>1133</v>
      </c>
      <c r="AK335" s="88">
        <v>2</v>
      </c>
      <c r="AL335" s="88">
        <v>20</v>
      </c>
      <c r="AM335" s="88">
        <v>9</v>
      </c>
      <c r="AN335" s="88">
        <v>0</v>
      </c>
      <c r="AO335" s="88">
        <v>1</v>
      </c>
      <c r="AP335" s="88" t="s">
        <v>1134</v>
      </c>
      <c r="AQ335" s="88" t="s">
        <v>1133</v>
      </c>
      <c r="AR335" s="88">
        <v>0</v>
      </c>
      <c r="AS335" s="88"/>
      <c r="AT335" s="88"/>
      <c r="AU335" s="88">
        <v>0</v>
      </c>
      <c r="AV335" s="88" t="s">
        <v>1133</v>
      </c>
      <c r="AW335" s="88" t="s">
        <v>1133</v>
      </c>
      <c r="AX335" s="88">
        <v>0</v>
      </c>
      <c r="AY335" s="88">
        <v>0</v>
      </c>
      <c r="AZ335" s="88">
        <v>0</v>
      </c>
      <c r="BA335" s="88">
        <v>0</v>
      </c>
      <c r="BB335" s="88" t="s">
        <v>0</v>
      </c>
    </row>
    <row r="336" spans="1:54">
      <c r="A336" s="88">
        <v>336</v>
      </c>
      <c r="B336" s="88">
        <v>336</v>
      </c>
      <c r="C336" s="88"/>
      <c r="D336" s="88" t="s">
        <v>335</v>
      </c>
      <c r="E336" s="88">
        <v>0</v>
      </c>
      <c r="F336" s="88">
        <v>1147</v>
      </c>
      <c r="G336" s="88">
        <v>1</v>
      </c>
      <c r="H336" s="88">
        <v>2</v>
      </c>
      <c r="I336" s="88">
        <v>2</v>
      </c>
      <c r="J336" s="88">
        <v>0</v>
      </c>
      <c r="K336" s="88">
        <v>0</v>
      </c>
      <c r="L336" s="88">
        <v>1</v>
      </c>
      <c r="M336" s="88">
        <v>5</v>
      </c>
      <c r="N336" s="88">
        <v>34</v>
      </c>
      <c r="O336" s="88">
        <v>1</v>
      </c>
      <c r="P336" s="88">
        <v>1</v>
      </c>
      <c r="Q336" s="88">
        <v>1</v>
      </c>
      <c r="R336" s="88">
        <v>20</v>
      </c>
      <c r="S336" s="88">
        <v>10</v>
      </c>
      <c r="T336" s="88">
        <v>0</v>
      </c>
      <c r="U336" s="88">
        <v>0</v>
      </c>
      <c r="V336" s="88">
        <v>0</v>
      </c>
      <c r="W336" s="88">
        <v>0</v>
      </c>
      <c r="X336" s="88">
        <v>20</v>
      </c>
      <c r="Y336" s="88">
        <v>0</v>
      </c>
      <c r="Z336" s="88">
        <v>10</v>
      </c>
      <c r="AA336" s="88">
        <v>0</v>
      </c>
      <c r="AB336" s="88">
        <v>1</v>
      </c>
      <c r="AC336" s="88">
        <v>0</v>
      </c>
      <c r="AD336" s="88">
        <v>0</v>
      </c>
      <c r="AE336" s="88" t="s">
        <v>1133</v>
      </c>
      <c r="AF336" s="88">
        <v>0</v>
      </c>
      <c r="AG336" s="88">
        <v>0</v>
      </c>
      <c r="AH336" s="88" t="s">
        <v>1133</v>
      </c>
      <c r="AI336" s="88" t="s">
        <v>1133</v>
      </c>
      <c r="AJ336" s="88" t="s">
        <v>1133</v>
      </c>
      <c r="AK336" s="88">
        <v>2</v>
      </c>
      <c r="AL336" s="88">
        <v>20</v>
      </c>
      <c r="AM336" s="88">
        <v>9</v>
      </c>
      <c r="AN336" s="88">
        <v>0</v>
      </c>
      <c r="AO336" s="88">
        <v>1</v>
      </c>
      <c r="AP336" s="88" t="s">
        <v>1134</v>
      </c>
      <c r="AQ336" s="88" t="s">
        <v>1133</v>
      </c>
      <c r="AR336" s="88">
        <v>0</v>
      </c>
      <c r="AS336" s="88"/>
      <c r="AT336" s="88"/>
      <c r="AU336" s="88">
        <v>0</v>
      </c>
      <c r="AV336" s="88" t="s">
        <v>1133</v>
      </c>
      <c r="AW336" s="88" t="s">
        <v>1133</v>
      </c>
      <c r="AX336" s="88">
        <v>0</v>
      </c>
      <c r="AY336" s="88">
        <v>0</v>
      </c>
      <c r="AZ336" s="88">
        <v>0</v>
      </c>
      <c r="BA336" s="88">
        <v>0</v>
      </c>
      <c r="BB336" s="88" t="s">
        <v>0</v>
      </c>
    </row>
    <row r="337" spans="1:54">
      <c r="A337" s="88">
        <v>337</v>
      </c>
      <c r="B337" s="88">
        <v>337</v>
      </c>
      <c r="C337" s="88"/>
      <c r="D337" s="88" t="s">
        <v>336</v>
      </c>
      <c r="E337" s="88">
        <v>0</v>
      </c>
      <c r="F337" s="88">
        <v>1147</v>
      </c>
      <c r="G337" s="88">
        <v>1</v>
      </c>
      <c r="H337" s="88">
        <v>2</v>
      </c>
      <c r="I337" s="88">
        <v>2</v>
      </c>
      <c r="J337" s="88">
        <v>0</v>
      </c>
      <c r="K337" s="88">
        <v>0</v>
      </c>
      <c r="L337" s="88">
        <v>1</v>
      </c>
      <c r="M337" s="88">
        <v>7</v>
      </c>
      <c r="N337" s="88">
        <v>34</v>
      </c>
      <c r="O337" s="88">
        <v>1</v>
      </c>
      <c r="P337" s="88">
        <v>1</v>
      </c>
      <c r="Q337" s="88">
        <v>1</v>
      </c>
      <c r="R337" s="88">
        <v>20</v>
      </c>
      <c r="S337" s="88">
        <v>10</v>
      </c>
      <c r="T337" s="88">
        <v>0</v>
      </c>
      <c r="U337" s="88">
        <v>0</v>
      </c>
      <c r="V337" s="88">
        <v>0</v>
      </c>
      <c r="W337" s="88">
        <v>0</v>
      </c>
      <c r="X337" s="88">
        <v>20</v>
      </c>
      <c r="Y337" s="88">
        <v>0</v>
      </c>
      <c r="Z337" s="88">
        <v>10</v>
      </c>
      <c r="AA337" s="88">
        <v>0</v>
      </c>
      <c r="AB337" s="88">
        <v>1</v>
      </c>
      <c r="AC337" s="88">
        <v>0</v>
      </c>
      <c r="AD337" s="88">
        <v>0</v>
      </c>
      <c r="AE337" s="88" t="s">
        <v>1133</v>
      </c>
      <c r="AF337" s="88">
        <v>0</v>
      </c>
      <c r="AG337" s="88">
        <v>0</v>
      </c>
      <c r="AH337" s="88" t="s">
        <v>1133</v>
      </c>
      <c r="AI337" s="88" t="s">
        <v>1133</v>
      </c>
      <c r="AJ337" s="88" t="s">
        <v>1133</v>
      </c>
      <c r="AK337" s="88">
        <v>2</v>
      </c>
      <c r="AL337" s="88">
        <v>20</v>
      </c>
      <c r="AM337" s="88">
        <v>9</v>
      </c>
      <c r="AN337" s="88">
        <v>0</v>
      </c>
      <c r="AO337" s="88">
        <v>1</v>
      </c>
      <c r="AP337" s="88" t="s">
        <v>1134</v>
      </c>
      <c r="AQ337" s="88" t="s">
        <v>1133</v>
      </c>
      <c r="AR337" s="88">
        <v>0</v>
      </c>
      <c r="AS337" s="88"/>
      <c r="AT337" s="88"/>
      <c r="AU337" s="88">
        <v>0</v>
      </c>
      <c r="AV337" s="88" t="s">
        <v>1133</v>
      </c>
      <c r="AW337" s="88" t="s">
        <v>1133</v>
      </c>
      <c r="AX337" s="88">
        <v>0</v>
      </c>
      <c r="AY337" s="88">
        <v>0</v>
      </c>
      <c r="AZ337" s="88">
        <v>0</v>
      </c>
      <c r="BA337" s="88">
        <v>0</v>
      </c>
      <c r="BB337" s="88" t="s">
        <v>0</v>
      </c>
    </row>
    <row r="338" spans="1:54">
      <c r="A338" s="88">
        <v>338</v>
      </c>
      <c r="B338" s="88">
        <v>338</v>
      </c>
      <c r="C338" s="88"/>
      <c r="D338" s="88" t="s">
        <v>337</v>
      </c>
      <c r="E338" s="88">
        <v>0</v>
      </c>
      <c r="F338" s="88">
        <v>1147</v>
      </c>
      <c r="G338" s="88">
        <v>1</v>
      </c>
      <c r="H338" s="88">
        <v>2</v>
      </c>
      <c r="I338" s="88">
        <v>2</v>
      </c>
      <c r="J338" s="88">
        <v>0</v>
      </c>
      <c r="K338" s="88">
        <v>0</v>
      </c>
      <c r="L338" s="88">
        <v>1</v>
      </c>
      <c r="M338" s="88">
        <v>10</v>
      </c>
      <c r="N338" s="88">
        <v>34</v>
      </c>
      <c r="O338" s="88">
        <v>1</v>
      </c>
      <c r="P338" s="88">
        <v>1</v>
      </c>
      <c r="Q338" s="88">
        <v>1</v>
      </c>
      <c r="R338" s="88">
        <v>20</v>
      </c>
      <c r="S338" s="88">
        <v>10</v>
      </c>
      <c r="T338" s="88">
        <v>0</v>
      </c>
      <c r="U338" s="88">
        <v>0</v>
      </c>
      <c r="V338" s="88">
        <v>0</v>
      </c>
      <c r="W338" s="88">
        <v>0</v>
      </c>
      <c r="X338" s="88">
        <v>20</v>
      </c>
      <c r="Y338" s="88">
        <v>0</v>
      </c>
      <c r="Z338" s="88">
        <v>10</v>
      </c>
      <c r="AA338" s="88">
        <v>0</v>
      </c>
      <c r="AB338" s="88">
        <v>1</v>
      </c>
      <c r="AC338" s="88">
        <v>0</v>
      </c>
      <c r="AD338" s="88">
        <v>0</v>
      </c>
      <c r="AE338" s="88" t="s">
        <v>1133</v>
      </c>
      <c r="AF338" s="88">
        <v>0</v>
      </c>
      <c r="AG338" s="88">
        <v>0</v>
      </c>
      <c r="AH338" s="88" t="s">
        <v>1133</v>
      </c>
      <c r="AI338" s="88" t="s">
        <v>1133</v>
      </c>
      <c r="AJ338" s="88" t="s">
        <v>1133</v>
      </c>
      <c r="AK338" s="88">
        <v>2</v>
      </c>
      <c r="AL338" s="88">
        <v>20</v>
      </c>
      <c r="AM338" s="88">
        <v>9</v>
      </c>
      <c r="AN338" s="88">
        <v>0</v>
      </c>
      <c r="AO338" s="88">
        <v>1</v>
      </c>
      <c r="AP338" s="88" t="s">
        <v>1134</v>
      </c>
      <c r="AQ338" s="88" t="s">
        <v>1133</v>
      </c>
      <c r="AR338" s="88">
        <v>0</v>
      </c>
      <c r="AS338" s="88"/>
      <c r="AT338" s="88"/>
      <c r="AU338" s="88">
        <v>0</v>
      </c>
      <c r="AV338" s="88" t="s">
        <v>1133</v>
      </c>
      <c r="AW338" s="88" t="s">
        <v>1133</v>
      </c>
      <c r="AX338" s="88">
        <v>0</v>
      </c>
      <c r="AY338" s="88">
        <v>0</v>
      </c>
      <c r="AZ338" s="88">
        <v>0</v>
      </c>
      <c r="BA338" s="88">
        <v>0</v>
      </c>
      <c r="BB338" s="88" t="s">
        <v>0</v>
      </c>
    </row>
    <row r="339" spans="1:54">
      <c r="A339" s="88">
        <v>339</v>
      </c>
      <c r="B339" s="88">
        <v>339</v>
      </c>
      <c r="C339" s="88"/>
      <c r="D339" s="88" t="s">
        <v>338</v>
      </c>
      <c r="E339" s="88">
        <v>0</v>
      </c>
      <c r="F339" s="88">
        <v>1147</v>
      </c>
      <c r="G339" s="88">
        <v>1</v>
      </c>
      <c r="H339" s="88">
        <v>2</v>
      </c>
      <c r="I339" s="88">
        <v>2</v>
      </c>
      <c r="J339" s="88">
        <v>0</v>
      </c>
      <c r="K339" s="88">
        <v>0</v>
      </c>
      <c r="L339" s="88">
        <v>1</v>
      </c>
      <c r="M339" s="88">
        <v>14</v>
      </c>
      <c r="N339" s="88">
        <v>34</v>
      </c>
      <c r="O339" s="88">
        <v>1</v>
      </c>
      <c r="P339" s="88">
        <v>1</v>
      </c>
      <c r="Q339" s="88">
        <v>1</v>
      </c>
      <c r="R339" s="88">
        <v>20</v>
      </c>
      <c r="S339" s="88">
        <v>10</v>
      </c>
      <c r="T339" s="88">
        <v>0</v>
      </c>
      <c r="U339" s="88">
        <v>0</v>
      </c>
      <c r="V339" s="88">
        <v>0</v>
      </c>
      <c r="W339" s="88">
        <v>0</v>
      </c>
      <c r="X339" s="88">
        <v>20</v>
      </c>
      <c r="Y339" s="88">
        <v>0</v>
      </c>
      <c r="Z339" s="88">
        <v>10</v>
      </c>
      <c r="AA339" s="88">
        <v>0</v>
      </c>
      <c r="AB339" s="88">
        <v>1</v>
      </c>
      <c r="AC339" s="88">
        <v>0</v>
      </c>
      <c r="AD339" s="88">
        <v>0</v>
      </c>
      <c r="AE339" s="88" t="s">
        <v>1133</v>
      </c>
      <c r="AF339" s="88">
        <v>0</v>
      </c>
      <c r="AG339" s="88">
        <v>0</v>
      </c>
      <c r="AH339" s="88" t="s">
        <v>1133</v>
      </c>
      <c r="AI339" s="88" t="s">
        <v>1133</v>
      </c>
      <c r="AJ339" s="88" t="s">
        <v>1133</v>
      </c>
      <c r="AK339" s="88">
        <v>2</v>
      </c>
      <c r="AL339" s="88">
        <v>20</v>
      </c>
      <c r="AM339" s="88">
        <v>9</v>
      </c>
      <c r="AN339" s="88">
        <v>0</v>
      </c>
      <c r="AO339" s="88">
        <v>1</v>
      </c>
      <c r="AP339" s="88" t="s">
        <v>1134</v>
      </c>
      <c r="AQ339" s="88" t="s">
        <v>1133</v>
      </c>
      <c r="AR339" s="88">
        <v>0</v>
      </c>
      <c r="AS339" s="88"/>
      <c r="AT339" s="88"/>
      <c r="AU339" s="88">
        <v>0</v>
      </c>
      <c r="AV339" s="88" t="s">
        <v>1133</v>
      </c>
      <c r="AW339" s="88" t="s">
        <v>1133</v>
      </c>
      <c r="AX339" s="88">
        <v>0</v>
      </c>
      <c r="AY339" s="88">
        <v>0</v>
      </c>
      <c r="AZ339" s="88">
        <v>0</v>
      </c>
      <c r="BA339" s="88">
        <v>0</v>
      </c>
      <c r="BB339" s="88" t="s">
        <v>0</v>
      </c>
    </row>
    <row r="340" spans="1:54">
      <c r="A340" s="88">
        <v>340</v>
      </c>
      <c r="B340" s="88">
        <v>340</v>
      </c>
      <c r="C340" s="88"/>
      <c r="D340" s="88" t="s">
        <v>339</v>
      </c>
      <c r="E340" s="88">
        <v>0</v>
      </c>
      <c r="F340" s="88">
        <v>1147</v>
      </c>
      <c r="G340" s="88">
        <v>1</v>
      </c>
      <c r="H340" s="88">
        <v>2</v>
      </c>
      <c r="I340" s="88">
        <v>2</v>
      </c>
      <c r="J340" s="88">
        <v>0</v>
      </c>
      <c r="K340" s="88">
        <v>0</v>
      </c>
      <c r="L340" s="88">
        <v>1</v>
      </c>
      <c r="M340" s="88">
        <v>16</v>
      </c>
      <c r="N340" s="88">
        <v>34</v>
      </c>
      <c r="O340" s="88">
        <v>1</v>
      </c>
      <c r="P340" s="88">
        <v>1</v>
      </c>
      <c r="Q340" s="88">
        <v>1</v>
      </c>
      <c r="R340" s="88">
        <v>20</v>
      </c>
      <c r="S340" s="88">
        <v>10</v>
      </c>
      <c r="T340" s="88">
        <v>0</v>
      </c>
      <c r="U340" s="88">
        <v>0</v>
      </c>
      <c r="V340" s="88">
        <v>0</v>
      </c>
      <c r="W340" s="88">
        <v>0</v>
      </c>
      <c r="X340" s="88">
        <v>20</v>
      </c>
      <c r="Y340" s="88">
        <v>0</v>
      </c>
      <c r="Z340" s="88">
        <v>10</v>
      </c>
      <c r="AA340" s="88">
        <v>0</v>
      </c>
      <c r="AB340" s="88">
        <v>1</v>
      </c>
      <c r="AC340" s="88">
        <v>0</v>
      </c>
      <c r="AD340" s="88">
        <v>0</v>
      </c>
      <c r="AE340" s="88" t="s">
        <v>1133</v>
      </c>
      <c r="AF340" s="88">
        <v>0</v>
      </c>
      <c r="AG340" s="88">
        <v>0</v>
      </c>
      <c r="AH340" s="88" t="s">
        <v>1133</v>
      </c>
      <c r="AI340" s="88" t="s">
        <v>1133</v>
      </c>
      <c r="AJ340" s="88" t="s">
        <v>1133</v>
      </c>
      <c r="AK340" s="88">
        <v>2</v>
      </c>
      <c r="AL340" s="88">
        <v>20</v>
      </c>
      <c r="AM340" s="88">
        <v>9</v>
      </c>
      <c r="AN340" s="88">
        <v>0</v>
      </c>
      <c r="AO340" s="88">
        <v>1</v>
      </c>
      <c r="AP340" s="88" t="s">
        <v>1134</v>
      </c>
      <c r="AQ340" s="88" t="s">
        <v>1133</v>
      </c>
      <c r="AR340" s="88">
        <v>0</v>
      </c>
      <c r="AS340" s="88"/>
      <c r="AT340" s="88"/>
      <c r="AU340" s="88">
        <v>0</v>
      </c>
      <c r="AV340" s="88" t="s">
        <v>1133</v>
      </c>
      <c r="AW340" s="88" t="s">
        <v>1133</v>
      </c>
      <c r="AX340" s="88">
        <v>0</v>
      </c>
      <c r="AY340" s="88">
        <v>0</v>
      </c>
      <c r="AZ340" s="88">
        <v>0</v>
      </c>
      <c r="BA340" s="88">
        <v>0</v>
      </c>
      <c r="BB340" s="88" t="s">
        <v>0</v>
      </c>
    </row>
    <row r="341" spans="1:54">
      <c r="A341" s="88">
        <v>341</v>
      </c>
      <c r="B341" s="88">
        <v>341</v>
      </c>
      <c r="C341" s="88"/>
      <c r="D341" s="88" t="s">
        <v>340</v>
      </c>
      <c r="E341" s="88">
        <v>0</v>
      </c>
      <c r="F341" s="88">
        <v>1147</v>
      </c>
      <c r="G341" s="88">
        <v>1</v>
      </c>
      <c r="H341" s="88">
        <v>2</v>
      </c>
      <c r="I341" s="88">
        <v>2</v>
      </c>
      <c r="J341" s="88">
        <v>0</v>
      </c>
      <c r="K341" s="88">
        <v>0</v>
      </c>
      <c r="L341" s="88">
        <v>1</v>
      </c>
      <c r="M341" s="88">
        <v>20</v>
      </c>
      <c r="N341" s="88">
        <v>34</v>
      </c>
      <c r="O341" s="88">
        <v>1</v>
      </c>
      <c r="P341" s="88">
        <v>1</v>
      </c>
      <c r="Q341" s="88">
        <v>1</v>
      </c>
      <c r="R341" s="88">
        <v>20</v>
      </c>
      <c r="S341" s="88">
        <v>10</v>
      </c>
      <c r="T341" s="88">
        <v>0</v>
      </c>
      <c r="U341" s="88">
        <v>0</v>
      </c>
      <c r="V341" s="88">
        <v>0</v>
      </c>
      <c r="W341" s="88">
        <v>0</v>
      </c>
      <c r="X341" s="88">
        <v>20</v>
      </c>
      <c r="Y341" s="88">
        <v>0</v>
      </c>
      <c r="Z341" s="88">
        <v>10</v>
      </c>
      <c r="AA341" s="88">
        <v>0</v>
      </c>
      <c r="AB341" s="88">
        <v>1</v>
      </c>
      <c r="AC341" s="88">
        <v>0</v>
      </c>
      <c r="AD341" s="88">
        <v>0</v>
      </c>
      <c r="AE341" s="88" t="s">
        <v>1133</v>
      </c>
      <c r="AF341" s="88">
        <v>0</v>
      </c>
      <c r="AG341" s="88">
        <v>0</v>
      </c>
      <c r="AH341" s="88" t="s">
        <v>1133</v>
      </c>
      <c r="AI341" s="88" t="s">
        <v>1133</v>
      </c>
      <c r="AJ341" s="88" t="s">
        <v>1133</v>
      </c>
      <c r="AK341" s="88">
        <v>2</v>
      </c>
      <c r="AL341" s="88">
        <v>20</v>
      </c>
      <c r="AM341" s="88">
        <v>9</v>
      </c>
      <c r="AN341" s="88">
        <v>0</v>
      </c>
      <c r="AO341" s="88">
        <v>1</v>
      </c>
      <c r="AP341" s="88" t="s">
        <v>1134</v>
      </c>
      <c r="AQ341" s="88" t="s">
        <v>1133</v>
      </c>
      <c r="AR341" s="88">
        <v>0</v>
      </c>
      <c r="AS341" s="88"/>
      <c r="AT341" s="88"/>
      <c r="AU341" s="88">
        <v>0</v>
      </c>
      <c r="AV341" s="88" t="s">
        <v>1133</v>
      </c>
      <c r="AW341" s="88" t="s">
        <v>1133</v>
      </c>
      <c r="AX341" s="88">
        <v>0</v>
      </c>
      <c r="AY341" s="88">
        <v>0</v>
      </c>
      <c r="AZ341" s="88">
        <v>0</v>
      </c>
      <c r="BA341" s="88">
        <v>0</v>
      </c>
      <c r="BB341" s="88" t="s">
        <v>0</v>
      </c>
    </row>
    <row r="342" spans="1:54">
      <c r="A342" s="88">
        <v>342</v>
      </c>
      <c r="B342" s="88">
        <v>342</v>
      </c>
      <c r="C342" s="88"/>
      <c r="D342" s="88" t="s">
        <v>341</v>
      </c>
      <c r="E342" s="88">
        <v>0</v>
      </c>
      <c r="F342" s="88">
        <v>1147</v>
      </c>
      <c r="G342" s="88">
        <v>1</v>
      </c>
      <c r="H342" s="88">
        <v>2</v>
      </c>
      <c r="I342" s="88">
        <v>2</v>
      </c>
      <c r="J342" s="88">
        <v>0</v>
      </c>
      <c r="K342" s="88">
        <v>0</v>
      </c>
      <c r="L342" s="88">
        <v>1</v>
      </c>
      <c r="M342" s="88">
        <v>30</v>
      </c>
      <c r="N342" s="88">
        <v>34</v>
      </c>
      <c r="O342" s="88">
        <v>1</v>
      </c>
      <c r="P342" s="88">
        <v>1</v>
      </c>
      <c r="Q342" s="88">
        <v>1</v>
      </c>
      <c r="R342" s="88">
        <v>20</v>
      </c>
      <c r="S342" s="88">
        <v>10</v>
      </c>
      <c r="T342" s="88">
        <v>0</v>
      </c>
      <c r="U342" s="88">
        <v>0</v>
      </c>
      <c r="V342" s="88">
        <v>0</v>
      </c>
      <c r="W342" s="88">
        <v>0</v>
      </c>
      <c r="X342" s="88">
        <v>20</v>
      </c>
      <c r="Y342" s="88">
        <v>0</v>
      </c>
      <c r="Z342" s="88">
        <v>10</v>
      </c>
      <c r="AA342" s="88">
        <v>0</v>
      </c>
      <c r="AB342" s="88">
        <v>1</v>
      </c>
      <c r="AC342" s="88">
        <v>0</v>
      </c>
      <c r="AD342" s="88">
        <v>0</v>
      </c>
      <c r="AE342" s="88" t="s">
        <v>1133</v>
      </c>
      <c r="AF342" s="88">
        <v>0</v>
      </c>
      <c r="AG342" s="88">
        <v>0</v>
      </c>
      <c r="AH342" s="88" t="s">
        <v>1133</v>
      </c>
      <c r="AI342" s="88" t="s">
        <v>1133</v>
      </c>
      <c r="AJ342" s="88" t="s">
        <v>1133</v>
      </c>
      <c r="AK342" s="88">
        <v>2</v>
      </c>
      <c r="AL342" s="88">
        <v>20</v>
      </c>
      <c r="AM342" s="88">
        <v>9</v>
      </c>
      <c r="AN342" s="88">
        <v>0</v>
      </c>
      <c r="AO342" s="88">
        <v>1</v>
      </c>
      <c r="AP342" s="88" t="s">
        <v>1134</v>
      </c>
      <c r="AQ342" s="88" t="s">
        <v>1133</v>
      </c>
      <c r="AR342" s="88">
        <v>0</v>
      </c>
      <c r="AS342" s="88"/>
      <c r="AT342" s="88"/>
      <c r="AU342" s="88">
        <v>0</v>
      </c>
      <c r="AV342" s="88" t="s">
        <v>1133</v>
      </c>
      <c r="AW342" s="88" t="s">
        <v>1133</v>
      </c>
      <c r="AX342" s="88">
        <v>0</v>
      </c>
      <c r="AY342" s="88">
        <v>0</v>
      </c>
      <c r="AZ342" s="88">
        <v>0</v>
      </c>
      <c r="BA342" s="88">
        <v>0</v>
      </c>
      <c r="BB342" s="88" t="s">
        <v>0</v>
      </c>
    </row>
    <row r="343" spans="1:54">
      <c r="A343" s="88">
        <v>343</v>
      </c>
      <c r="B343" s="88">
        <v>343</v>
      </c>
      <c r="C343" s="88"/>
      <c r="D343" s="88" t="s">
        <v>342</v>
      </c>
      <c r="E343" s="88">
        <v>0</v>
      </c>
      <c r="F343" s="88">
        <v>1147</v>
      </c>
      <c r="G343" s="88">
        <v>1</v>
      </c>
      <c r="H343" s="88">
        <v>2</v>
      </c>
      <c r="I343" s="88">
        <v>2</v>
      </c>
      <c r="J343" s="88">
        <v>0</v>
      </c>
      <c r="K343" s="88">
        <v>0</v>
      </c>
      <c r="L343" s="88">
        <v>1</v>
      </c>
      <c r="M343" s="88">
        <v>40</v>
      </c>
      <c r="N343" s="88">
        <v>34</v>
      </c>
      <c r="O343" s="88">
        <v>1</v>
      </c>
      <c r="P343" s="88">
        <v>1</v>
      </c>
      <c r="Q343" s="88">
        <v>1</v>
      </c>
      <c r="R343" s="88">
        <v>20</v>
      </c>
      <c r="S343" s="88">
        <v>10</v>
      </c>
      <c r="T343" s="88">
        <v>0</v>
      </c>
      <c r="U343" s="88">
        <v>0</v>
      </c>
      <c r="V343" s="88">
        <v>0</v>
      </c>
      <c r="W343" s="88">
        <v>0</v>
      </c>
      <c r="X343" s="88">
        <v>20</v>
      </c>
      <c r="Y343" s="88">
        <v>0</v>
      </c>
      <c r="Z343" s="88">
        <v>10</v>
      </c>
      <c r="AA343" s="88">
        <v>0</v>
      </c>
      <c r="AB343" s="88">
        <v>1</v>
      </c>
      <c r="AC343" s="88">
        <v>0</v>
      </c>
      <c r="AD343" s="88">
        <v>0</v>
      </c>
      <c r="AE343" s="88" t="s">
        <v>1133</v>
      </c>
      <c r="AF343" s="88">
        <v>0</v>
      </c>
      <c r="AG343" s="88">
        <v>0</v>
      </c>
      <c r="AH343" s="88" t="s">
        <v>1133</v>
      </c>
      <c r="AI343" s="88" t="s">
        <v>1133</v>
      </c>
      <c r="AJ343" s="88" t="s">
        <v>1133</v>
      </c>
      <c r="AK343" s="88">
        <v>2</v>
      </c>
      <c r="AL343" s="88">
        <v>20</v>
      </c>
      <c r="AM343" s="88">
        <v>9</v>
      </c>
      <c r="AN343" s="88">
        <v>0</v>
      </c>
      <c r="AO343" s="88">
        <v>1</v>
      </c>
      <c r="AP343" s="88" t="s">
        <v>1134</v>
      </c>
      <c r="AQ343" s="88" t="s">
        <v>1133</v>
      </c>
      <c r="AR343" s="88">
        <v>0</v>
      </c>
      <c r="AS343" s="88"/>
      <c r="AT343" s="88"/>
      <c r="AU343" s="88">
        <v>0</v>
      </c>
      <c r="AV343" s="88" t="s">
        <v>1133</v>
      </c>
      <c r="AW343" s="88" t="s">
        <v>1133</v>
      </c>
      <c r="AX343" s="88">
        <v>0</v>
      </c>
      <c r="AY343" s="88">
        <v>0</v>
      </c>
      <c r="AZ343" s="88">
        <v>0</v>
      </c>
      <c r="BA343" s="88">
        <v>0</v>
      </c>
      <c r="BB343" s="88" t="s">
        <v>0</v>
      </c>
    </row>
    <row r="344" spans="1:54">
      <c r="A344" s="88">
        <v>344</v>
      </c>
      <c r="B344" s="88">
        <v>344</v>
      </c>
      <c r="C344" s="88"/>
      <c r="D344" s="88" t="s">
        <v>343</v>
      </c>
      <c r="E344" s="88">
        <v>0</v>
      </c>
      <c r="F344" s="88">
        <v>1147</v>
      </c>
      <c r="G344" s="88">
        <v>1</v>
      </c>
      <c r="H344" s="88">
        <v>2</v>
      </c>
      <c r="I344" s="88">
        <v>2</v>
      </c>
      <c r="J344" s="88">
        <v>0</v>
      </c>
      <c r="K344" s="88">
        <v>0</v>
      </c>
      <c r="L344" s="88">
        <v>1</v>
      </c>
      <c r="M344" s="88">
        <v>50</v>
      </c>
      <c r="N344" s="88">
        <v>34</v>
      </c>
      <c r="O344" s="88">
        <v>1</v>
      </c>
      <c r="P344" s="88">
        <v>1</v>
      </c>
      <c r="Q344" s="88">
        <v>1</v>
      </c>
      <c r="R344" s="88">
        <v>20</v>
      </c>
      <c r="S344" s="88">
        <v>10</v>
      </c>
      <c r="T344" s="88">
        <v>0</v>
      </c>
      <c r="U344" s="88">
        <v>0</v>
      </c>
      <c r="V344" s="88">
        <v>0</v>
      </c>
      <c r="W344" s="88">
        <v>0</v>
      </c>
      <c r="X344" s="88">
        <v>20</v>
      </c>
      <c r="Y344" s="88">
        <v>0</v>
      </c>
      <c r="Z344" s="88">
        <v>10</v>
      </c>
      <c r="AA344" s="88">
        <v>0</v>
      </c>
      <c r="AB344" s="88">
        <v>1</v>
      </c>
      <c r="AC344" s="88">
        <v>0</v>
      </c>
      <c r="AD344" s="88">
        <v>0</v>
      </c>
      <c r="AE344" s="88" t="s">
        <v>1133</v>
      </c>
      <c r="AF344" s="88">
        <v>0</v>
      </c>
      <c r="AG344" s="88">
        <v>0</v>
      </c>
      <c r="AH344" s="88" t="s">
        <v>1133</v>
      </c>
      <c r="AI344" s="88" t="s">
        <v>1133</v>
      </c>
      <c r="AJ344" s="88" t="s">
        <v>1133</v>
      </c>
      <c r="AK344" s="88">
        <v>2</v>
      </c>
      <c r="AL344" s="88">
        <v>20</v>
      </c>
      <c r="AM344" s="88">
        <v>9</v>
      </c>
      <c r="AN344" s="88">
        <v>0</v>
      </c>
      <c r="AO344" s="88">
        <v>1</v>
      </c>
      <c r="AP344" s="88" t="s">
        <v>1134</v>
      </c>
      <c r="AQ344" s="88" t="s">
        <v>1133</v>
      </c>
      <c r="AR344" s="88">
        <v>0</v>
      </c>
      <c r="AS344" s="88"/>
      <c r="AT344" s="88"/>
      <c r="AU344" s="88">
        <v>0</v>
      </c>
      <c r="AV344" s="88" t="s">
        <v>1133</v>
      </c>
      <c r="AW344" s="88" t="s">
        <v>1133</v>
      </c>
      <c r="AX344" s="88">
        <v>0</v>
      </c>
      <c r="AY344" s="88">
        <v>0</v>
      </c>
      <c r="AZ344" s="88">
        <v>0</v>
      </c>
      <c r="BA344" s="88">
        <v>0</v>
      </c>
      <c r="BB344" s="88" t="s">
        <v>0</v>
      </c>
    </row>
    <row r="345" spans="1:54">
      <c r="A345" s="88">
        <v>345</v>
      </c>
      <c r="B345" s="88">
        <v>345</v>
      </c>
      <c r="C345" s="88"/>
      <c r="D345" s="88" t="s">
        <v>344</v>
      </c>
      <c r="E345" s="88">
        <v>0</v>
      </c>
      <c r="F345" s="88">
        <v>1147</v>
      </c>
      <c r="G345" s="88">
        <v>1</v>
      </c>
      <c r="H345" s="88">
        <v>2</v>
      </c>
      <c r="I345" s="88">
        <v>2</v>
      </c>
      <c r="J345" s="88">
        <v>0</v>
      </c>
      <c r="K345" s="88">
        <v>0</v>
      </c>
      <c r="L345" s="88">
        <v>1</v>
      </c>
      <c r="M345" s="88">
        <v>80</v>
      </c>
      <c r="N345" s="88">
        <v>34</v>
      </c>
      <c r="O345" s="88">
        <v>1</v>
      </c>
      <c r="P345" s="88">
        <v>1</v>
      </c>
      <c r="Q345" s="88">
        <v>1</v>
      </c>
      <c r="R345" s="88">
        <v>20</v>
      </c>
      <c r="S345" s="88">
        <v>10</v>
      </c>
      <c r="T345" s="88">
        <v>0</v>
      </c>
      <c r="U345" s="88">
        <v>0</v>
      </c>
      <c r="V345" s="88">
        <v>0</v>
      </c>
      <c r="W345" s="88">
        <v>0</v>
      </c>
      <c r="X345" s="88">
        <v>20</v>
      </c>
      <c r="Y345" s="88">
        <v>0</v>
      </c>
      <c r="Z345" s="88">
        <v>10</v>
      </c>
      <c r="AA345" s="88">
        <v>0</v>
      </c>
      <c r="AB345" s="88">
        <v>1</v>
      </c>
      <c r="AC345" s="88">
        <v>0</v>
      </c>
      <c r="AD345" s="88">
        <v>0</v>
      </c>
      <c r="AE345" s="88" t="s">
        <v>1133</v>
      </c>
      <c r="AF345" s="88">
        <v>0</v>
      </c>
      <c r="AG345" s="88">
        <v>0</v>
      </c>
      <c r="AH345" s="88" t="s">
        <v>1133</v>
      </c>
      <c r="AI345" s="88" t="s">
        <v>1133</v>
      </c>
      <c r="AJ345" s="88" t="s">
        <v>1133</v>
      </c>
      <c r="AK345" s="88">
        <v>2</v>
      </c>
      <c r="AL345" s="88">
        <v>20</v>
      </c>
      <c r="AM345" s="88">
        <v>9</v>
      </c>
      <c r="AN345" s="88">
        <v>0</v>
      </c>
      <c r="AO345" s="88">
        <v>1</v>
      </c>
      <c r="AP345" s="88" t="s">
        <v>1134</v>
      </c>
      <c r="AQ345" s="88" t="s">
        <v>1133</v>
      </c>
      <c r="AR345" s="88">
        <v>0</v>
      </c>
      <c r="AS345" s="88"/>
      <c r="AT345" s="88"/>
      <c r="AU345" s="88">
        <v>0</v>
      </c>
      <c r="AV345" s="88" t="s">
        <v>1133</v>
      </c>
      <c r="AW345" s="88" t="s">
        <v>1133</v>
      </c>
      <c r="AX345" s="88">
        <v>0</v>
      </c>
      <c r="AY345" s="88">
        <v>0</v>
      </c>
      <c r="AZ345" s="88">
        <v>0</v>
      </c>
      <c r="BA345" s="88">
        <v>0</v>
      </c>
      <c r="BB345" s="88" t="s">
        <v>0</v>
      </c>
    </row>
    <row r="346" spans="1:54">
      <c r="A346" s="88">
        <v>346</v>
      </c>
      <c r="B346" s="88">
        <v>346</v>
      </c>
      <c r="C346" s="88"/>
      <c r="D346" s="88" t="s">
        <v>345</v>
      </c>
      <c r="E346" s="88">
        <v>0</v>
      </c>
      <c r="F346" s="88">
        <v>1147</v>
      </c>
      <c r="G346" s="88">
        <v>1</v>
      </c>
      <c r="H346" s="88">
        <v>2</v>
      </c>
      <c r="I346" s="88">
        <v>2</v>
      </c>
      <c r="J346" s="88">
        <v>0</v>
      </c>
      <c r="K346" s="88">
        <v>0</v>
      </c>
      <c r="L346" s="88">
        <v>1</v>
      </c>
      <c r="M346" s="88">
        <v>600</v>
      </c>
      <c r="N346" s="88">
        <v>34</v>
      </c>
      <c r="O346" s="88">
        <v>1</v>
      </c>
      <c r="P346" s="88">
        <v>1</v>
      </c>
      <c r="Q346" s="88">
        <v>1</v>
      </c>
      <c r="R346" s="88">
        <v>20</v>
      </c>
      <c r="S346" s="88">
        <v>10</v>
      </c>
      <c r="T346" s="88">
        <v>0</v>
      </c>
      <c r="U346" s="88">
        <v>0</v>
      </c>
      <c r="V346" s="88">
        <v>0</v>
      </c>
      <c r="W346" s="88">
        <v>0</v>
      </c>
      <c r="X346" s="88">
        <v>20</v>
      </c>
      <c r="Y346" s="88">
        <v>0</v>
      </c>
      <c r="Z346" s="88">
        <v>10</v>
      </c>
      <c r="AA346" s="88">
        <v>0</v>
      </c>
      <c r="AB346" s="88">
        <v>1</v>
      </c>
      <c r="AC346" s="88">
        <v>0</v>
      </c>
      <c r="AD346" s="88">
        <v>0</v>
      </c>
      <c r="AE346" s="88" t="s">
        <v>1133</v>
      </c>
      <c r="AF346" s="88">
        <v>0</v>
      </c>
      <c r="AG346" s="88">
        <v>0</v>
      </c>
      <c r="AH346" s="88" t="s">
        <v>1133</v>
      </c>
      <c r="AI346" s="88" t="s">
        <v>1133</v>
      </c>
      <c r="AJ346" s="88" t="s">
        <v>1133</v>
      </c>
      <c r="AK346" s="88">
        <v>2</v>
      </c>
      <c r="AL346" s="88">
        <v>20</v>
      </c>
      <c r="AM346" s="88">
        <v>9</v>
      </c>
      <c r="AN346" s="88">
        <v>0</v>
      </c>
      <c r="AO346" s="88">
        <v>1</v>
      </c>
      <c r="AP346" s="88" t="s">
        <v>1134</v>
      </c>
      <c r="AQ346" s="88" t="s">
        <v>1133</v>
      </c>
      <c r="AR346" s="88">
        <v>0</v>
      </c>
      <c r="AS346" s="88"/>
      <c r="AT346" s="88"/>
      <c r="AU346" s="88">
        <v>0</v>
      </c>
      <c r="AV346" s="88" t="s">
        <v>1133</v>
      </c>
      <c r="AW346" s="88" t="s">
        <v>1133</v>
      </c>
      <c r="AX346" s="88">
        <v>0</v>
      </c>
      <c r="AY346" s="88">
        <v>0</v>
      </c>
      <c r="AZ346" s="88">
        <v>0</v>
      </c>
      <c r="BA346" s="88">
        <v>0</v>
      </c>
      <c r="BB346" s="88" t="s">
        <v>0</v>
      </c>
    </row>
    <row r="347" spans="1:54">
      <c r="A347" s="88">
        <v>347</v>
      </c>
      <c r="B347" s="88">
        <v>347</v>
      </c>
      <c r="C347" s="88"/>
      <c r="D347" s="88" t="s">
        <v>346</v>
      </c>
      <c r="E347" s="88">
        <v>0</v>
      </c>
      <c r="F347" s="88">
        <v>1147</v>
      </c>
      <c r="G347" s="88">
        <v>1</v>
      </c>
      <c r="H347" s="88">
        <v>2</v>
      </c>
      <c r="I347" s="88">
        <v>2</v>
      </c>
      <c r="J347" s="88">
        <v>0</v>
      </c>
      <c r="K347" s="88">
        <v>0</v>
      </c>
      <c r="L347" s="88">
        <v>1</v>
      </c>
      <c r="M347" s="88">
        <v>800</v>
      </c>
      <c r="N347" s="88">
        <v>34</v>
      </c>
      <c r="O347" s="88">
        <v>1</v>
      </c>
      <c r="P347" s="88">
        <v>1</v>
      </c>
      <c r="Q347" s="88">
        <v>1</v>
      </c>
      <c r="R347" s="88">
        <v>20</v>
      </c>
      <c r="S347" s="88">
        <v>10</v>
      </c>
      <c r="T347" s="88">
        <v>0</v>
      </c>
      <c r="U347" s="88">
        <v>0</v>
      </c>
      <c r="V347" s="88">
        <v>0</v>
      </c>
      <c r="W347" s="88">
        <v>0</v>
      </c>
      <c r="X347" s="88">
        <v>20</v>
      </c>
      <c r="Y347" s="88">
        <v>0</v>
      </c>
      <c r="Z347" s="88">
        <v>10</v>
      </c>
      <c r="AA347" s="88">
        <v>0</v>
      </c>
      <c r="AB347" s="88">
        <v>1</v>
      </c>
      <c r="AC347" s="88">
        <v>0</v>
      </c>
      <c r="AD347" s="88">
        <v>0</v>
      </c>
      <c r="AE347" s="88" t="s">
        <v>1133</v>
      </c>
      <c r="AF347" s="88">
        <v>0</v>
      </c>
      <c r="AG347" s="88">
        <v>0</v>
      </c>
      <c r="AH347" s="88" t="s">
        <v>1133</v>
      </c>
      <c r="AI347" s="88" t="s">
        <v>1133</v>
      </c>
      <c r="AJ347" s="88" t="s">
        <v>1133</v>
      </c>
      <c r="AK347" s="88">
        <v>2</v>
      </c>
      <c r="AL347" s="88">
        <v>20</v>
      </c>
      <c r="AM347" s="88">
        <v>9</v>
      </c>
      <c r="AN347" s="88">
        <v>0</v>
      </c>
      <c r="AO347" s="88">
        <v>1</v>
      </c>
      <c r="AP347" s="88" t="s">
        <v>1134</v>
      </c>
      <c r="AQ347" s="88" t="s">
        <v>1133</v>
      </c>
      <c r="AR347" s="88">
        <v>0</v>
      </c>
      <c r="AS347" s="88"/>
      <c r="AT347" s="88"/>
      <c r="AU347" s="88">
        <v>0</v>
      </c>
      <c r="AV347" s="88" t="s">
        <v>1133</v>
      </c>
      <c r="AW347" s="88" t="s">
        <v>1133</v>
      </c>
      <c r="AX347" s="88">
        <v>0</v>
      </c>
      <c r="AY347" s="88">
        <v>0</v>
      </c>
      <c r="AZ347" s="88">
        <v>0</v>
      </c>
      <c r="BA347" s="88">
        <v>0</v>
      </c>
      <c r="BB347" s="88" t="s">
        <v>0</v>
      </c>
    </row>
    <row r="348" spans="1:54">
      <c r="A348" s="88">
        <v>348</v>
      </c>
      <c r="B348" s="88">
        <v>348</v>
      </c>
      <c r="C348" s="88"/>
      <c r="D348" s="88" t="s">
        <v>347</v>
      </c>
      <c r="E348" s="88">
        <v>0</v>
      </c>
      <c r="F348" s="88">
        <v>1147</v>
      </c>
      <c r="G348" s="88">
        <v>1</v>
      </c>
      <c r="H348" s="88">
        <v>2</v>
      </c>
      <c r="I348" s="88">
        <v>2</v>
      </c>
      <c r="J348" s="88">
        <v>0</v>
      </c>
      <c r="K348" s="88">
        <v>0</v>
      </c>
      <c r="L348" s="88">
        <v>1</v>
      </c>
      <c r="M348" s="88">
        <v>960</v>
      </c>
      <c r="N348" s="88">
        <v>34</v>
      </c>
      <c r="O348" s="88">
        <v>1</v>
      </c>
      <c r="P348" s="88">
        <v>1</v>
      </c>
      <c r="Q348" s="88">
        <v>1</v>
      </c>
      <c r="R348" s="88">
        <v>20</v>
      </c>
      <c r="S348" s="88">
        <v>10</v>
      </c>
      <c r="T348" s="88">
        <v>0</v>
      </c>
      <c r="U348" s="88">
        <v>0</v>
      </c>
      <c r="V348" s="88">
        <v>0</v>
      </c>
      <c r="W348" s="88">
        <v>0</v>
      </c>
      <c r="X348" s="88">
        <v>20</v>
      </c>
      <c r="Y348" s="88">
        <v>0</v>
      </c>
      <c r="Z348" s="88">
        <v>10</v>
      </c>
      <c r="AA348" s="88">
        <v>0</v>
      </c>
      <c r="AB348" s="88">
        <v>1</v>
      </c>
      <c r="AC348" s="88">
        <v>0</v>
      </c>
      <c r="AD348" s="88">
        <v>0</v>
      </c>
      <c r="AE348" s="88" t="s">
        <v>1133</v>
      </c>
      <c r="AF348" s="88">
        <v>0</v>
      </c>
      <c r="AG348" s="88">
        <v>0</v>
      </c>
      <c r="AH348" s="88" t="s">
        <v>1133</v>
      </c>
      <c r="AI348" s="88" t="s">
        <v>1133</v>
      </c>
      <c r="AJ348" s="88" t="s">
        <v>1133</v>
      </c>
      <c r="AK348" s="88">
        <v>2</v>
      </c>
      <c r="AL348" s="88">
        <v>20</v>
      </c>
      <c r="AM348" s="88">
        <v>9</v>
      </c>
      <c r="AN348" s="88">
        <v>0</v>
      </c>
      <c r="AO348" s="88">
        <v>1</v>
      </c>
      <c r="AP348" s="88" t="s">
        <v>1134</v>
      </c>
      <c r="AQ348" s="88" t="s">
        <v>1133</v>
      </c>
      <c r="AR348" s="88">
        <v>0</v>
      </c>
      <c r="AS348" s="88"/>
      <c r="AT348" s="88"/>
      <c r="AU348" s="88">
        <v>0</v>
      </c>
      <c r="AV348" s="88" t="s">
        <v>1133</v>
      </c>
      <c r="AW348" s="88" t="s">
        <v>1133</v>
      </c>
      <c r="AX348" s="88">
        <v>0</v>
      </c>
      <c r="AY348" s="88">
        <v>0</v>
      </c>
      <c r="AZ348" s="88">
        <v>0</v>
      </c>
      <c r="BA348" s="88">
        <v>0</v>
      </c>
      <c r="BB348" s="88" t="s">
        <v>0</v>
      </c>
    </row>
    <row r="349" spans="1:54">
      <c r="A349" s="88">
        <v>349</v>
      </c>
      <c r="B349" s="88">
        <v>349</v>
      </c>
      <c r="C349" s="88"/>
      <c r="D349" s="88" t="s">
        <v>348</v>
      </c>
      <c r="E349" s="88">
        <v>0</v>
      </c>
      <c r="F349" s="88">
        <v>1147</v>
      </c>
      <c r="G349" s="88">
        <v>1</v>
      </c>
      <c r="H349" s="88">
        <v>2</v>
      </c>
      <c r="I349" s="88">
        <v>2</v>
      </c>
      <c r="J349" s="88">
        <v>0</v>
      </c>
      <c r="K349" s="88">
        <v>0</v>
      </c>
      <c r="L349" s="88">
        <v>1</v>
      </c>
      <c r="M349" s="88">
        <v>1280</v>
      </c>
      <c r="N349" s="88">
        <v>34</v>
      </c>
      <c r="O349" s="88">
        <v>1</v>
      </c>
      <c r="P349" s="88">
        <v>1</v>
      </c>
      <c r="Q349" s="88">
        <v>1</v>
      </c>
      <c r="R349" s="88">
        <v>20</v>
      </c>
      <c r="S349" s="88">
        <v>10</v>
      </c>
      <c r="T349" s="88">
        <v>0</v>
      </c>
      <c r="U349" s="88">
        <v>0</v>
      </c>
      <c r="V349" s="88">
        <v>0</v>
      </c>
      <c r="W349" s="88">
        <v>0</v>
      </c>
      <c r="X349" s="88">
        <v>20</v>
      </c>
      <c r="Y349" s="88">
        <v>0</v>
      </c>
      <c r="Z349" s="88">
        <v>10</v>
      </c>
      <c r="AA349" s="88">
        <v>0</v>
      </c>
      <c r="AB349" s="88">
        <v>1</v>
      </c>
      <c r="AC349" s="88">
        <v>0</v>
      </c>
      <c r="AD349" s="88">
        <v>0</v>
      </c>
      <c r="AE349" s="88" t="s">
        <v>1133</v>
      </c>
      <c r="AF349" s="88">
        <v>0</v>
      </c>
      <c r="AG349" s="88">
        <v>0</v>
      </c>
      <c r="AH349" s="88" t="s">
        <v>1133</v>
      </c>
      <c r="AI349" s="88" t="s">
        <v>1133</v>
      </c>
      <c r="AJ349" s="88" t="s">
        <v>1133</v>
      </c>
      <c r="AK349" s="88">
        <v>2</v>
      </c>
      <c r="AL349" s="88">
        <v>20</v>
      </c>
      <c r="AM349" s="88">
        <v>9</v>
      </c>
      <c r="AN349" s="88">
        <v>0</v>
      </c>
      <c r="AO349" s="88">
        <v>1</v>
      </c>
      <c r="AP349" s="88" t="s">
        <v>1134</v>
      </c>
      <c r="AQ349" s="88" t="s">
        <v>1133</v>
      </c>
      <c r="AR349" s="88">
        <v>0</v>
      </c>
      <c r="AS349" s="88"/>
      <c r="AT349" s="88"/>
      <c r="AU349" s="88">
        <v>0</v>
      </c>
      <c r="AV349" s="88" t="s">
        <v>1133</v>
      </c>
      <c r="AW349" s="88" t="s">
        <v>1133</v>
      </c>
      <c r="AX349" s="88">
        <v>0</v>
      </c>
      <c r="AY349" s="88">
        <v>0</v>
      </c>
      <c r="AZ349" s="88">
        <v>0</v>
      </c>
      <c r="BA349" s="88">
        <v>0</v>
      </c>
      <c r="BB349" s="88" t="s">
        <v>0</v>
      </c>
    </row>
    <row r="350" spans="1:54">
      <c r="A350" s="88">
        <v>350</v>
      </c>
      <c r="B350" s="88">
        <v>350</v>
      </c>
      <c r="C350" s="88"/>
      <c r="D350" s="88" t="s">
        <v>349</v>
      </c>
      <c r="E350" s="88">
        <v>0</v>
      </c>
      <c r="F350" s="88">
        <v>1147</v>
      </c>
      <c r="G350" s="88">
        <v>1</v>
      </c>
      <c r="H350" s="88">
        <v>2</v>
      </c>
      <c r="I350" s="88">
        <v>2</v>
      </c>
      <c r="J350" s="88">
        <v>0</v>
      </c>
      <c r="K350" s="88">
        <v>0</v>
      </c>
      <c r="L350" s="88">
        <v>1</v>
      </c>
      <c r="M350" s="88">
        <v>2</v>
      </c>
      <c r="N350" s="88">
        <v>34</v>
      </c>
      <c r="O350" s="88">
        <v>1</v>
      </c>
      <c r="P350" s="88">
        <v>1</v>
      </c>
      <c r="Q350" s="88">
        <v>1</v>
      </c>
      <c r="R350" s="88">
        <v>20</v>
      </c>
      <c r="S350" s="88">
        <v>10</v>
      </c>
      <c r="T350" s="88">
        <v>0</v>
      </c>
      <c r="U350" s="88">
        <v>0</v>
      </c>
      <c r="V350" s="88">
        <v>0</v>
      </c>
      <c r="W350" s="88">
        <v>0</v>
      </c>
      <c r="X350" s="88">
        <v>20</v>
      </c>
      <c r="Y350" s="88">
        <v>0</v>
      </c>
      <c r="Z350" s="88">
        <v>10</v>
      </c>
      <c r="AA350" s="88">
        <v>0</v>
      </c>
      <c r="AB350" s="88">
        <v>1</v>
      </c>
      <c r="AC350" s="88">
        <v>0</v>
      </c>
      <c r="AD350" s="88">
        <v>0</v>
      </c>
      <c r="AE350" s="88" t="s">
        <v>1133</v>
      </c>
      <c r="AF350" s="88">
        <v>0</v>
      </c>
      <c r="AG350" s="88">
        <v>0</v>
      </c>
      <c r="AH350" s="88" t="s">
        <v>1133</v>
      </c>
      <c r="AI350" s="88" t="s">
        <v>1133</v>
      </c>
      <c r="AJ350" s="88" t="s">
        <v>1133</v>
      </c>
      <c r="AK350" s="88">
        <v>2</v>
      </c>
      <c r="AL350" s="88">
        <v>20</v>
      </c>
      <c r="AM350" s="88">
        <v>9</v>
      </c>
      <c r="AN350" s="88">
        <v>0</v>
      </c>
      <c r="AO350" s="88">
        <v>1</v>
      </c>
      <c r="AP350" s="88" t="s">
        <v>1134</v>
      </c>
      <c r="AQ350" s="88" t="s">
        <v>1133</v>
      </c>
      <c r="AR350" s="88">
        <v>0</v>
      </c>
      <c r="AS350" s="88"/>
      <c r="AT350" s="88"/>
      <c r="AU350" s="88">
        <v>0</v>
      </c>
      <c r="AV350" s="88" t="s">
        <v>1133</v>
      </c>
      <c r="AW350" s="88" t="s">
        <v>1133</v>
      </c>
      <c r="AX350" s="88">
        <v>0</v>
      </c>
      <c r="AY350" s="88">
        <v>0</v>
      </c>
      <c r="AZ350" s="88">
        <v>0</v>
      </c>
      <c r="BA350" s="88">
        <v>0</v>
      </c>
      <c r="BB350" s="88" t="s">
        <v>0</v>
      </c>
    </row>
    <row r="351" spans="1:54">
      <c r="A351" s="88">
        <v>351</v>
      </c>
      <c r="B351" s="88">
        <v>351</v>
      </c>
      <c r="C351" s="88"/>
      <c r="D351" s="88" t="s">
        <v>350</v>
      </c>
      <c r="E351" s="88">
        <v>0</v>
      </c>
      <c r="F351" s="88">
        <v>1147</v>
      </c>
      <c r="G351" s="88">
        <v>1</v>
      </c>
      <c r="H351" s="88">
        <v>2</v>
      </c>
      <c r="I351" s="88">
        <v>2</v>
      </c>
      <c r="J351" s="88">
        <v>0</v>
      </c>
      <c r="K351" s="88">
        <v>0</v>
      </c>
      <c r="L351" s="88">
        <v>1</v>
      </c>
      <c r="M351" s="88">
        <v>5</v>
      </c>
      <c r="N351" s="88">
        <v>34</v>
      </c>
      <c r="O351" s="88">
        <v>1</v>
      </c>
      <c r="P351" s="88">
        <v>1</v>
      </c>
      <c r="Q351" s="88">
        <v>1</v>
      </c>
      <c r="R351" s="88">
        <v>20</v>
      </c>
      <c r="S351" s="88">
        <v>10</v>
      </c>
      <c r="T351" s="88">
        <v>0</v>
      </c>
      <c r="U351" s="88">
        <v>0</v>
      </c>
      <c r="V351" s="88">
        <v>0</v>
      </c>
      <c r="W351" s="88">
        <v>0</v>
      </c>
      <c r="X351" s="88">
        <v>20</v>
      </c>
      <c r="Y351" s="88">
        <v>0</v>
      </c>
      <c r="Z351" s="88">
        <v>10</v>
      </c>
      <c r="AA351" s="88">
        <v>0</v>
      </c>
      <c r="AB351" s="88">
        <v>1</v>
      </c>
      <c r="AC351" s="88">
        <v>0</v>
      </c>
      <c r="AD351" s="88">
        <v>0</v>
      </c>
      <c r="AE351" s="88" t="s">
        <v>1133</v>
      </c>
      <c r="AF351" s="88">
        <v>0</v>
      </c>
      <c r="AG351" s="88">
        <v>0</v>
      </c>
      <c r="AH351" s="88" t="s">
        <v>1133</v>
      </c>
      <c r="AI351" s="88" t="s">
        <v>1133</v>
      </c>
      <c r="AJ351" s="88" t="s">
        <v>1133</v>
      </c>
      <c r="AK351" s="88">
        <v>2</v>
      </c>
      <c r="AL351" s="88">
        <v>20</v>
      </c>
      <c r="AM351" s="88">
        <v>9</v>
      </c>
      <c r="AN351" s="88">
        <v>0</v>
      </c>
      <c r="AO351" s="88">
        <v>1</v>
      </c>
      <c r="AP351" s="88" t="s">
        <v>1134</v>
      </c>
      <c r="AQ351" s="88" t="s">
        <v>1133</v>
      </c>
      <c r="AR351" s="88">
        <v>0</v>
      </c>
      <c r="AS351" s="88"/>
      <c r="AT351" s="88"/>
      <c r="AU351" s="88">
        <v>0</v>
      </c>
      <c r="AV351" s="88" t="s">
        <v>1133</v>
      </c>
      <c r="AW351" s="88" t="s">
        <v>1133</v>
      </c>
      <c r="AX351" s="88">
        <v>0</v>
      </c>
      <c r="AY351" s="88">
        <v>0</v>
      </c>
      <c r="AZ351" s="88">
        <v>0</v>
      </c>
      <c r="BA351" s="88">
        <v>0</v>
      </c>
      <c r="BB351" s="88" t="s">
        <v>0</v>
      </c>
    </row>
    <row r="352" spans="1:54">
      <c r="A352" s="88">
        <v>352</v>
      </c>
      <c r="B352" s="88">
        <v>352</v>
      </c>
      <c r="C352" s="88"/>
      <c r="D352" s="88" t="s">
        <v>351</v>
      </c>
      <c r="E352" s="88">
        <v>0</v>
      </c>
      <c r="F352" s="88">
        <v>1147</v>
      </c>
      <c r="G352" s="88">
        <v>1</v>
      </c>
      <c r="H352" s="88">
        <v>2</v>
      </c>
      <c r="I352" s="88">
        <v>2</v>
      </c>
      <c r="J352" s="88">
        <v>0</v>
      </c>
      <c r="K352" s="88">
        <v>0</v>
      </c>
      <c r="L352" s="88">
        <v>1</v>
      </c>
      <c r="M352" s="88">
        <v>7</v>
      </c>
      <c r="N352" s="88">
        <v>34</v>
      </c>
      <c r="O352" s="88">
        <v>1</v>
      </c>
      <c r="P352" s="88">
        <v>1</v>
      </c>
      <c r="Q352" s="88">
        <v>1</v>
      </c>
      <c r="R352" s="88">
        <v>20</v>
      </c>
      <c r="S352" s="88">
        <v>10</v>
      </c>
      <c r="T352" s="88">
        <v>0</v>
      </c>
      <c r="U352" s="88">
        <v>0</v>
      </c>
      <c r="V352" s="88">
        <v>0</v>
      </c>
      <c r="W352" s="88">
        <v>0</v>
      </c>
      <c r="X352" s="88">
        <v>20</v>
      </c>
      <c r="Y352" s="88">
        <v>0</v>
      </c>
      <c r="Z352" s="88">
        <v>10</v>
      </c>
      <c r="AA352" s="88">
        <v>0</v>
      </c>
      <c r="AB352" s="88">
        <v>1</v>
      </c>
      <c r="AC352" s="88">
        <v>0</v>
      </c>
      <c r="AD352" s="88">
        <v>0</v>
      </c>
      <c r="AE352" s="88" t="s">
        <v>1133</v>
      </c>
      <c r="AF352" s="88">
        <v>0</v>
      </c>
      <c r="AG352" s="88">
        <v>0</v>
      </c>
      <c r="AH352" s="88" t="s">
        <v>1133</v>
      </c>
      <c r="AI352" s="88" t="s">
        <v>1133</v>
      </c>
      <c r="AJ352" s="88" t="s">
        <v>1133</v>
      </c>
      <c r="AK352" s="88">
        <v>2</v>
      </c>
      <c r="AL352" s="88">
        <v>20</v>
      </c>
      <c r="AM352" s="88">
        <v>9</v>
      </c>
      <c r="AN352" s="88">
        <v>0</v>
      </c>
      <c r="AO352" s="88">
        <v>1</v>
      </c>
      <c r="AP352" s="88" t="s">
        <v>1134</v>
      </c>
      <c r="AQ352" s="88" t="s">
        <v>1133</v>
      </c>
      <c r="AR352" s="88">
        <v>0</v>
      </c>
      <c r="AS352" s="88"/>
      <c r="AT352" s="88"/>
      <c r="AU352" s="88">
        <v>0</v>
      </c>
      <c r="AV352" s="88" t="s">
        <v>1133</v>
      </c>
      <c r="AW352" s="88" t="s">
        <v>1133</v>
      </c>
      <c r="AX352" s="88">
        <v>0</v>
      </c>
      <c r="AY352" s="88">
        <v>0</v>
      </c>
      <c r="AZ352" s="88">
        <v>0</v>
      </c>
      <c r="BA352" s="88">
        <v>0</v>
      </c>
      <c r="BB352" s="88" t="s">
        <v>0</v>
      </c>
    </row>
    <row r="353" spans="1:54">
      <c r="A353" s="88">
        <v>353</v>
      </c>
      <c r="B353" s="88">
        <v>353</v>
      </c>
      <c r="C353" s="88"/>
      <c r="D353" s="88" t="s">
        <v>352</v>
      </c>
      <c r="E353" s="88">
        <v>0</v>
      </c>
      <c r="F353" s="88">
        <v>1147</v>
      </c>
      <c r="G353" s="88">
        <v>1</v>
      </c>
      <c r="H353" s="88">
        <v>2</v>
      </c>
      <c r="I353" s="88">
        <v>2</v>
      </c>
      <c r="J353" s="88">
        <v>0</v>
      </c>
      <c r="K353" s="88">
        <v>0</v>
      </c>
      <c r="L353" s="88">
        <v>1</v>
      </c>
      <c r="M353" s="88">
        <v>10</v>
      </c>
      <c r="N353" s="88">
        <v>34</v>
      </c>
      <c r="O353" s="88">
        <v>1</v>
      </c>
      <c r="P353" s="88">
        <v>1</v>
      </c>
      <c r="Q353" s="88">
        <v>1</v>
      </c>
      <c r="R353" s="88">
        <v>20</v>
      </c>
      <c r="S353" s="88">
        <v>10</v>
      </c>
      <c r="T353" s="88">
        <v>0</v>
      </c>
      <c r="U353" s="88">
        <v>0</v>
      </c>
      <c r="V353" s="88">
        <v>0</v>
      </c>
      <c r="W353" s="88">
        <v>0</v>
      </c>
      <c r="X353" s="88">
        <v>20</v>
      </c>
      <c r="Y353" s="88">
        <v>0</v>
      </c>
      <c r="Z353" s="88">
        <v>10</v>
      </c>
      <c r="AA353" s="88">
        <v>0</v>
      </c>
      <c r="AB353" s="88">
        <v>1</v>
      </c>
      <c r="AC353" s="88">
        <v>0</v>
      </c>
      <c r="AD353" s="88">
        <v>0</v>
      </c>
      <c r="AE353" s="88" t="s">
        <v>1133</v>
      </c>
      <c r="AF353" s="88">
        <v>0</v>
      </c>
      <c r="AG353" s="88">
        <v>0</v>
      </c>
      <c r="AH353" s="88" t="s">
        <v>1133</v>
      </c>
      <c r="AI353" s="88" t="s">
        <v>1133</v>
      </c>
      <c r="AJ353" s="88" t="s">
        <v>1133</v>
      </c>
      <c r="AK353" s="88">
        <v>2</v>
      </c>
      <c r="AL353" s="88">
        <v>20</v>
      </c>
      <c r="AM353" s="88">
        <v>9</v>
      </c>
      <c r="AN353" s="88">
        <v>0</v>
      </c>
      <c r="AO353" s="88">
        <v>1</v>
      </c>
      <c r="AP353" s="88" t="s">
        <v>1134</v>
      </c>
      <c r="AQ353" s="88" t="s">
        <v>1133</v>
      </c>
      <c r="AR353" s="88">
        <v>0</v>
      </c>
      <c r="AS353" s="88"/>
      <c r="AT353" s="88"/>
      <c r="AU353" s="88">
        <v>0</v>
      </c>
      <c r="AV353" s="88" t="s">
        <v>1133</v>
      </c>
      <c r="AW353" s="88" t="s">
        <v>1133</v>
      </c>
      <c r="AX353" s="88">
        <v>0</v>
      </c>
      <c r="AY353" s="88">
        <v>0</v>
      </c>
      <c r="AZ353" s="88">
        <v>0</v>
      </c>
      <c r="BA353" s="88">
        <v>0</v>
      </c>
      <c r="BB353" s="88" t="s">
        <v>0</v>
      </c>
    </row>
    <row r="354" spans="1:54">
      <c r="A354" s="88">
        <v>354</v>
      </c>
      <c r="B354" s="88">
        <v>354</v>
      </c>
      <c r="C354" s="88"/>
      <c r="D354" s="88" t="s">
        <v>353</v>
      </c>
      <c r="E354" s="88">
        <v>0</v>
      </c>
      <c r="F354" s="88">
        <v>1147</v>
      </c>
      <c r="G354" s="88">
        <v>1</v>
      </c>
      <c r="H354" s="88">
        <v>2</v>
      </c>
      <c r="I354" s="88">
        <v>2</v>
      </c>
      <c r="J354" s="88">
        <v>0</v>
      </c>
      <c r="K354" s="88">
        <v>0</v>
      </c>
      <c r="L354" s="88">
        <v>1</v>
      </c>
      <c r="M354" s="88">
        <v>14</v>
      </c>
      <c r="N354" s="88">
        <v>34</v>
      </c>
      <c r="O354" s="88">
        <v>1</v>
      </c>
      <c r="P354" s="88">
        <v>1</v>
      </c>
      <c r="Q354" s="88">
        <v>1</v>
      </c>
      <c r="R354" s="88">
        <v>20</v>
      </c>
      <c r="S354" s="88">
        <v>10</v>
      </c>
      <c r="T354" s="88">
        <v>0</v>
      </c>
      <c r="U354" s="88">
        <v>0</v>
      </c>
      <c r="V354" s="88">
        <v>0</v>
      </c>
      <c r="W354" s="88">
        <v>0</v>
      </c>
      <c r="X354" s="88">
        <v>20</v>
      </c>
      <c r="Y354" s="88">
        <v>0</v>
      </c>
      <c r="Z354" s="88">
        <v>10</v>
      </c>
      <c r="AA354" s="88">
        <v>0</v>
      </c>
      <c r="AB354" s="88">
        <v>1</v>
      </c>
      <c r="AC354" s="88">
        <v>0</v>
      </c>
      <c r="AD354" s="88">
        <v>0</v>
      </c>
      <c r="AE354" s="88" t="s">
        <v>1133</v>
      </c>
      <c r="AF354" s="88">
        <v>0</v>
      </c>
      <c r="AG354" s="88">
        <v>0</v>
      </c>
      <c r="AH354" s="88" t="s">
        <v>1133</v>
      </c>
      <c r="AI354" s="88" t="s">
        <v>1133</v>
      </c>
      <c r="AJ354" s="88" t="s">
        <v>1133</v>
      </c>
      <c r="AK354" s="88">
        <v>2</v>
      </c>
      <c r="AL354" s="88">
        <v>20</v>
      </c>
      <c r="AM354" s="88">
        <v>9</v>
      </c>
      <c r="AN354" s="88">
        <v>0</v>
      </c>
      <c r="AO354" s="88">
        <v>1</v>
      </c>
      <c r="AP354" s="88" t="s">
        <v>1134</v>
      </c>
      <c r="AQ354" s="88" t="s">
        <v>1133</v>
      </c>
      <c r="AR354" s="88">
        <v>0</v>
      </c>
      <c r="AS354" s="88"/>
      <c r="AT354" s="88"/>
      <c r="AU354" s="88">
        <v>0</v>
      </c>
      <c r="AV354" s="88" t="s">
        <v>1133</v>
      </c>
      <c r="AW354" s="88" t="s">
        <v>1133</v>
      </c>
      <c r="AX354" s="88">
        <v>0</v>
      </c>
      <c r="AY354" s="88">
        <v>0</v>
      </c>
      <c r="AZ354" s="88">
        <v>0</v>
      </c>
      <c r="BA354" s="88">
        <v>0</v>
      </c>
      <c r="BB354" s="88" t="s">
        <v>0</v>
      </c>
    </row>
    <row r="355" spans="1:54">
      <c r="A355" s="88">
        <v>355</v>
      </c>
      <c r="B355" s="88">
        <v>355</v>
      </c>
      <c r="C355" s="88"/>
      <c r="D355" s="88" t="s">
        <v>354</v>
      </c>
      <c r="E355" s="88">
        <v>0</v>
      </c>
      <c r="F355" s="88">
        <v>1147</v>
      </c>
      <c r="G355" s="88">
        <v>1</v>
      </c>
      <c r="H355" s="88">
        <v>2</v>
      </c>
      <c r="I355" s="88">
        <v>2</v>
      </c>
      <c r="J355" s="88">
        <v>0</v>
      </c>
      <c r="K355" s="88">
        <v>0</v>
      </c>
      <c r="L355" s="88">
        <v>1</v>
      </c>
      <c r="M355" s="88">
        <v>16</v>
      </c>
      <c r="N355" s="88">
        <v>34</v>
      </c>
      <c r="O355" s="88">
        <v>1</v>
      </c>
      <c r="P355" s="88">
        <v>1</v>
      </c>
      <c r="Q355" s="88">
        <v>1</v>
      </c>
      <c r="R355" s="88">
        <v>20</v>
      </c>
      <c r="S355" s="88">
        <v>10</v>
      </c>
      <c r="T355" s="88">
        <v>0</v>
      </c>
      <c r="U355" s="88">
        <v>0</v>
      </c>
      <c r="V355" s="88">
        <v>0</v>
      </c>
      <c r="W355" s="88">
        <v>0</v>
      </c>
      <c r="X355" s="88">
        <v>20</v>
      </c>
      <c r="Y355" s="88">
        <v>0</v>
      </c>
      <c r="Z355" s="88">
        <v>10</v>
      </c>
      <c r="AA355" s="88">
        <v>0</v>
      </c>
      <c r="AB355" s="88">
        <v>1</v>
      </c>
      <c r="AC355" s="88">
        <v>0</v>
      </c>
      <c r="AD355" s="88">
        <v>0</v>
      </c>
      <c r="AE355" s="88" t="s">
        <v>1133</v>
      </c>
      <c r="AF355" s="88">
        <v>0</v>
      </c>
      <c r="AG355" s="88">
        <v>0</v>
      </c>
      <c r="AH355" s="88" t="s">
        <v>1133</v>
      </c>
      <c r="AI355" s="88" t="s">
        <v>1133</v>
      </c>
      <c r="AJ355" s="88" t="s">
        <v>1133</v>
      </c>
      <c r="AK355" s="88">
        <v>2</v>
      </c>
      <c r="AL355" s="88">
        <v>20</v>
      </c>
      <c r="AM355" s="88">
        <v>9</v>
      </c>
      <c r="AN355" s="88">
        <v>0</v>
      </c>
      <c r="AO355" s="88">
        <v>1</v>
      </c>
      <c r="AP355" s="88" t="s">
        <v>1134</v>
      </c>
      <c r="AQ355" s="88" t="s">
        <v>1133</v>
      </c>
      <c r="AR355" s="88">
        <v>0</v>
      </c>
      <c r="AS355" s="88"/>
      <c r="AT355" s="88"/>
      <c r="AU355" s="88">
        <v>0</v>
      </c>
      <c r="AV355" s="88" t="s">
        <v>1133</v>
      </c>
      <c r="AW355" s="88" t="s">
        <v>1133</v>
      </c>
      <c r="AX355" s="88">
        <v>0</v>
      </c>
      <c r="AY355" s="88">
        <v>0</v>
      </c>
      <c r="AZ355" s="88">
        <v>0</v>
      </c>
      <c r="BA355" s="88">
        <v>0</v>
      </c>
      <c r="BB355" s="88" t="s">
        <v>0</v>
      </c>
    </row>
    <row r="356" spans="1:54">
      <c r="A356" s="88">
        <v>356</v>
      </c>
      <c r="B356" s="88">
        <v>356</v>
      </c>
      <c r="C356" s="88"/>
      <c r="D356" s="88" t="s">
        <v>355</v>
      </c>
      <c r="E356" s="88">
        <v>0</v>
      </c>
      <c r="F356" s="88">
        <v>1147</v>
      </c>
      <c r="G356" s="88">
        <v>1</v>
      </c>
      <c r="H356" s="88">
        <v>2</v>
      </c>
      <c r="I356" s="88">
        <v>2</v>
      </c>
      <c r="J356" s="88">
        <v>0</v>
      </c>
      <c r="K356" s="88">
        <v>0</v>
      </c>
      <c r="L356" s="88">
        <v>1</v>
      </c>
      <c r="M356" s="88">
        <v>20</v>
      </c>
      <c r="N356" s="88">
        <v>34</v>
      </c>
      <c r="O356" s="88">
        <v>1</v>
      </c>
      <c r="P356" s="88">
        <v>1</v>
      </c>
      <c r="Q356" s="88">
        <v>1</v>
      </c>
      <c r="R356" s="88">
        <v>20</v>
      </c>
      <c r="S356" s="88">
        <v>10</v>
      </c>
      <c r="T356" s="88">
        <v>0</v>
      </c>
      <c r="U356" s="88">
        <v>0</v>
      </c>
      <c r="V356" s="88">
        <v>0</v>
      </c>
      <c r="W356" s="88">
        <v>0</v>
      </c>
      <c r="X356" s="88">
        <v>20</v>
      </c>
      <c r="Y356" s="88">
        <v>0</v>
      </c>
      <c r="Z356" s="88">
        <v>10</v>
      </c>
      <c r="AA356" s="88">
        <v>0</v>
      </c>
      <c r="AB356" s="88">
        <v>1</v>
      </c>
      <c r="AC356" s="88">
        <v>0</v>
      </c>
      <c r="AD356" s="88">
        <v>0</v>
      </c>
      <c r="AE356" s="88" t="s">
        <v>1133</v>
      </c>
      <c r="AF356" s="88">
        <v>0</v>
      </c>
      <c r="AG356" s="88">
        <v>0</v>
      </c>
      <c r="AH356" s="88" t="s">
        <v>1133</v>
      </c>
      <c r="AI356" s="88" t="s">
        <v>1133</v>
      </c>
      <c r="AJ356" s="88" t="s">
        <v>1133</v>
      </c>
      <c r="AK356" s="88">
        <v>2</v>
      </c>
      <c r="AL356" s="88">
        <v>20</v>
      </c>
      <c r="AM356" s="88">
        <v>9</v>
      </c>
      <c r="AN356" s="88">
        <v>0</v>
      </c>
      <c r="AO356" s="88">
        <v>1</v>
      </c>
      <c r="AP356" s="88" t="s">
        <v>1134</v>
      </c>
      <c r="AQ356" s="88" t="s">
        <v>1133</v>
      </c>
      <c r="AR356" s="88">
        <v>0</v>
      </c>
      <c r="AS356" s="88"/>
      <c r="AT356" s="88"/>
      <c r="AU356" s="88">
        <v>0</v>
      </c>
      <c r="AV356" s="88" t="s">
        <v>1133</v>
      </c>
      <c r="AW356" s="88" t="s">
        <v>1133</v>
      </c>
      <c r="AX356" s="88">
        <v>0</v>
      </c>
      <c r="AY356" s="88">
        <v>0</v>
      </c>
      <c r="AZ356" s="88">
        <v>0</v>
      </c>
      <c r="BA356" s="88">
        <v>0</v>
      </c>
      <c r="BB356" s="88" t="s">
        <v>0</v>
      </c>
    </row>
    <row r="357" spans="1:54">
      <c r="A357" s="88">
        <v>357</v>
      </c>
      <c r="B357" s="88">
        <v>357</v>
      </c>
      <c r="C357" s="88"/>
      <c r="D357" s="88" t="s">
        <v>356</v>
      </c>
      <c r="E357" s="88">
        <v>0</v>
      </c>
      <c r="F357" s="88">
        <v>1147</v>
      </c>
      <c r="G357" s="88">
        <v>1</v>
      </c>
      <c r="H357" s="88">
        <v>2</v>
      </c>
      <c r="I357" s="88">
        <v>2</v>
      </c>
      <c r="J357" s="88">
        <v>0</v>
      </c>
      <c r="K357" s="88">
        <v>0</v>
      </c>
      <c r="L357" s="88">
        <v>1</v>
      </c>
      <c r="M357" s="88">
        <v>30</v>
      </c>
      <c r="N357" s="88">
        <v>34</v>
      </c>
      <c r="O357" s="88">
        <v>1</v>
      </c>
      <c r="P357" s="88">
        <v>1</v>
      </c>
      <c r="Q357" s="88">
        <v>1</v>
      </c>
      <c r="R357" s="88">
        <v>20</v>
      </c>
      <c r="S357" s="88">
        <v>10</v>
      </c>
      <c r="T357" s="88">
        <v>0</v>
      </c>
      <c r="U357" s="88">
        <v>0</v>
      </c>
      <c r="V357" s="88">
        <v>0</v>
      </c>
      <c r="W357" s="88">
        <v>0</v>
      </c>
      <c r="X357" s="88">
        <v>20</v>
      </c>
      <c r="Y357" s="88">
        <v>0</v>
      </c>
      <c r="Z357" s="88">
        <v>10</v>
      </c>
      <c r="AA357" s="88">
        <v>0</v>
      </c>
      <c r="AB357" s="88">
        <v>1</v>
      </c>
      <c r="AC357" s="88">
        <v>0</v>
      </c>
      <c r="AD357" s="88">
        <v>0</v>
      </c>
      <c r="AE357" s="88" t="s">
        <v>1133</v>
      </c>
      <c r="AF357" s="88">
        <v>0</v>
      </c>
      <c r="AG357" s="88">
        <v>0</v>
      </c>
      <c r="AH357" s="88" t="s">
        <v>1133</v>
      </c>
      <c r="AI357" s="88" t="s">
        <v>1133</v>
      </c>
      <c r="AJ357" s="88" t="s">
        <v>1133</v>
      </c>
      <c r="AK357" s="88">
        <v>2</v>
      </c>
      <c r="AL357" s="88">
        <v>20</v>
      </c>
      <c r="AM357" s="88">
        <v>9</v>
      </c>
      <c r="AN357" s="88">
        <v>0</v>
      </c>
      <c r="AO357" s="88">
        <v>1</v>
      </c>
      <c r="AP357" s="88" t="s">
        <v>1134</v>
      </c>
      <c r="AQ357" s="88" t="s">
        <v>1133</v>
      </c>
      <c r="AR357" s="88">
        <v>0</v>
      </c>
      <c r="AS357" s="88"/>
      <c r="AT357" s="88"/>
      <c r="AU357" s="88">
        <v>0</v>
      </c>
      <c r="AV357" s="88" t="s">
        <v>1133</v>
      </c>
      <c r="AW357" s="88" t="s">
        <v>1133</v>
      </c>
      <c r="AX357" s="88">
        <v>0</v>
      </c>
      <c r="AY357" s="88">
        <v>0</v>
      </c>
      <c r="AZ357" s="88">
        <v>0</v>
      </c>
      <c r="BA357" s="88">
        <v>0</v>
      </c>
      <c r="BB357" s="88" t="s">
        <v>0</v>
      </c>
    </row>
    <row r="358" spans="1:54">
      <c r="A358" s="88">
        <v>358</v>
      </c>
      <c r="B358" s="88">
        <v>358</v>
      </c>
      <c r="C358" s="88"/>
      <c r="D358" s="88" t="s">
        <v>357</v>
      </c>
      <c r="E358" s="88">
        <v>0</v>
      </c>
      <c r="F358" s="88">
        <v>1147</v>
      </c>
      <c r="G358" s="88">
        <v>1</v>
      </c>
      <c r="H358" s="88">
        <v>2</v>
      </c>
      <c r="I358" s="88">
        <v>2</v>
      </c>
      <c r="J358" s="88">
        <v>0</v>
      </c>
      <c r="K358" s="88">
        <v>0</v>
      </c>
      <c r="L358" s="88">
        <v>1</v>
      </c>
      <c r="M358" s="88">
        <v>40</v>
      </c>
      <c r="N358" s="88">
        <v>34</v>
      </c>
      <c r="O358" s="88">
        <v>1</v>
      </c>
      <c r="P358" s="88">
        <v>1</v>
      </c>
      <c r="Q358" s="88">
        <v>1</v>
      </c>
      <c r="R358" s="88">
        <v>20</v>
      </c>
      <c r="S358" s="88">
        <v>10</v>
      </c>
      <c r="T358" s="88">
        <v>0</v>
      </c>
      <c r="U358" s="88">
        <v>0</v>
      </c>
      <c r="V358" s="88">
        <v>0</v>
      </c>
      <c r="W358" s="88">
        <v>0</v>
      </c>
      <c r="X358" s="88">
        <v>20</v>
      </c>
      <c r="Y358" s="88">
        <v>0</v>
      </c>
      <c r="Z358" s="88">
        <v>10</v>
      </c>
      <c r="AA358" s="88">
        <v>0</v>
      </c>
      <c r="AB358" s="88">
        <v>1</v>
      </c>
      <c r="AC358" s="88">
        <v>0</v>
      </c>
      <c r="AD358" s="88">
        <v>0</v>
      </c>
      <c r="AE358" s="88" t="s">
        <v>1133</v>
      </c>
      <c r="AF358" s="88">
        <v>0</v>
      </c>
      <c r="AG358" s="88">
        <v>0</v>
      </c>
      <c r="AH358" s="88" t="s">
        <v>1133</v>
      </c>
      <c r="AI358" s="88" t="s">
        <v>1133</v>
      </c>
      <c r="AJ358" s="88" t="s">
        <v>1133</v>
      </c>
      <c r="AK358" s="88">
        <v>2</v>
      </c>
      <c r="AL358" s="88">
        <v>20</v>
      </c>
      <c r="AM358" s="88">
        <v>9</v>
      </c>
      <c r="AN358" s="88">
        <v>0</v>
      </c>
      <c r="AO358" s="88">
        <v>1</v>
      </c>
      <c r="AP358" s="88" t="s">
        <v>1134</v>
      </c>
      <c r="AQ358" s="88" t="s">
        <v>1133</v>
      </c>
      <c r="AR358" s="88">
        <v>0</v>
      </c>
      <c r="AS358" s="88"/>
      <c r="AT358" s="88"/>
      <c r="AU358" s="88">
        <v>0</v>
      </c>
      <c r="AV358" s="88" t="s">
        <v>1133</v>
      </c>
      <c r="AW358" s="88" t="s">
        <v>1133</v>
      </c>
      <c r="AX358" s="88">
        <v>0</v>
      </c>
      <c r="AY358" s="88">
        <v>0</v>
      </c>
      <c r="AZ358" s="88">
        <v>0</v>
      </c>
      <c r="BA358" s="88">
        <v>0</v>
      </c>
      <c r="BB358" s="88" t="s">
        <v>0</v>
      </c>
    </row>
    <row r="359" spans="1:54">
      <c r="A359" s="88">
        <v>359</v>
      </c>
      <c r="B359" s="88">
        <v>359</v>
      </c>
      <c r="C359" s="88"/>
      <c r="D359" s="88" t="s">
        <v>358</v>
      </c>
      <c r="E359" s="88">
        <v>0</v>
      </c>
      <c r="F359" s="88">
        <v>1147</v>
      </c>
      <c r="G359" s="88">
        <v>1</v>
      </c>
      <c r="H359" s="88">
        <v>2</v>
      </c>
      <c r="I359" s="88">
        <v>2</v>
      </c>
      <c r="J359" s="88">
        <v>0</v>
      </c>
      <c r="K359" s="88">
        <v>0</v>
      </c>
      <c r="L359" s="88">
        <v>1</v>
      </c>
      <c r="M359" s="88">
        <v>50</v>
      </c>
      <c r="N359" s="88">
        <v>34</v>
      </c>
      <c r="O359" s="88">
        <v>1</v>
      </c>
      <c r="P359" s="88">
        <v>1</v>
      </c>
      <c r="Q359" s="88">
        <v>1</v>
      </c>
      <c r="R359" s="88">
        <v>20</v>
      </c>
      <c r="S359" s="88">
        <v>10</v>
      </c>
      <c r="T359" s="88">
        <v>0</v>
      </c>
      <c r="U359" s="88">
        <v>0</v>
      </c>
      <c r="V359" s="88">
        <v>0</v>
      </c>
      <c r="W359" s="88">
        <v>0</v>
      </c>
      <c r="X359" s="88">
        <v>20</v>
      </c>
      <c r="Y359" s="88">
        <v>0</v>
      </c>
      <c r="Z359" s="88">
        <v>10</v>
      </c>
      <c r="AA359" s="88">
        <v>0</v>
      </c>
      <c r="AB359" s="88">
        <v>1</v>
      </c>
      <c r="AC359" s="88">
        <v>0</v>
      </c>
      <c r="AD359" s="88">
        <v>0</v>
      </c>
      <c r="AE359" s="88" t="s">
        <v>1133</v>
      </c>
      <c r="AF359" s="88">
        <v>0</v>
      </c>
      <c r="AG359" s="88">
        <v>0</v>
      </c>
      <c r="AH359" s="88" t="s">
        <v>1133</v>
      </c>
      <c r="AI359" s="88" t="s">
        <v>1133</v>
      </c>
      <c r="AJ359" s="88" t="s">
        <v>1133</v>
      </c>
      <c r="AK359" s="88">
        <v>2</v>
      </c>
      <c r="AL359" s="88">
        <v>20</v>
      </c>
      <c r="AM359" s="88">
        <v>9</v>
      </c>
      <c r="AN359" s="88">
        <v>0</v>
      </c>
      <c r="AO359" s="88">
        <v>1</v>
      </c>
      <c r="AP359" s="88" t="s">
        <v>1134</v>
      </c>
      <c r="AQ359" s="88" t="s">
        <v>1133</v>
      </c>
      <c r="AR359" s="88">
        <v>0</v>
      </c>
      <c r="AS359" s="88"/>
      <c r="AT359" s="88"/>
      <c r="AU359" s="88">
        <v>0</v>
      </c>
      <c r="AV359" s="88" t="s">
        <v>1133</v>
      </c>
      <c r="AW359" s="88" t="s">
        <v>1133</v>
      </c>
      <c r="AX359" s="88">
        <v>0</v>
      </c>
      <c r="AY359" s="88">
        <v>0</v>
      </c>
      <c r="AZ359" s="88">
        <v>0</v>
      </c>
      <c r="BA359" s="88">
        <v>0</v>
      </c>
      <c r="BB359" s="88" t="s">
        <v>0</v>
      </c>
    </row>
    <row r="360" spans="1:54">
      <c r="A360" s="88">
        <v>360</v>
      </c>
      <c r="B360" s="88">
        <v>360</v>
      </c>
      <c r="C360" s="88"/>
      <c r="D360" s="88" t="s">
        <v>359</v>
      </c>
      <c r="E360" s="88">
        <v>0</v>
      </c>
      <c r="F360" s="88">
        <v>1147</v>
      </c>
      <c r="G360" s="88">
        <v>1</v>
      </c>
      <c r="H360" s="88">
        <v>2</v>
      </c>
      <c r="I360" s="88">
        <v>2</v>
      </c>
      <c r="J360" s="88">
        <v>0</v>
      </c>
      <c r="K360" s="88">
        <v>0</v>
      </c>
      <c r="L360" s="88">
        <v>1</v>
      </c>
      <c r="M360" s="88">
        <v>80</v>
      </c>
      <c r="N360" s="88">
        <v>34</v>
      </c>
      <c r="O360" s="88">
        <v>1</v>
      </c>
      <c r="P360" s="88">
        <v>1</v>
      </c>
      <c r="Q360" s="88">
        <v>1</v>
      </c>
      <c r="R360" s="88">
        <v>20</v>
      </c>
      <c r="S360" s="88">
        <v>10</v>
      </c>
      <c r="T360" s="88">
        <v>0</v>
      </c>
      <c r="U360" s="88">
        <v>0</v>
      </c>
      <c r="V360" s="88">
        <v>0</v>
      </c>
      <c r="W360" s="88">
        <v>0</v>
      </c>
      <c r="X360" s="88">
        <v>20</v>
      </c>
      <c r="Y360" s="88">
        <v>0</v>
      </c>
      <c r="Z360" s="88">
        <v>10</v>
      </c>
      <c r="AA360" s="88">
        <v>0</v>
      </c>
      <c r="AB360" s="88">
        <v>1</v>
      </c>
      <c r="AC360" s="88">
        <v>0</v>
      </c>
      <c r="AD360" s="88">
        <v>0</v>
      </c>
      <c r="AE360" s="88" t="s">
        <v>1133</v>
      </c>
      <c r="AF360" s="88">
        <v>0</v>
      </c>
      <c r="AG360" s="88">
        <v>0</v>
      </c>
      <c r="AH360" s="88" t="s">
        <v>1133</v>
      </c>
      <c r="AI360" s="88" t="s">
        <v>1133</v>
      </c>
      <c r="AJ360" s="88" t="s">
        <v>1133</v>
      </c>
      <c r="AK360" s="88">
        <v>2</v>
      </c>
      <c r="AL360" s="88">
        <v>20</v>
      </c>
      <c r="AM360" s="88">
        <v>9</v>
      </c>
      <c r="AN360" s="88">
        <v>0</v>
      </c>
      <c r="AO360" s="88">
        <v>1</v>
      </c>
      <c r="AP360" s="88" t="s">
        <v>1134</v>
      </c>
      <c r="AQ360" s="88" t="s">
        <v>1133</v>
      </c>
      <c r="AR360" s="88">
        <v>0</v>
      </c>
      <c r="AS360" s="88"/>
      <c r="AT360" s="88"/>
      <c r="AU360" s="88">
        <v>0</v>
      </c>
      <c r="AV360" s="88" t="s">
        <v>1133</v>
      </c>
      <c r="AW360" s="88" t="s">
        <v>1133</v>
      </c>
      <c r="AX360" s="88">
        <v>0</v>
      </c>
      <c r="AY360" s="88">
        <v>0</v>
      </c>
      <c r="AZ360" s="88">
        <v>0</v>
      </c>
      <c r="BA360" s="88">
        <v>0</v>
      </c>
      <c r="BB360" s="88" t="s">
        <v>0</v>
      </c>
    </row>
    <row r="361" spans="1:54">
      <c r="A361" s="88">
        <v>361</v>
      </c>
      <c r="B361" s="88">
        <v>361</v>
      </c>
      <c r="C361" s="88"/>
      <c r="D361" s="88" t="s">
        <v>360</v>
      </c>
      <c r="E361" s="88">
        <v>0</v>
      </c>
      <c r="F361" s="88">
        <v>1147</v>
      </c>
      <c r="G361" s="88">
        <v>1</v>
      </c>
      <c r="H361" s="88">
        <v>2</v>
      </c>
      <c r="I361" s="88">
        <v>2</v>
      </c>
      <c r="J361" s="88">
        <v>0</v>
      </c>
      <c r="K361" s="88">
        <v>0</v>
      </c>
      <c r="L361" s="88">
        <v>1</v>
      </c>
      <c r="M361" s="88">
        <v>600</v>
      </c>
      <c r="N361" s="88">
        <v>34</v>
      </c>
      <c r="O361" s="88">
        <v>1</v>
      </c>
      <c r="P361" s="88">
        <v>1</v>
      </c>
      <c r="Q361" s="88">
        <v>1</v>
      </c>
      <c r="R361" s="88">
        <v>20</v>
      </c>
      <c r="S361" s="88">
        <v>10</v>
      </c>
      <c r="T361" s="88">
        <v>0</v>
      </c>
      <c r="U361" s="88">
        <v>0</v>
      </c>
      <c r="V361" s="88">
        <v>0</v>
      </c>
      <c r="W361" s="88">
        <v>0</v>
      </c>
      <c r="X361" s="88">
        <v>20</v>
      </c>
      <c r="Y361" s="88">
        <v>0</v>
      </c>
      <c r="Z361" s="88">
        <v>10</v>
      </c>
      <c r="AA361" s="88">
        <v>0</v>
      </c>
      <c r="AB361" s="88">
        <v>1</v>
      </c>
      <c r="AC361" s="88">
        <v>0</v>
      </c>
      <c r="AD361" s="88">
        <v>0</v>
      </c>
      <c r="AE361" s="88" t="s">
        <v>1133</v>
      </c>
      <c r="AF361" s="88">
        <v>0</v>
      </c>
      <c r="AG361" s="88">
        <v>0</v>
      </c>
      <c r="AH361" s="88" t="s">
        <v>1133</v>
      </c>
      <c r="AI361" s="88" t="s">
        <v>1133</v>
      </c>
      <c r="AJ361" s="88" t="s">
        <v>1133</v>
      </c>
      <c r="AK361" s="88">
        <v>2</v>
      </c>
      <c r="AL361" s="88">
        <v>20</v>
      </c>
      <c r="AM361" s="88">
        <v>9</v>
      </c>
      <c r="AN361" s="88">
        <v>0</v>
      </c>
      <c r="AO361" s="88">
        <v>1</v>
      </c>
      <c r="AP361" s="88" t="s">
        <v>1134</v>
      </c>
      <c r="AQ361" s="88" t="s">
        <v>1133</v>
      </c>
      <c r="AR361" s="88">
        <v>0</v>
      </c>
      <c r="AS361" s="88"/>
      <c r="AT361" s="88"/>
      <c r="AU361" s="88">
        <v>0</v>
      </c>
      <c r="AV361" s="88" t="s">
        <v>1133</v>
      </c>
      <c r="AW361" s="88" t="s">
        <v>1133</v>
      </c>
      <c r="AX361" s="88">
        <v>0</v>
      </c>
      <c r="AY361" s="88">
        <v>0</v>
      </c>
      <c r="AZ361" s="88">
        <v>0</v>
      </c>
      <c r="BA361" s="88">
        <v>0</v>
      </c>
      <c r="BB361" s="88" t="s">
        <v>0</v>
      </c>
    </row>
    <row r="362" spans="1:54">
      <c r="A362" s="88">
        <v>362</v>
      </c>
      <c r="B362" s="88">
        <v>362</v>
      </c>
      <c r="C362" s="88"/>
      <c r="D362" s="88" t="s">
        <v>361</v>
      </c>
      <c r="E362" s="88">
        <v>0</v>
      </c>
      <c r="F362" s="88">
        <v>1147</v>
      </c>
      <c r="G362" s="88">
        <v>1</v>
      </c>
      <c r="H362" s="88">
        <v>2</v>
      </c>
      <c r="I362" s="88">
        <v>2</v>
      </c>
      <c r="J362" s="88">
        <v>0</v>
      </c>
      <c r="K362" s="88">
        <v>0</v>
      </c>
      <c r="L362" s="88">
        <v>1</v>
      </c>
      <c r="M362" s="88">
        <v>800</v>
      </c>
      <c r="N362" s="88">
        <v>34</v>
      </c>
      <c r="O362" s="88">
        <v>1</v>
      </c>
      <c r="P362" s="88">
        <v>1</v>
      </c>
      <c r="Q362" s="88">
        <v>1</v>
      </c>
      <c r="R362" s="88">
        <v>20</v>
      </c>
      <c r="S362" s="88">
        <v>10</v>
      </c>
      <c r="T362" s="88">
        <v>0</v>
      </c>
      <c r="U362" s="88">
        <v>0</v>
      </c>
      <c r="V362" s="88">
        <v>0</v>
      </c>
      <c r="W362" s="88">
        <v>0</v>
      </c>
      <c r="X362" s="88">
        <v>20</v>
      </c>
      <c r="Y362" s="88">
        <v>0</v>
      </c>
      <c r="Z362" s="88">
        <v>10</v>
      </c>
      <c r="AA362" s="88">
        <v>0</v>
      </c>
      <c r="AB362" s="88">
        <v>1</v>
      </c>
      <c r="AC362" s="88">
        <v>0</v>
      </c>
      <c r="AD362" s="88">
        <v>0</v>
      </c>
      <c r="AE362" s="88" t="s">
        <v>1133</v>
      </c>
      <c r="AF362" s="88">
        <v>0</v>
      </c>
      <c r="AG362" s="88">
        <v>0</v>
      </c>
      <c r="AH362" s="88" t="s">
        <v>1133</v>
      </c>
      <c r="AI362" s="88" t="s">
        <v>1133</v>
      </c>
      <c r="AJ362" s="88" t="s">
        <v>1133</v>
      </c>
      <c r="AK362" s="88">
        <v>2</v>
      </c>
      <c r="AL362" s="88">
        <v>20</v>
      </c>
      <c r="AM362" s="88">
        <v>9</v>
      </c>
      <c r="AN362" s="88">
        <v>0</v>
      </c>
      <c r="AO362" s="88">
        <v>1</v>
      </c>
      <c r="AP362" s="88" t="s">
        <v>1134</v>
      </c>
      <c r="AQ362" s="88" t="s">
        <v>1133</v>
      </c>
      <c r="AR362" s="88">
        <v>0</v>
      </c>
      <c r="AS362" s="88"/>
      <c r="AT362" s="88"/>
      <c r="AU362" s="88">
        <v>0</v>
      </c>
      <c r="AV362" s="88" t="s">
        <v>1133</v>
      </c>
      <c r="AW362" s="88" t="s">
        <v>1133</v>
      </c>
      <c r="AX362" s="88">
        <v>0</v>
      </c>
      <c r="AY362" s="88">
        <v>0</v>
      </c>
      <c r="AZ362" s="88">
        <v>0</v>
      </c>
      <c r="BA362" s="88">
        <v>0</v>
      </c>
      <c r="BB362" s="88" t="s">
        <v>0</v>
      </c>
    </row>
    <row r="363" spans="1:54">
      <c r="A363" s="88">
        <v>363</v>
      </c>
      <c r="B363" s="88">
        <v>363</v>
      </c>
      <c r="C363" s="88"/>
      <c r="D363" s="88" t="s">
        <v>362</v>
      </c>
      <c r="E363" s="88">
        <v>0</v>
      </c>
      <c r="F363" s="88">
        <v>1147</v>
      </c>
      <c r="G363" s="88">
        <v>1</v>
      </c>
      <c r="H363" s="88">
        <v>2</v>
      </c>
      <c r="I363" s="88">
        <v>2</v>
      </c>
      <c r="J363" s="88">
        <v>0</v>
      </c>
      <c r="K363" s="88">
        <v>0</v>
      </c>
      <c r="L363" s="88">
        <v>1</v>
      </c>
      <c r="M363" s="88">
        <v>960</v>
      </c>
      <c r="N363" s="88">
        <v>34</v>
      </c>
      <c r="O363" s="88">
        <v>1</v>
      </c>
      <c r="P363" s="88">
        <v>1</v>
      </c>
      <c r="Q363" s="88">
        <v>1</v>
      </c>
      <c r="R363" s="88">
        <v>20</v>
      </c>
      <c r="S363" s="88">
        <v>10</v>
      </c>
      <c r="T363" s="88">
        <v>0</v>
      </c>
      <c r="U363" s="88">
        <v>0</v>
      </c>
      <c r="V363" s="88">
        <v>0</v>
      </c>
      <c r="W363" s="88">
        <v>0</v>
      </c>
      <c r="X363" s="88">
        <v>20</v>
      </c>
      <c r="Y363" s="88">
        <v>0</v>
      </c>
      <c r="Z363" s="88">
        <v>10</v>
      </c>
      <c r="AA363" s="88">
        <v>0</v>
      </c>
      <c r="AB363" s="88">
        <v>1</v>
      </c>
      <c r="AC363" s="88">
        <v>0</v>
      </c>
      <c r="AD363" s="88">
        <v>0</v>
      </c>
      <c r="AE363" s="88" t="s">
        <v>1133</v>
      </c>
      <c r="AF363" s="88">
        <v>0</v>
      </c>
      <c r="AG363" s="88">
        <v>0</v>
      </c>
      <c r="AH363" s="88" t="s">
        <v>1133</v>
      </c>
      <c r="AI363" s="88" t="s">
        <v>1133</v>
      </c>
      <c r="AJ363" s="88" t="s">
        <v>1133</v>
      </c>
      <c r="AK363" s="88">
        <v>2</v>
      </c>
      <c r="AL363" s="88">
        <v>20</v>
      </c>
      <c r="AM363" s="88">
        <v>9</v>
      </c>
      <c r="AN363" s="88">
        <v>0</v>
      </c>
      <c r="AO363" s="88">
        <v>1</v>
      </c>
      <c r="AP363" s="88" t="s">
        <v>1134</v>
      </c>
      <c r="AQ363" s="88" t="s">
        <v>1133</v>
      </c>
      <c r="AR363" s="88">
        <v>0</v>
      </c>
      <c r="AS363" s="88"/>
      <c r="AT363" s="88"/>
      <c r="AU363" s="88">
        <v>0</v>
      </c>
      <c r="AV363" s="88" t="s">
        <v>1133</v>
      </c>
      <c r="AW363" s="88" t="s">
        <v>1133</v>
      </c>
      <c r="AX363" s="88">
        <v>0</v>
      </c>
      <c r="AY363" s="88">
        <v>0</v>
      </c>
      <c r="AZ363" s="88">
        <v>0</v>
      </c>
      <c r="BA363" s="88">
        <v>0</v>
      </c>
      <c r="BB363" s="88" t="s">
        <v>0</v>
      </c>
    </row>
    <row r="364" spans="1:54">
      <c r="A364" s="88">
        <v>364</v>
      </c>
      <c r="B364" s="88">
        <v>364</v>
      </c>
      <c r="C364" s="88"/>
      <c r="D364" s="88" t="s">
        <v>363</v>
      </c>
      <c r="E364" s="88">
        <v>0</v>
      </c>
      <c r="F364" s="88">
        <v>1147</v>
      </c>
      <c r="G364" s="88">
        <v>1</v>
      </c>
      <c r="H364" s="88">
        <v>2</v>
      </c>
      <c r="I364" s="88">
        <v>2</v>
      </c>
      <c r="J364" s="88">
        <v>0</v>
      </c>
      <c r="K364" s="88">
        <v>0</v>
      </c>
      <c r="L364" s="88">
        <v>1</v>
      </c>
      <c r="M364" s="88">
        <v>1280</v>
      </c>
      <c r="N364" s="88">
        <v>34</v>
      </c>
      <c r="O364" s="88">
        <v>1</v>
      </c>
      <c r="P364" s="88">
        <v>1</v>
      </c>
      <c r="Q364" s="88">
        <v>1</v>
      </c>
      <c r="R364" s="88">
        <v>20</v>
      </c>
      <c r="S364" s="88">
        <v>10</v>
      </c>
      <c r="T364" s="88">
        <v>0</v>
      </c>
      <c r="U364" s="88">
        <v>0</v>
      </c>
      <c r="V364" s="88">
        <v>0</v>
      </c>
      <c r="W364" s="88">
        <v>0</v>
      </c>
      <c r="X364" s="88">
        <v>20</v>
      </c>
      <c r="Y364" s="88">
        <v>0</v>
      </c>
      <c r="Z364" s="88">
        <v>10</v>
      </c>
      <c r="AA364" s="88">
        <v>0</v>
      </c>
      <c r="AB364" s="88">
        <v>1</v>
      </c>
      <c r="AC364" s="88">
        <v>0</v>
      </c>
      <c r="AD364" s="88">
        <v>0</v>
      </c>
      <c r="AE364" s="88" t="s">
        <v>1133</v>
      </c>
      <c r="AF364" s="88">
        <v>0</v>
      </c>
      <c r="AG364" s="88">
        <v>0</v>
      </c>
      <c r="AH364" s="88" t="s">
        <v>1133</v>
      </c>
      <c r="AI364" s="88" t="s">
        <v>1133</v>
      </c>
      <c r="AJ364" s="88" t="s">
        <v>1133</v>
      </c>
      <c r="AK364" s="88">
        <v>2</v>
      </c>
      <c r="AL364" s="88">
        <v>20</v>
      </c>
      <c r="AM364" s="88">
        <v>9</v>
      </c>
      <c r="AN364" s="88">
        <v>0</v>
      </c>
      <c r="AO364" s="88">
        <v>1</v>
      </c>
      <c r="AP364" s="88" t="s">
        <v>1134</v>
      </c>
      <c r="AQ364" s="88" t="s">
        <v>1133</v>
      </c>
      <c r="AR364" s="88">
        <v>0</v>
      </c>
      <c r="AS364" s="88"/>
      <c r="AT364" s="88"/>
      <c r="AU364" s="88">
        <v>0</v>
      </c>
      <c r="AV364" s="88" t="s">
        <v>1133</v>
      </c>
      <c r="AW364" s="88" t="s">
        <v>1133</v>
      </c>
      <c r="AX364" s="88">
        <v>0</v>
      </c>
      <c r="AY364" s="88">
        <v>0</v>
      </c>
      <c r="AZ364" s="88">
        <v>0</v>
      </c>
      <c r="BA364" s="88">
        <v>0</v>
      </c>
      <c r="BB364" s="88" t="s">
        <v>0</v>
      </c>
    </row>
    <row r="365" spans="1:54">
      <c r="A365" s="88">
        <v>365</v>
      </c>
      <c r="B365" s="88">
        <v>365</v>
      </c>
      <c r="C365" s="88"/>
      <c r="D365" s="88" t="s">
        <v>1168</v>
      </c>
      <c r="E365" s="88">
        <v>0</v>
      </c>
      <c r="F365" s="88">
        <v>1164</v>
      </c>
      <c r="G365" s="88">
        <v>1</v>
      </c>
      <c r="H365" s="88">
        <v>1</v>
      </c>
      <c r="I365" s="88">
        <v>1</v>
      </c>
      <c r="J365" s="88">
        <v>0</v>
      </c>
      <c r="K365" s="88">
        <v>0</v>
      </c>
      <c r="L365" s="88">
        <v>1</v>
      </c>
      <c r="M365" s="88">
        <v>12</v>
      </c>
      <c r="N365" s="88">
        <v>34</v>
      </c>
      <c r="O365" s="88">
        <v>1</v>
      </c>
      <c r="P365" s="88">
        <v>1</v>
      </c>
      <c r="Q365" s="88">
        <v>1</v>
      </c>
      <c r="R365" s="88">
        <v>20</v>
      </c>
      <c r="S365" s="88">
        <v>10</v>
      </c>
      <c r="T365" s="88">
        <v>0</v>
      </c>
      <c r="U365" s="88">
        <v>0</v>
      </c>
      <c r="V365" s="88">
        <v>0</v>
      </c>
      <c r="W365" s="88">
        <v>0</v>
      </c>
      <c r="X365" s="88">
        <v>20</v>
      </c>
      <c r="Y365" s="88">
        <v>0</v>
      </c>
      <c r="Z365" s="88">
        <v>10</v>
      </c>
      <c r="AA365" s="88">
        <v>0</v>
      </c>
      <c r="AB365" s="88">
        <v>1</v>
      </c>
      <c r="AC365" s="88">
        <v>0</v>
      </c>
      <c r="AD365" s="88">
        <v>0</v>
      </c>
      <c r="AE365" s="88" t="s">
        <v>1133</v>
      </c>
      <c r="AF365" s="88">
        <v>0</v>
      </c>
      <c r="AG365" s="88">
        <v>0</v>
      </c>
      <c r="AH365" s="88" t="s">
        <v>1133</v>
      </c>
      <c r="AI365" s="88" t="s">
        <v>1133</v>
      </c>
      <c r="AJ365" s="88" t="s">
        <v>1133</v>
      </c>
      <c r="AK365" s="88">
        <v>2</v>
      </c>
      <c r="AL365" s="88">
        <v>20</v>
      </c>
      <c r="AM365" s="88">
        <v>9</v>
      </c>
      <c r="AN365" s="88">
        <v>0</v>
      </c>
      <c r="AO365" s="88">
        <v>1</v>
      </c>
      <c r="AP365" s="88" t="s">
        <v>1134</v>
      </c>
      <c r="AQ365" s="88" t="s">
        <v>1133</v>
      </c>
      <c r="AR365" s="88">
        <v>0</v>
      </c>
      <c r="AS365" s="88"/>
      <c r="AT365" s="88"/>
      <c r="AU365" s="88">
        <v>0</v>
      </c>
      <c r="AV365" s="88" t="s">
        <v>1133</v>
      </c>
      <c r="AW365" s="88" t="s">
        <v>1133</v>
      </c>
      <c r="AX365" s="88">
        <v>0</v>
      </c>
      <c r="AY365" s="88">
        <v>0</v>
      </c>
      <c r="AZ365" s="88">
        <v>0</v>
      </c>
      <c r="BA365" s="88">
        <v>0</v>
      </c>
      <c r="BB365" s="88" t="s">
        <v>0</v>
      </c>
    </row>
    <row r="366" spans="1:54">
      <c r="A366" s="88">
        <v>366</v>
      </c>
      <c r="B366" s="88">
        <v>366</v>
      </c>
      <c r="C366" s="88"/>
      <c r="D366" s="88" t="s">
        <v>1169</v>
      </c>
      <c r="E366" s="88">
        <v>0</v>
      </c>
      <c r="F366" s="88">
        <v>1165</v>
      </c>
      <c r="G366" s="88">
        <v>1</v>
      </c>
      <c r="H366" s="88">
        <v>1</v>
      </c>
      <c r="I366" s="88">
        <v>1</v>
      </c>
      <c r="J366" s="88">
        <v>0</v>
      </c>
      <c r="K366" s="88">
        <v>0</v>
      </c>
      <c r="L366" s="88">
        <v>1</v>
      </c>
      <c r="M366" s="88">
        <v>10</v>
      </c>
      <c r="N366" s="88">
        <v>34</v>
      </c>
      <c r="O366" s="88">
        <v>1</v>
      </c>
      <c r="P366" s="88">
        <v>1</v>
      </c>
      <c r="Q366" s="88">
        <v>1</v>
      </c>
      <c r="R366" s="88">
        <v>20</v>
      </c>
      <c r="S366" s="88">
        <v>10</v>
      </c>
      <c r="T366" s="88">
        <v>0</v>
      </c>
      <c r="U366" s="88">
        <v>0</v>
      </c>
      <c r="V366" s="88">
        <v>0</v>
      </c>
      <c r="W366" s="88">
        <v>0</v>
      </c>
      <c r="X366" s="88">
        <v>20</v>
      </c>
      <c r="Y366" s="88">
        <v>0</v>
      </c>
      <c r="Z366" s="88">
        <v>10</v>
      </c>
      <c r="AA366" s="88">
        <v>0</v>
      </c>
      <c r="AB366" s="88">
        <v>1</v>
      </c>
      <c r="AC366" s="88">
        <v>0</v>
      </c>
      <c r="AD366" s="88">
        <v>0</v>
      </c>
      <c r="AE366" s="88" t="s">
        <v>1133</v>
      </c>
      <c r="AF366" s="88">
        <v>0</v>
      </c>
      <c r="AG366" s="88">
        <v>0</v>
      </c>
      <c r="AH366" s="88" t="s">
        <v>1133</v>
      </c>
      <c r="AI366" s="88" t="s">
        <v>1133</v>
      </c>
      <c r="AJ366" s="88" t="s">
        <v>1133</v>
      </c>
      <c r="AK366" s="88">
        <v>2</v>
      </c>
      <c r="AL366" s="88">
        <v>20</v>
      </c>
      <c r="AM366" s="88">
        <v>9</v>
      </c>
      <c r="AN366" s="88">
        <v>0</v>
      </c>
      <c r="AO366" s="88">
        <v>1</v>
      </c>
      <c r="AP366" s="88" t="s">
        <v>1134</v>
      </c>
      <c r="AQ366" s="88" t="s">
        <v>1133</v>
      </c>
      <c r="AR366" s="88">
        <v>0</v>
      </c>
      <c r="AS366" s="88"/>
      <c r="AT366" s="88"/>
      <c r="AU366" s="88">
        <v>0</v>
      </c>
      <c r="AV366" s="88" t="s">
        <v>1133</v>
      </c>
      <c r="AW366" s="88" t="s">
        <v>1133</v>
      </c>
      <c r="AX366" s="88">
        <v>0</v>
      </c>
      <c r="AY366" s="88">
        <v>0</v>
      </c>
      <c r="AZ366" s="88">
        <v>0</v>
      </c>
      <c r="BA366" s="88">
        <v>0</v>
      </c>
      <c r="BB366" s="88" t="s">
        <v>0</v>
      </c>
    </row>
    <row r="367" spans="1:54">
      <c r="A367" s="88">
        <v>367</v>
      </c>
      <c r="B367" s="88">
        <v>367</v>
      </c>
      <c r="C367" s="88"/>
      <c r="D367" s="88" t="s">
        <v>1170</v>
      </c>
      <c r="E367" s="88">
        <v>0</v>
      </c>
      <c r="F367" s="88">
        <v>1167</v>
      </c>
      <c r="G367" s="88">
        <v>1</v>
      </c>
      <c r="H367" s="88">
        <v>1</v>
      </c>
      <c r="I367" s="88">
        <v>1</v>
      </c>
      <c r="J367" s="88">
        <v>0</v>
      </c>
      <c r="K367" s="88">
        <v>0</v>
      </c>
      <c r="L367" s="88">
        <v>1</v>
      </c>
      <c r="M367" s="88">
        <v>0.36</v>
      </c>
      <c r="N367" s="88">
        <v>34</v>
      </c>
      <c r="O367" s="88">
        <v>1</v>
      </c>
      <c r="P367" s="88">
        <v>1</v>
      </c>
      <c r="Q367" s="88">
        <v>1</v>
      </c>
      <c r="R367" s="88">
        <v>20</v>
      </c>
      <c r="S367" s="88">
        <v>10</v>
      </c>
      <c r="T367" s="88">
        <v>0</v>
      </c>
      <c r="U367" s="88">
        <v>0</v>
      </c>
      <c r="V367" s="88">
        <v>0</v>
      </c>
      <c r="W367" s="88">
        <v>0</v>
      </c>
      <c r="X367" s="88">
        <v>20</v>
      </c>
      <c r="Y367" s="88">
        <v>0</v>
      </c>
      <c r="Z367" s="88">
        <v>10</v>
      </c>
      <c r="AA367" s="88">
        <v>0</v>
      </c>
      <c r="AB367" s="88">
        <v>1</v>
      </c>
      <c r="AC367" s="88">
        <v>0</v>
      </c>
      <c r="AD367" s="88">
        <v>0</v>
      </c>
      <c r="AE367" s="88" t="s">
        <v>1133</v>
      </c>
      <c r="AF367" s="88">
        <v>0</v>
      </c>
      <c r="AG367" s="88">
        <v>0</v>
      </c>
      <c r="AH367" s="88" t="s">
        <v>1133</v>
      </c>
      <c r="AI367" s="88" t="s">
        <v>1133</v>
      </c>
      <c r="AJ367" s="88" t="s">
        <v>1133</v>
      </c>
      <c r="AK367" s="88">
        <v>2</v>
      </c>
      <c r="AL367" s="88">
        <v>20</v>
      </c>
      <c r="AM367" s="88">
        <v>9</v>
      </c>
      <c r="AN367" s="88">
        <v>0</v>
      </c>
      <c r="AO367" s="88">
        <v>1</v>
      </c>
      <c r="AP367" s="88" t="s">
        <v>1134</v>
      </c>
      <c r="AQ367" s="88" t="s">
        <v>1133</v>
      </c>
      <c r="AR367" s="88">
        <v>0</v>
      </c>
      <c r="AS367" s="88"/>
      <c r="AT367" s="88"/>
      <c r="AU367" s="88">
        <v>0</v>
      </c>
      <c r="AV367" s="88" t="s">
        <v>1133</v>
      </c>
      <c r="AW367" s="88" t="s">
        <v>1133</v>
      </c>
      <c r="AX367" s="88">
        <v>0</v>
      </c>
      <c r="AY367" s="88">
        <v>0</v>
      </c>
      <c r="AZ367" s="88">
        <v>0</v>
      </c>
      <c r="BA367" s="88">
        <v>0</v>
      </c>
      <c r="BB367" s="88" t="s">
        <v>0</v>
      </c>
    </row>
    <row r="368" spans="1:54">
      <c r="A368" s="88">
        <v>368</v>
      </c>
      <c r="B368" s="88">
        <v>368</v>
      </c>
      <c r="C368" s="88"/>
      <c r="D368" s="88" t="s">
        <v>1171</v>
      </c>
      <c r="E368" s="88">
        <v>0</v>
      </c>
      <c r="F368" s="88">
        <v>1167</v>
      </c>
      <c r="G368" s="88">
        <v>1</v>
      </c>
      <c r="H368" s="88">
        <v>1</v>
      </c>
      <c r="I368" s="88">
        <v>1</v>
      </c>
      <c r="J368" s="88">
        <v>0</v>
      </c>
      <c r="K368" s="88">
        <v>0</v>
      </c>
      <c r="L368" s="88">
        <v>1</v>
      </c>
      <c r="M368" s="88">
        <v>0.54</v>
      </c>
      <c r="N368" s="88">
        <v>34</v>
      </c>
      <c r="O368" s="88">
        <v>1</v>
      </c>
      <c r="P368" s="88">
        <v>1</v>
      </c>
      <c r="Q368" s="88">
        <v>1</v>
      </c>
      <c r="R368" s="88">
        <v>20</v>
      </c>
      <c r="S368" s="88">
        <v>10</v>
      </c>
      <c r="T368" s="88">
        <v>0</v>
      </c>
      <c r="U368" s="88">
        <v>0</v>
      </c>
      <c r="V368" s="88">
        <v>0</v>
      </c>
      <c r="W368" s="88">
        <v>0</v>
      </c>
      <c r="X368" s="88">
        <v>20</v>
      </c>
      <c r="Y368" s="88">
        <v>0</v>
      </c>
      <c r="Z368" s="88">
        <v>10</v>
      </c>
      <c r="AA368" s="88">
        <v>0</v>
      </c>
      <c r="AB368" s="88">
        <v>1</v>
      </c>
      <c r="AC368" s="88">
        <v>0</v>
      </c>
      <c r="AD368" s="88">
        <v>0</v>
      </c>
      <c r="AE368" s="88" t="s">
        <v>1133</v>
      </c>
      <c r="AF368" s="88">
        <v>0</v>
      </c>
      <c r="AG368" s="88">
        <v>0</v>
      </c>
      <c r="AH368" s="88" t="s">
        <v>1133</v>
      </c>
      <c r="AI368" s="88" t="s">
        <v>1133</v>
      </c>
      <c r="AJ368" s="88" t="s">
        <v>1133</v>
      </c>
      <c r="AK368" s="88">
        <v>2</v>
      </c>
      <c r="AL368" s="88">
        <v>20</v>
      </c>
      <c r="AM368" s="88">
        <v>9</v>
      </c>
      <c r="AN368" s="88">
        <v>0</v>
      </c>
      <c r="AO368" s="88">
        <v>1</v>
      </c>
      <c r="AP368" s="88" t="s">
        <v>1134</v>
      </c>
      <c r="AQ368" s="88" t="s">
        <v>1133</v>
      </c>
      <c r="AR368" s="88">
        <v>0</v>
      </c>
      <c r="AS368" s="88"/>
      <c r="AT368" s="88"/>
      <c r="AU368" s="88">
        <v>0</v>
      </c>
      <c r="AV368" s="88" t="s">
        <v>1133</v>
      </c>
      <c r="AW368" s="88" t="s">
        <v>1133</v>
      </c>
      <c r="AX368" s="88">
        <v>0</v>
      </c>
      <c r="AY368" s="88">
        <v>0</v>
      </c>
      <c r="AZ368" s="88">
        <v>0</v>
      </c>
      <c r="BA368" s="88">
        <v>0</v>
      </c>
      <c r="BB368" s="88" t="s">
        <v>0</v>
      </c>
    </row>
    <row r="369" spans="1:54">
      <c r="A369" s="88">
        <v>369</v>
      </c>
      <c r="B369" s="88">
        <v>369</v>
      </c>
      <c r="C369" s="88"/>
      <c r="D369" s="88" t="s">
        <v>1172</v>
      </c>
      <c r="E369" s="88">
        <v>0</v>
      </c>
      <c r="F369" s="88">
        <v>1167</v>
      </c>
      <c r="G369" s="88">
        <v>1</v>
      </c>
      <c r="H369" s="88">
        <v>1</v>
      </c>
      <c r="I369" s="88">
        <v>1</v>
      </c>
      <c r="J369" s="88">
        <v>0</v>
      </c>
      <c r="K369" s="88">
        <v>0</v>
      </c>
      <c r="L369" s="88">
        <v>1</v>
      </c>
      <c r="M369" s="88">
        <v>0.9</v>
      </c>
      <c r="N369" s="88">
        <v>34</v>
      </c>
      <c r="O369" s="88">
        <v>1</v>
      </c>
      <c r="P369" s="88">
        <v>1</v>
      </c>
      <c r="Q369" s="88">
        <v>1</v>
      </c>
      <c r="R369" s="88">
        <v>20</v>
      </c>
      <c r="S369" s="88">
        <v>10</v>
      </c>
      <c r="T369" s="88">
        <v>0</v>
      </c>
      <c r="U369" s="88">
        <v>0</v>
      </c>
      <c r="V369" s="88">
        <v>0</v>
      </c>
      <c r="W369" s="88">
        <v>0</v>
      </c>
      <c r="X369" s="88">
        <v>20</v>
      </c>
      <c r="Y369" s="88">
        <v>0</v>
      </c>
      <c r="Z369" s="88">
        <v>10</v>
      </c>
      <c r="AA369" s="88">
        <v>0</v>
      </c>
      <c r="AB369" s="88">
        <v>1</v>
      </c>
      <c r="AC369" s="88">
        <v>0</v>
      </c>
      <c r="AD369" s="88">
        <v>0</v>
      </c>
      <c r="AE369" s="88" t="s">
        <v>1133</v>
      </c>
      <c r="AF369" s="88">
        <v>0</v>
      </c>
      <c r="AG369" s="88">
        <v>0</v>
      </c>
      <c r="AH369" s="88" t="s">
        <v>1133</v>
      </c>
      <c r="AI369" s="88" t="s">
        <v>1133</v>
      </c>
      <c r="AJ369" s="88" t="s">
        <v>1133</v>
      </c>
      <c r="AK369" s="88">
        <v>2</v>
      </c>
      <c r="AL369" s="88">
        <v>20</v>
      </c>
      <c r="AM369" s="88">
        <v>9</v>
      </c>
      <c r="AN369" s="88">
        <v>0</v>
      </c>
      <c r="AO369" s="88">
        <v>1</v>
      </c>
      <c r="AP369" s="88" t="s">
        <v>1134</v>
      </c>
      <c r="AQ369" s="88" t="s">
        <v>1133</v>
      </c>
      <c r="AR369" s="88">
        <v>0</v>
      </c>
      <c r="AS369" s="88"/>
      <c r="AT369" s="88"/>
      <c r="AU369" s="88">
        <v>0</v>
      </c>
      <c r="AV369" s="88" t="s">
        <v>1133</v>
      </c>
      <c r="AW369" s="88" t="s">
        <v>1133</v>
      </c>
      <c r="AX369" s="88">
        <v>0</v>
      </c>
      <c r="AY369" s="88">
        <v>0</v>
      </c>
      <c r="AZ369" s="88">
        <v>0</v>
      </c>
      <c r="BA369" s="88">
        <v>0</v>
      </c>
      <c r="BB369" s="88" t="s">
        <v>0</v>
      </c>
    </row>
    <row r="370" spans="1:54">
      <c r="A370" s="88">
        <v>370</v>
      </c>
      <c r="B370" s="88">
        <v>370</v>
      </c>
      <c r="C370" s="88"/>
      <c r="D370" s="88" t="s">
        <v>1173</v>
      </c>
      <c r="E370" s="88">
        <v>0</v>
      </c>
      <c r="F370" s="88">
        <v>1167</v>
      </c>
      <c r="G370" s="88">
        <v>1</v>
      </c>
      <c r="H370" s="88">
        <v>1</v>
      </c>
      <c r="I370" s="88">
        <v>1</v>
      </c>
      <c r="J370" s="88">
        <v>0</v>
      </c>
      <c r="K370" s="88">
        <v>0</v>
      </c>
      <c r="L370" s="88">
        <v>1</v>
      </c>
      <c r="M370" s="88">
        <v>1.3</v>
      </c>
      <c r="N370" s="88">
        <v>34</v>
      </c>
      <c r="O370" s="88">
        <v>1</v>
      </c>
      <c r="P370" s="88">
        <v>1</v>
      </c>
      <c r="Q370" s="88">
        <v>1</v>
      </c>
      <c r="R370" s="88">
        <v>20</v>
      </c>
      <c r="S370" s="88">
        <v>10</v>
      </c>
      <c r="T370" s="88">
        <v>0</v>
      </c>
      <c r="U370" s="88">
        <v>0</v>
      </c>
      <c r="V370" s="88">
        <v>0</v>
      </c>
      <c r="W370" s="88">
        <v>0</v>
      </c>
      <c r="X370" s="88">
        <v>20</v>
      </c>
      <c r="Y370" s="88">
        <v>0</v>
      </c>
      <c r="Z370" s="88">
        <v>10</v>
      </c>
      <c r="AA370" s="88">
        <v>0</v>
      </c>
      <c r="AB370" s="88">
        <v>1</v>
      </c>
      <c r="AC370" s="88">
        <v>0</v>
      </c>
      <c r="AD370" s="88">
        <v>0</v>
      </c>
      <c r="AE370" s="88" t="s">
        <v>1133</v>
      </c>
      <c r="AF370" s="88">
        <v>0</v>
      </c>
      <c r="AG370" s="88">
        <v>0</v>
      </c>
      <c r="AH370" s="88" t="s">
        <v>1133</v>
      </c>
      <c r="AI370" s="88" t="s">
        <v>1133</v>
      </c>
      <c r="AJ370" s="88" t="s">
        <v>1133</v>
      </c>
      <c r="AK370" s="88">
        <v>2</v>
      </c>
      <c r="AL370" s="88">
        <v>20</v>
      </c>
      <c r="AM370" s="88">
        <v>9</v>
      </c>
      <c r="AN370" s="88">
        <v>0</v>
      </c>
      <c r="AO370" s="88">
        <v>1</v>
      </c>
      <c r="AP370" s="88" t="s">
        <v>1134</v>
      </c>
      <c r="AQ370" s="88" t="s">
        <v>1133</v>
      </c>
      <c r="AR370" s="88">
        <v>0</v>
      </c>
      <c r="AS370" s="88"/>
      <c r="AT370" s="88"/>
      <c r="AU370" s="88">
        <v>0</v>
      </c>
      <c r="AV370" s="88" t="s">
        <v>1133</v>
      </c>
      <c r="AW370" s="88" t="s">
        <v>1133</v>
      </c>
      <c r="AX370" s="88">
        <v>0</v>
      </c>
      <c r="AY370" s="88">
        <v>0</v>
      </c>
      <c r="AZ370" s="88">
        <v>0</v>
      </c>
      <c r="BA370" s="88">
        <v>0</v>
      </c>
      <c r="BB370" s="88" t="s">
        <v>0</v>
      </c>
    </row>
    <row r="371" spans="1:54">
      <c r="A371" s="88">
        <v>371</v>
      </c>
      <c r="B371" s="88">
        <v>371</v>
      </c>
      <c r="C371" s="88"/>
      <c r="D371" s="88" t="s">
        <v>1174</v>
      </c>
      <c r="E371" s="88">
        <v>0</v>
      </c>
      <c r="F371" s="88">
        <v>1167</v>
      </c>
      <c r="G371" s="88">
        <v>1</v>
      </c>
      <c r="H371" s="88">
        <v>1</v>
      </c>
      <c r="I371" s="88">
        <v>1</v>
      </c>
      <c r="J371" s="88">
        <v>0</v>
      </c>
      <c r="K371" s="88">
        <v>0</v>
      </c>
      <c r="L371" s="88">
        <v>1</v>
      </c>
      <c r="M371" s="88">
        <v>1.8</v>
      </c>
      <c r="N371" s="88">
        <v>34</v>
      </c>
      <c r="O371" s="88">
        <v>1</v>
      </c>
      <c r="P371" s="88">
        <v>1</v>
      </c>
      <c r="Q371" s="88">
        <v>1</v>
      </c>
      <c r="R371" s="88">
        <v>20</v>
      </c>
      <c r="S371" s="88">
        <v>10</v>
      </c>
      <c r="T371" s="88">
        <v>0</v>
      </c>
      <c r="U371" s="88">
        <v>0</v>
      </c>
      <c r="V371" s="88">
        <v>0</v>
      </c>
      <c r="W371" s="88">
        <v>0</v>
      </c>
      <c r="X371" s="88">
        <v>20</v>
      </c>
      <c r="Y371" s="88">
        <v>0</v>
      </c>
      <c r="Z371" s="88">
        <v>10</v>
      </c>
      <c r="AA371" s="88">
        <v>0</v>
      </c>
      <c r="AB371" s="88">
        <v>1</v>
      </c>
      <c r="AC371" s="88">
        <v>0</v>
      </c>
      <c r="AD371" s="88">
        <v>0</v>
      </c>
      <c r="AE371" s="88" t="s">
        <v>1133</v>
      </c>
      <c r="AF371" s="88">
        <v>0</v>
      </c>
      <c r="AG371" s="88">
        <v>0</v>
      </c>
      <c r="AH371" s="88" t="s">
        <v>1133</v>
      </c>
      <c r="AI371" s="88" t="s">
        <v>1133</v>
      </c>
      <c r="AJ371" s="88" t="s">
        <v>1133</v>
      </c>
      <c r="AK371" s="88">
        <v>2</v>
      </c>
      <c r="AL371" s="88">
        <v>20</v>
      </c>
      <c r="AM371" s="88">
        <v>9</v>
      </c>
      <c r="AN371" s="88">
        <v>0</v>
      </c>
      <c r="AO371" s="88">
        <v>1</v>
      </c>
      <c r="AP371" s="88" t="s">
        <v>1134</v>
      </c>
      <c r="AQ371" s="88" t="s">
        <v>1133</v>
      </c>
      <c r="AR371" s="88">
        <v>0</v>
      </c>
      <c r="AS371" s="88"/>
      <c r="AT371" s="88"/>
      <c r="AU371" s="88">
        <v>0</v>
      </c>
      <c r="AV371" s="88" t="s">
        <v>1133</v>
      </c>
      <c r="AW371" s="88" t="s">
        <v>1133</v>
      </c>
      <c r="AX371" s="88">
        <v>0</v>
      </c>
      <c r="AY371" s="88">
        <v>0</v>
      </c>
      <c r="AZ371" s="88">
        <v>0</v>
      </c>
      <c r="BA371" s="88">
        <v>0</v>
      </c>
      <c r="BB371" s="88" t="s">
        <v>0</v>
      </c>
    </row>
    <row r="372" spans="1:54">
      <c r="A372" s="88">
        <v>372</v>
      </c>
      <c r="B372" s="88">
        <v>372</v>
      </c>
      <c r="C372" s="88"/>
      <c r="D372" s="88" t="s">
        <v>1175</v>
      </c>
      <c r="E372" s="88">
        <v>0</v>
      </c>
      <c r="F372" s="88">
        <v>1167</v>
      </c>
      <c r="G372" s="88">
        <v>1</v>
      </c>
      <c r="H372" s="88">
        <v>1</v>
      </c>
      <c r="I372" s="88">
        <v>1</v>
      </c>
      <c r="J372" s="88">
        <v>0</v>
      </c>
      <c r="K372" s="88">
        <v>0</v>
      </c>
      <c r="L372" s="88">
        <v>1</v>
      </c>
      <c r="M372" s="88">
        <v>2.5</v>
      </c>
      <c r="N372" s="88">
        <v>34</v>
      </c>
      <c r="O372" s="88">
        <v>1</v>
      </c>
      <c r="P372" s="88">
        <v>1</v>
      </c>
      <c r="Q372" s="88">
        <v>1</v>
      </c>
      <c r="R372" s="88">
        <v>20</v>
      </c>
      <c r="S372" s="88">
        <v>10</v>
      </c>
      <c r="T372" s="88">
        <v>0</v>
      </c>
      <c r="U372" s="88">
        <v>0</v>
      </c>
      <c r="V372" s="88">
        <v>0</v>
      </c>
      <c r="W372" s="88">
        <v>0</v>
      </c>
      <c r="X372" s="88">
        <v>20</v>
      </c>
      <c r="Y372" s="88">
        <v>0</v>
      </c>
      <c r="Z372" s="88">
        <v>10</v>
      </c>
      <c r="AA372" s="88">
        <v>0</v>
      </c>
      <c r="AB372" s="88">
        <v>1</v>
      </c>
      <c r="AC372" s="88">
        <v>0</v>
      </c>
      <c r="AD372" s="88">
        <v>0</v>
      </c>
      <c r="AE372" s="88" t="s">
        <v>1133</v>
      </c>
      <c r="AF372" s="88">
        <v>0</v>
      </c>
      <c r="AG372" s="88">
        <v>0</v>
      </c>
      <c r="AH372" s="88" t="s">
        <v>1133</v>
      </c>
      <c r="AI372" s="88" t="s">
        <v>1133</v>
      </c>
      <c r="AJ372" s="88" t="s">
        <v>1133</v>
      </c>
      <c r="AK372" s="88">
        <v>2</v>
      </c>
      <c r="AL372" s="88">
        <v>20</v>
      </c>
      <c r="AM372" s="88">
        <v>9</v>
      </c>
      <c r="AN372" s="88">
        <v>0</v>
      </c>
      <c r="AO372" s="88">
        <v>1</v>
      </c>
      <c r="AP372" s="88" t="s">
        <v>1134</v>
      </c>
      <c r="AQ372" s="88" t="s">
        <v>1133</v>
      </c>
      <c r="AR372" s="88">
        <v>0</v>
      </c>
      <c r="AS372" s="88"/>
      <c r="AT372" s="88"/>
      <c r="AU372" s="88">
        <v>0</v>
      </c>
      <c r="AV372" s="88" t="s">
        <v>1133</v>
      </c>
      <c r="AW372" s="88" t="s">
        <v>1133</v>
      </c>
      <c r="AX372" s="88">
        <v>0</v>
      </c>
      <c r="AY372" s="88">
        <v>0</v>
      </c>
      <c r="AZ372" s="88">
        <v>0</v>
      </c>
      <c r="BA372" s="88">
        <v>0</v>
      </c>
      <c r="BB372" s="88" t="s">
        <v>0</v>
      </c>
    </row>
    <row r="373" spans="1:54">
      <c r="A373" s="88">
        <v>373</v>
      </c>
      <c r="B373" s="88">
        <v>373</v>
      </c>
      <c r="C373" s="88"/>
      <c r="D373" s="88" t="s">
        <v>1176</v>
      </c>
      <c r="E373" s="88">
        <v>0</v>
      </c>
      <c r="F373" s="88">
        <v>1167</v>
      </c>
      <c r="G373" s="88">
        <v>1</v>
      </c>
      <c r="H373" s="88">
        <v>1</v>
      </c>
      <c r="I373" s="88">
        <v>1</v>
      </c>
      <c r="J373" s="88">
        <v>0</v>
      </c>
      <c r="K373" s="88">
        <v>0</v>
      </c>
      <c r="L373" s="88">
        <v>1</v>
      </c>
      <c r="M373" s="88">
        <v>3.6</v>
      </c>
      <c r="N373" s="88">
        <v>34</v>
      </c>
      <c r="O373" s="88">
        <v>1</v>
      </c>
      <c r="P373" s="88">
        <v>1</v>
      </c>
      <c r="Q373" s="88">
        <v>1</v>
      </c>
      <c r="R373" s="88">
        <v>20</v>
      </c>
      <c r="S373" s="88">
        <v>10</v>
      </c>
      <c r="T373" s="88">
        <v>0</v>
      </c>
      <c r="U373" s="88">
        <v>0</v>
      </c>
      <c r="V373" s="88">
        <v>0</v>
      </c>
      <c r="W373" s="88">
        <v>0</v>
      </c>
      <c r="X373" s="88">
        <v>20</v>
      </c>
      <c r="Y373" s="88">
        <v>0</v>
      </c>
      <c r="Z373" s="88">
        <v>10</v>
      </c>
      <c r="AA373" s="88">
        <v>0</v>
      </c>
      <c r="AB373" s="88">
        <v>1</v>
      </c>
      <c r="AC373" s="88">
        <v>0</v>
      </c>
      <c r="AD373" s="88">
        <v>0</v>
      </c>
      <c r="AE373" s="88" t="s">
        <v>1133</v>
      </c>
      <c r="AF373" s="88">
        <v>0</v>
      </c>
      <c r="AG373" s="88">
        <v>0</v>
      </c>
      <c r="AH373" s="88" t="s">
        <v>1133</v>
      </c>
      <c r="AI373" s="88" t="s">
        <v>1133</v>
      </c>
      <c r="AJ373" s="88" t="s">
        <v>1133</v>
      </c>
      <c r="AK373" s="88">
        <v>2</v>
      </c>
      <c r="AL373" s="88">
        <v>20</v>
      </c>
      <c r="AM373" s="88">
        <v>9</v>
      </c>
      <c r="AN373" s="88">
        <v>0</v>
      </c>
      <c r="AO373" s="88">
        <v>1</v>
      </c>
      <c r="AP373" s="88" t="s">
        <v>1134</v>
      </c>
      <c r="AQ373" s="88" t="s">
        <v>1133</v>
      </c>
      <c r="AR373" s="88">
        <v>0</v>
      </c>
      <c r="AS373" s="88"/>
      <c r="AT373" s="88"/>
      <c r="AU373" s="88">
        <v>0</v>
      </c>
      <c r="AV373" s="88" t="s">
        <v>1133</v>
      </c>
      <c r="AW373" s="88" t="s">
        <v>1133</v>
      </c>
      <c r="AX373" s="88">
        <v>0</v>
      </c>
      <c r="AY373" s="88">
        <v>0</v>
      </c>
      <c r="AZ373" s="88">
        <v>0</v>
      </c>
      <c r="BA373" s="88">
        <v>0</v>
      </c>
      <c r="BB373" s="88" t="s">
        <v>0</v>
      </c>
    </row>
    <row r="374" spans="1:54">
      <c r="A374" s="88">
        <v>374</v>
      </c>
      <c r="B374" s="88">
        <v>374</v>
      </c>
      <c r="C374" s="88"/>
      <c r="D374" s="88" t="s">
        <v>1177</v>
      </c>
      <c r="E374" s="88">
        <v>0</v>
      </c>
      <c r="F374" s="88">
        <v>1167</v>
      </c>
      <c r="G374" s="88">
        <v>1</v>
      </c>
      <c r="H374" s="88">
        <v>1</v>
      </c>
      <c r="I374" s="88">
        <v>1</v>
      </c>
      <c r="J374" s="88">
        <v>0</v>
      </c>
      <c r="K374" s="88">
        <v>0</v>
      </c>
      <c r="L374" s="88">
        <v>1</v>
      </c>
      <c r="M374" s="88">
        <v>6</v>
      </c>
      <c r="N374" s="88">
        <v>34</v>
      </c>
      <c r="O374" s="88">
        <v>1</v>
      </c>
      <c r="P374" s="88">
        <v>1</v>
      </c>
      <c r="Q374" s="88">
        <v>1</v>
      </c>
      <c r="R374" s="88">
        <v>20</v>
      </c>
      <c r="S374" s="88">
        <v>10</v>
      </c>
      <c r="T374" s="88">
        <v>0</v>
      </c>
      <c r="U374" s="88">
        <v>0</v>
      </c>
      <c r="V374" s="88">
        <v>0</v>
      </c>
      <c r="W374" s="88">
        <v>0</v>
      </c>
      <c r="X374" s="88">
        <v>20</v>
      </c>
      <c r="Y374" s="88">
        <v>0</v>
      </c>
      <c r="Z374" s="88">
        <v>10</v>
      </c>
      <c r="AA374" s="88">
        <v>0</v>
      </c>
      <c r="AB374" s="88">
        <v>1</v>
      </c>
      <c r="AC374" s="88">
        <v>0</v>
      </c>
      <c r="AD374" s="88">
        <v>0</v>
      </c>
      <c r="AE374" s="88" t="s">
        <v>1133</v>
      </c>
      <c r="AF374" s="88">
        <v>0</v>
      </c>
      <c r="AG374" s="88">
        <v>0</v>
      </c>
      <c r="AH374" s="88" t="s">
        <v>1133</v>
      </c>
      <c r="AI374" s="88" t="s">
        <v>1133</v>
      </c>
      <c r="AJ374" s="88" t="s">
        <v>1133</v>
      </c>
      <c r="AK374" s="88">
        <v>2</v>
      </c>
      <c r="AL374" s="88">
        <v>20</v>
      </c>
      <c r="AM374" s="88">
        <v>9</v>
      </c>
      <c r="AN374" s="88">
        <v>0</v>
      </c>
      <c r="AO374" s="88">
        <v>1</v>
      </c>
      <c r="AP374" s="88" t="s">
        <v>1134</v>
      </c>
      <c r="AQ374" s="88" t="s">
        <v>1133</v>
      </c>
      <c r="AR374" s="88">
        <v>0</v>
      </c>
      <c r="AS374" s="88"/>
      <c r="AT374" s="88"/>
      <c r="AU374" s="88">
        <v>0</v>
      </c>
      <c r="AV374" s="88" t="s">
        <v>1133</v>
      </c>
      <c r="AW374" s="88" t="s">
        <v>1133</v>
      </c>
      <c r="AX374" s="88">
        <v>0</v>
      </c>
      <c r="AY374" s="88">
        <v>0</v>
      </c>
      <c r="AZ374" s="88">
        <v>0</v>
      </c>
      <c r="BA374" s="88">
        <v>0</v>
      </c>
      <c r="BB374" s="88" t="s">
        <v>0</v>
      </c>
    </row>
    <row r="375" spans="1:54">
      <c r="A375" s="88">
        <v>375</v>
      </c>
      <c r="B375" s="88">
        <v>375</v>
      </c>
      <c r="C375" s="88"/>
      <c r="D375" s="88" t="s">
        <v>1178</v>
      </c>
      <c r="E375" s="88">
        <v>0</v>
      </c>
      <c r="F375" s="88">
        <v>1167</v>
      </c>
      <c r="G375" s="88">
        <v>1</v>
      </c>
      <c r="H375" s="88">
        <v>1</v>
      </c>
      <c r="I375" s="88">
        <v>1</v>
      </c>
      <c r="J375" s="88">
        <v>0</v>
      </c>
      <c r="K375" s="88">
        <v>0</v>
      </c>
      <c r="L375" s="88">
        <v>1</v>
      </c>
      <c r="M375" s="88">
        <v>7</v>
      </c>
      <c r="N375" s="88">
        <v>34</v>
      </c>
      <c r="O375" s="88">
        <v>1</v>
      </c>
      <c r="P375" s="88">
        <v>1</v>
      </c>
      <c r="Q375" s="88">
        <v>1</v>
      </c>
      <c r="R375" s="88">
        <v>20</v>
      </c>
      <c r="S375" s="88">
        <v>10</v>
      </c>
      <c r="T375" s="88">
        <v>0</v>
      </c>
      <c r="U375" s="88">
        <v>0</v>
      </c>
      <c r="V375" s="88">
        <v>0</v>
      </c>
      <c r="W375" s="88">
        <v>0</v>
      </c>
      <c r="X375" s="88">
        <v>20</v>
      </c>
      <c r="Y375" s="88">
        <v>0</v>
      </c>
      <c r="Z375" s="88">
        <v>10</v>
      </c>
      <c r="AA375" s="88">
        <v>0</v>
      </c>
      <c r="AB375" s="88">
        <v>1</v>
      </c>
      <c r="AC375" s="88">
        <v>0</v>
      </c>
      <c r="AD375" s="88">
        <v>0</v>
      </c>
      <c r="AE375" s="88" t="s">
        <v>1133</v>
      </c>
      <c r="AF375" s="88">
        <v>0</v>
      </c>
      <c r="AG375" s="88">
        <v>0</v>
      </c>
      <c r="AH375" s="88" t="s">
        <v>1133</v>
      </c>
      <c r="AI375" s="88" t="s">
        <v>1133</v>
      </c>
      <c r="AJ375" s="88" t="s">
        <v>1133</v>
      </c>
      <c r="AK375" s="88">
        <v>2</v>
      </c>
      <c r="AL375" s="88">
        <v>20</v>
      </c>
      <c r="AM375" s="88">
        <v>9</v>
      </c>
      <c r="AN375" s="88">
        <v>0</v>
      </c>
      <c r="AO375" s="88">
        <v>1</v>
      </c>
      <c r="AP375" s="88" t="s">
        <v>1134</v>
      </c>
      <c r="AQ375" s="88" t="s">
        <v>1133</v>
      </c>
      <c r="AR375" s="88">
        <v>0</v>
      </c>
      <c r="AS375" s="88"/>
      <c r="AT375" s="88"/>
      <c r="AU375" s="88">
        <v>0</v>
      </c>
      <c r="AV375" s="88" t="s">
        <v>1133</v>
      </c>
      <c r="AW375" s="88" t="s">
        <v>1133</v>
      </c>
      <c r="AX375" s="88">
        <v>0</v>
      </c>
      <c r="AY375" s="88">
        <v>0</v>
      </c>
      <c r="AZ375" s="88">
        <v>0</v>
      </c>
      <c r="BA375" s="88">
        <v>0</v>
      </c>
      <c r="BB375" s="88" t="s">
        <v>0</v>
      </c>
    </row>
    <row r="376" spans="1:54">
      <c r="A376" s="88">
        <v>376</v>
      </c>
      <c r="B376" s="88">
        <v>376</v>
      </c>
      <c r="C376" s="88"/>
      <c r="D376" s="88" t="s">
        <v>1179</v>
      </c>
      <c r="E376" s="88">
        <v>0</v>
      </c>
      <c r="F376" s="88">
        <v>1167</v>
      </c>
      <c r="G376" s="88">
        <v>1</v>
      </c>
      <c r="H376" s="88">
        <v>1</v>
      </c>
      <c r="I376" s="88">
        <v>1</v>
      </c>
      <c r="J376" s="88">
        <v>0</v>
      </c>
      <c r="K376" s="88">
        <v>0</v>
      </c>
      <c r="L376" s="88">
        <v>1</v>
      </c>
      <c r="M376" s="88">
        <v>9</v>
      </c>
      <c r="N376" s="88">
        <v>34</v>
      </c>
      <c r="O376" s="88">
        <v>1</v>
      </c>
      <c r="P376" s="88">
        <v>1</v>
      </c>
      <c r="Q376" s="88">
        <v>1</v>
      </c>
      <c r="R376" s="88">
        <v>20</v>
      </c>
      <c r="S376" s="88">
        <v>10</v>
      </c>
      <c r="T376" s="88">
        <v>0</v>
      </c>
      <c r="U376" s="88">
        <v>0</v>
      </c>
      <c r="V376" s="88">
        <v>0</v>
      </c>
      <c r="W376" s="88">
        <v>0</v>
      </c>
      <c r="X376" s="88">
        <v>20</v>
      </c>
      <c r="Y376" s="88">
        <v>0</v>
      </c>
      <c r="Z376" s="88">
        <v>10</v>
      </c>
      <c r="AA376" s="88">
        <v>0</v>
      </c>
      <c r="AB376" s="88">
        <v>1</v>
      </c>
      <c r="AC376" s="88">
        <v>0</v>
      </c>
      <c r="AD376" s="88">
        <v>0</v>
      </c>
      <c r="AE376" s="88" t="s">
        <v>1133</v>
      </c>
      <c r="AF376" s="88">
        <v>0</v>
      </c>
      <c r="AG376" s="88">
        <v>0</v>
      </c>
      <c r="AH376" s="88" t="s">
        <v>1133</v>
      </c>
      <c r="AI376" s="88" t="s">
        <v>1133</v>
      </c>
      <c r="AJ376" s="88" t="s">
        <v>1133</v>
      </c>
      <c r="AK376" s="88">
        <v>2</v>
      </c>
      <c r="AL376" s="88">
        <v>20</v>
      </c>
      <c r="AM376" s="88">
        <v>9</v>
      </c>
      <c r="AN376" s="88">
        <v>0</v>
      </c>
      <c r="AO376" s="88">
        <v>1</v>
      </c>
      <c r="AP376" s="88" t="s">
        <v>1134</v>
      </c>
      <c r="AQ376" s="88" t="s">
        <v>1133</v>
      </c>
      <c r="AR376" s="88">
        <v>0</v>
      </c>
      <c r="AS376" s="88"/>
      <c r="AT376" s="88"/>
      <c r="AU376" s="88">
        <v>0</v>
      </c>
      <c r="AV376" s="88" t="s">
        <v>1133</v>
      </c>
      <c r="AW376" s="88" t="s">
        <v>1133</v>
      </c>
      <c r="AX376" s="88">
        <v>0</v>
      </c>
      <c r="AY376" s="88">
        <v>0</v>
      </c>
      <c r="AZ376" s="88">
        <v>0</v>
      </c>
      <c r="BA376" s="88">
        <v>0</v>
      </c>
      <c r="BB376" s="88" t="s">
        <v>0</v>
      </c>
    </row>
    <row r="377" spans="1:54">
      <c r="A377" s="88">
        <v>377</v>
      </c>
      <c r="B377" s="88">
        <v>377</v>
      </c>
      <c r="C377" s="88"/>
      <c r="D377" s="88" t="s">
        <v>1180</v>
      </c>
      <c r="E377" s="88">
        <v>0</v>
      </c>
      <c r="F377" s="88">
        <v>1156</v>
      </c>
      <c r="G377" s="88">
        <v>1</v>
      </c>
      <c r="H377" s="88">
        <v>2</v>
      </c>
      <c r="I377" s="88">
        <v>2</v>
      </c>
      <c r="J377" s="88">
        <v>0</v>
      </c>
      <c r="K377" s="88">
        <v>0</v>
      </c>
      <c r="L377" s="88">
        <v>1</v>
      </c>
      <c r="M377" s="88">
        <v>128</v>
      </c>
      <c r="N377" s="88">
        <v>34</v>
      </c>
      <c r="O377" s="88">
        <v>1</v>
      </c>
      <c r="P377" s="88">
        <v>1</v>
      </c>
      <c r="Q377" s="88">
        <v>1</v>
      </c>
      <c r="R377" s="88">
        <v>20</v>
      </c>
      <c r="S377" s="88">
        <v>10</v>
      </c>
      <c r="T377" s="88">
        <v>0</v>
      </c>
      <c r="U377" s="88">
        <v>0</v>
      </c>
      <c r="V377" s="88">
        <v>0</v>
      </c>
      <c r="W377" s="88">
        <v>0</v>
      </c>
      <c r="X377" s="88">
        <v>20</v>
      </c>
      <c r="Y377" s="88">
        <v>0</v>
      </c>
      <c r="Z377" s="88">
        <v>10</v>
      </c>
      <c r="AA377" s="88">
        <v>0</v>
      </c>
      <c r="AB377" s="88">
        <v>1</v>
      </c>
      <c r="AC377" s="88">
        <v>0</v>
      </c>
      <c r="AD377" s="88">
        <v>0</v>
      </c>
      <c r="AE377" s="88" t="s">
        <v>1133</v>
      </c>
      <c r="AF377" s="88">
        <v>0</v>
      </c>
      <c r="AG377" s="88">
        <v>0</v>
      </c>
      <c r="AH377" s="88" t="s">
        <v>1133</v>
      </c>
      <c r="AI377" s="88" t="s">
        <v>1133</v>
      </c>
      <c r="AJ377" s="88" t="s">
        <v>1133</v>
      </c>
      <c r="AK377" s="88">
        <v>2</v>
      </c>
      <c r="AL377" s="88">
        <v>20</v>
      </c>
      <c r="AM377" s="88">
        <v>9</v>
      </c>
      <c r="AN377" s="88">
        <v>0</v>
      </c>
      <c r="AO377" s="88">
        <v>1</v>
      </c>
      <c r="AP377" s="88" t="s">
        <v>1134</v>
      </c>
      <c r="AQ377" s="88" t="s">
        <v>1133</v>
      </c>
      <c r="AR377" s="88">
        <v>0</v>
      </c>
      <c r="AS377" s="88"/>
      <c r="AT377" s="88"/>
      <c r="AU377" s="88">
        <v>0</v>
      </c>
      <c r="AV377" s="88" t="s">
        <v>1133</v>
      </c>
      <c r="AW377" s="88" t="s">
        <v>1133</v>
      </c>
      <c r="AX377" s="88">
        <v>0</v>
      </c>
      <c r="AY377" s="88">
        <v>0</v>
      </c>
      <c r="AZ377" s="88">
        <v>0</v>
      </c>
      <c r="BA377" s="88">
        <v>0</v>
      </c>
      <c r="BB377" s="88" t="s">
        <v>0</v>
      </c>
    </row>
    <row r="378" spans="1:54">
      <c r="A378" s="88">
        <v>378</v>
      </c>
      <c r="B378" s="88">
        <v>378</v>
      </c>
      <c r="C378" s="88"/>
      <c r="D378" s="88" t="s">
        <v>1181</v>
      </c>
      <c r="E378" s="88">
        <v>0</v>
      </c>
      <c r="F378" s="88">
        <v>1157</v>
      </c>
      <c r="G378" s="88">
        <v>1</v>
      </c>
      <c r="H378" s="88">
        <v>2</v>
      </c>
      <c r="I378" s="88">
        <v>2</v>
      </c>
      <c r="J378" s="88">
        <v>0</v>
      </c>
      <c r="K378" s="88">
        <v>0</v>
      </c>
      <c r="L378" s="88">
        <v>1</v>
      </c>
      <c r="M378" s="88">
        <v>1</v>
      </c>
      <c r="N378" s="88">
        <v>34</v>
      </c>
      <c r="O378" s="88">
        <v>1</v>
      </c>
      <c r="P378" s="88">
        <v>1</v>
      </c>
      <c r="Q378" s="88">
        <v>1</v>
      </c>
      <c r="R378" s="88">
        <v>20</v>
      </c>
      <c r="S378" s="88">
        <v>10</v>
      </c>
      <c r="T378" s="88">
        <v>0</v>
      </c>
      <c r="U378" s="88">
        <v>0</v>
      </c>
      <c r="V378" s="88">
        <v>0</v>
      </c>
      <c r="W378" s="88">
        <v>0</v>
      </c>
      <c r="X378" s="88">
        <v>20</v>
      </c>
      <c r="Y378" s="88">
        <v>0</v>
      </c>
      <c r="Z378" s="88">
        <v>10</v>
      </c>
      <c r="AA378" s="88">
        <v>0</v>
      </c>
      <c r="AB378" s="88">
        <v>1</v>
      </c>
      <c r="AC378" s="88">
        <v>0</v>
      </c>
      <c r="AD378" s="88">
        <v>0</v>
      </c>
      <c r="AE378" s="88" t="s">
        <v>1133</v>
      </c>
      <c r="AF378" s="88">
        <v>0</v>
      </c>
      <c r="AG378" s="88">
        <v>0</v>
      </c>
      <c r="AH378" s="88" t="s">
        <v>1133</v>
      </c>
      <c r="AI378" s="88" t="s">
        <v>1133</v>
      </c>
      <c r="AJ378" s="88" t="s">
        <v>1133</v>
      </c>
      <c r="AK378" s="88">
        <v>2</v>
      </c>
      <c r="AL378" s="88">
        <v>20</v>
      </c>
      <c r="AM378" s="88">
        <v>9</v>
      </c>
      <c r="AN378" s="88">
        <v>0</v>
      </c>
      <c r="AO378" s="88">
        <v>1</v>
      </c>
      <c r="AP378" s="88" t="s">
        <v>1134</v>
      </c>
      <c r="AQ378" s="88" t="s">
        <v>1133</v>
      </c>
      <c r="AR378" s="88">
        <v>0</v>
      </c>
      <c r="AS378" s="88"/>
      <c r="AT378" s="88"/>
      <c r="AU378" s="88">
        <v>0</v>
      </c>
      <c r="AV378" s="88" t="s">
        <v>1133</v>
      </c>
      <c r="AW378" s="88" t="s">
        <v>1133</v>
      </c>
      <c r="AX378" s="88">
        <v>0</v>
      </c>
      <c r="AY378" s="88">
        <v>0</v>
      </c>
      <c r="AZ378" s="88">
        <v>0</v>
      </c>
      <c r="BA378" s="88">
        <v>0</v>
      </c>
      <c r="BB378" s="88" t="s">
        <v>0</v>
      </c>
    </row>
    <row r="379" spans="1:54">
      <c r="A379" s="88">
        <v>379</v>
      </c>
      <c r="B379" s="88">
        <v>379</v>
      </c>
      <c r="C379" s="88"/>
      <c r="D379" s="88" t="s">
        <v>1182</v>
      </c>
      <c r="E379" s="88">
        <v>0</v>
      </c>
      <c r="F379" s="88">
        <v>1158</v>
      </c>
      <c r="G379" s="88">
        <v>1</v>
      </c>
      <c r="H379" s="88">
        <v>2</v>
      </c>
      <c r="I379" s="88">
        <v>2</v>
      </c>
      <c r="J379" s="88">
        <v>0</v>
      </c>
      <c r="K379" s="88">
        <v>0</v>
      </c>
      <c r="L379" s="88">
        <v>1</v>
      </c>
      <c r="M379" s="88">
        <v>1</v>
      </c>
      <c r="N379" s="88">
        <v>34</v>
      </c>
      <c r="O379" s="88">
        <v>1</v>
      </c>
      <c r="P379" s="88">
        <v>1</v>
      </c>
      <c r="Q379" s="88">
        <v>1</v>
      </c>
      <c r="R379" s="88">
        <v>20</v>
      </c>
      <c r="S379" s="88">
        <v>10</v>
      </c>
      <c r="T379" s="88">
        <v>0</v>
      </c>
      <c r="U379" s="88">
        <v>0</v>
      </c>
      <c r="V379" s="88">
        <v>0</v>
      </c>
      <c r="W379" s="88">
        <v>0</v>
      </c>
      <c r="X379" s="88">
        <v>20</v>
      </c>
      <c r="Y379" s="88">
        <v>0</v>
      </c>
      <c r="Z379" s="88">
        <v>10</v>
      </c>
      <c r="AA379" s="88">
        <v>0</v>
      </c>
      <c r="AB379" s="88">
        <v>1</v>
      </c>
      <c r="AC379" s="88">
        <v>0</v>
      </c>
      <c r="AD379" s="88">
        <v>0</v>
      </c>
      <c r="AE379" s="88" t="s">
        <v>1133</v>
      </c>
      <c r="AF379" s="88">
        <v>0</v>
      </c>
      <c r="AG379" s="88">
        <v>0</v>
      </c>
      <c r="AH379" s="88" t="s">
        <v>1133</v>
      </c>
      <c r="AI379" s="88" t="s">
        <v>1133</v>
      </c>
      <c r="AJ379" s="88" t="s">
        <v>1133</v>
      </c>
      <c r="AK379" s="88">
        <v>2</v>
      </c>
      <c r="AL379" s="88">
        <v>20</v>
      </c>
      <c r="AM379" s="88">
        <v>9</v>
      </c>
      <c r="AN379" s="88">
        <v>0</v>
      </c>
      <c r="AO379" s="88">
        <v>1</v>
      </c>
      <c r="AP379" s="88" t="s">
        <v>1134</v>
      </c>
      <c r="AQ379" s="88" t="s">
        <v>1133</v>
      </c>
      <c r="AR379" s="88">
        <v>0</v>
      </c>
      <c r="AS379" s="88"/>
      <c r="AT379" s="88"/>
      <c r="AU379" s="88">
        <v>0</v>
      </c>
      <c r="AV379" s="88" t="s">
        <v>1133</v>
      </c>
      <c r="AW379" s="88" t="s">
        <v>1133</v>
      </c>
      <c r="AX379" s="88">
        <v>0</v>
      </c>
      <c r="AY379" s="88">
        <v>0</v>
      </c>
      <c r="AZ379" s="88">
        <v>0</v>
      </c>
      <c r="BA379" s="88">
        <v>0</v>
      </c>
      <c r="BB379" s="88" t="s">
        <v>0</v>
      </c>
    </row>
    <row r="380" spans="1:54">
      <c r="A380" s="88">
        <v>380</v>
      </c>
      <c r="B380" s="88">
        <v>380</v>
      </c>
      <c r="C380" s="88"/>
      <c r="D380" s="88" t="s">
        <v>1183</v>
      </c>
      <c r="E380" s="88">
        <v>0</v>
      </c>
      <c r="F380" s="88">
        <v>1159</v>
      </c>
      <c r="G380" s="88">
        <v>1</v>
      </c>
      <c r="H380" s="88">
        <v>2</v>
      </c>
      <c r="I380" s="88">
        <v>2</v>
      </c>
      <c r="J380" s="88">
        <v>0</v>
      </c>
      <c r="K380" s="88">
        <v>0</v>
      </c>
      <c r="L380" s="88">
        <v>1</v>
      </c>
      <c r="M380" s="88">
        <v>1</v>
      </c>
      <c r="N380" s="88">
        <v>34</v>
      </c>
      <c r="O380" s="88">
        <v>1</v>
      </c>
      <c r="P380" s="88">
        <v>1</v>
      </c>
      <c r="Q380" s="88">
        <v>1</v>
      </c>
      <c r="R380" s="88">
        <v>20</v>
      </c>
      <c r="S380" s="88">
        <v>10</v>
      </c>
      <c r="T380" s="88">
        <v>0</v>
      </c>
      <c r="U380" s="88">
        <v>0</v>
      </c>
      <c r="V380" s="88">
        <v>0</v>
      </c>
      <c r="W380" s="88">
        <v>0</v>
      </c>
      <c r="X380" s="88">
        <v>20</v>
      </c>
      <c r="Y380" s="88">
        <v>0</v>
      </c>
      <c r="Z380" s="88">
        <v>10</v>
      </c>
      <c r="AA380" s="88">
        <v>0</v>
      </c>
      <c r="AB380" s="88">
        <v>1</v>
      </c>
      <c r="AC380" s="88">
        <v>0</v>
      </c>
      <c r="AD380" s="88">
        <v>0</v>
      </c>
      <c r="AE380" s="88" t="s">
        <v>1133</v>
      </c>
      <c r="AF380" s="88">
        <v>0</v>
      </c>
      <c r="AG380" s="88">
        <v>0</v>
      </c>
      <c r="AH380" s="88" t="s">
        <v>1133</v>
      </c>
      <c r="AI380" s="88" t="s">
        <v>1133</v>
      </c>
      <c r="AJ380" s="88" t="s">
        <v>1133</v>
      </c>
      <c r="AK380" s="88">
        <v>2</v>
      </c>
      <c r="AL380" s="88">
        <v>20</v>
      </c>
      <c r="AM380" s="88">
        <v>9</v>
      </c>
      <c r="AN380" s="88">
        <v>0</v>
      </c>
      <c r="AO380" s="88">
        <v>1</v>
      </c>
      <c r="AP380" s="88" t="s">
        <v>1134</v>
      </c>
      <c r="AQ380" s="88" t="s">
        <v>1133</v>
      </c>
      <c r="AR380" s="88">
        <v>0</v>
      </c>
      <c r="AS380" s="88"/>
      <c r="AT380" s="88"/>
      <c r="AU380" s="88">
        <v>0</v>
      </c>
      <c r="AV380" s="88" t="s">
        <v>1133</v>
      </c>
      <c r="AW380" s="88" t="s">
        <v>1133</v>
      </c>
      <c r="AX380" s="88">
        <v>0</v>
      </c>
      <c r="AY380" s="88">
        <v>0</v>
      </c>
      <c r="AZ380" s="88">
        <v>0</v>
      </c>
      <c r="BA380" s="88">
        <v>0</v>
      </c>
      <c r="BB380" s="88" t="s">
        <v>0</v>
      </c>
    </row>
    <row r="381" spans="1:54">
      <c r="A381" s="88">
        <v>381</v>
      </c>
      <c r="B381" s="88">
        <v>381</v>
      </c>
      <c r="C381" s="88"/>
      <c r="D381" s="88" t="s">
        <v>1184</v>
      </c>
      <c r="E381" s="88">
        <v>0</v>
      </c>
      <c r="F381" s="88">
        <v>1160</v>
      </c>
      <c r="G381" s="88">
        <v>1</v>
      </c>
      <c r="H381" s="88">
        <v>1</v>
      </c>
      <c r="I381" s="88">
        <v>1</v>
      </c>
      <c r="J381" s="88">
        <v>0</v>
      </c>
      <c r="K381" s="88">
        <v>0</v>
      </c>
      <c r="L381" s="88">
        <v>1</v>
      </c>
      <c r="M381" s="88">
        <v>211</v>
      </c>
      <c r="N381" s="88">
        <v>34</v>
      </c>
      <c r="O381" s="88">
        <v>1</v>
      </c>
      <c r="P381" s="88">
        <v>1</v>
      </c>
      <c r="Q381" s="88">
        <v>1</v>
      </c>
      <c r="R381" s="88">
        <v>20</v>
      </c>
      <c r="S381" s="88">
        <v>10</v>
      </c>
      <c r="T381" s="88">
        <v>0</v>
      </c>
      <c r="U381" s="88">
        <v>0</v>
      </c>
      <c r="V381" s="88">
        <v>0</v>
      </c>
      <c r="W381" s="88">
        <v>0</v>
      </c>
      <c r="X381" s="88">
        <v>20</v>
      </c>
      <c r="Y381" s="88">
        <v>0</v>
      </c>
      <c r="Z381" s="88">
        <v>10</v>
      </c>
      <c r="AA381" s="88">
        <v>0</v>
      </c>
      <c r="AB381" s="88">
        <v>1</v>
      </c>
      <c r="AC381" s="88">
        <v>0</v>
      </c>
      <c r="AD381" s="88">
        <v>0</v>
      </c>
      <c r="AE381" s="88" t="s">
        <v>1133</v>
      </c>
      <c r="AF381" s="88">
        <v>0</v>
      </c>
      <c r="AG381" s="88">
        <v>0</v>
      </c>
      <c r="AH381" s="88" t="s">
        <v>1133</v>
      </c>
      <c r="AI381" s="88" t="s">
        <v>1133</v>
      </c>
      <c r="AJ381" s="88" t="s">
        <v>1133</v>
      </c>
      <c r="AK381" s="88">
        <v>2</v>
      </c>
      <c r="AL381" s="88">
        <v>20</v>
      </c>
      <c r="AM381" s="88">
        <v>9</v>
      </c>
      <c r="AN381" s="88">
        <v>0</v>
      </c>
      <c r="AO381" s="88">
        <v>1</v>
      </c>
      <c r="AP381" s="88" t="s">
        <v>1134</v>
      </c>
      <c r="AQ381" s="88" t="s">
        <v>1133</v>
      </c>
      <c r="AR381" s="88">
        <v>0</v>
      </c>
      <c r="AS381" s="88"/>
      <c r="AT381" s="88"/>
      <c r="AU381" s="88">
        <v>0</v>
      </c>
      <c r="AV381" s="88" t="s">
        <v>1133</v>
      </c>
      <c r="AW381" s="88" t="s">
        <v>1133</v>
      </c>
      <c r="AX381" s="88">
        <v>0</v>
      </c>
      <c r="AY381" s="88">
        <v>0</v>
      </c>
      <c r="AZ381" s="88">
        <v>0</v>
      </c>
      <c r="BA381" s="88">
        <v>0</v>
      </c>
      <c r="BB381" s="88" t="s">
        <v>0</v>
      </c>
    </row>
    <row r="382" spans="1:54">
      <c r="A382" s="88">
        <v>382</v>
      </c>
      <c r="B382" s="88">
        <v>382</v>
      </c>
      <c r="C382" s="88"/>
      <c r="D382" s="88" t="s">
        <v>1185</v>
      </c>
      <c r="E382" s="88">
        <v>0</v>
      </c>
      <c r="F382" s="88">
        <v>1160</v>
      </c>
      <c r="G382" s="88">
        <v>1</v>
      </c>
      <c r="H382" s="88">
        <v>1</v>
      </c>
      <c r="I382" s="88">
        <v>1</v>
      </c>
      <c r="J382" s="88">
        <v>0</v>
      </c>
      <c r="K382" s="88">
        <v>0</v>
      </c>
      <c r="L382" s="88">
        <v>1</v>
      </c>
      <c r="M382" s="88">
        <v>258</v>
      </c>
      <c r="N382" s="88">
        <v>34</v>
      </c>
      <c r="O382" s="88">
        <v>1</v>
      </c>
      <c r="P382" s="88">
        <v>1</v>
      </c>
      <c r="Q382" s="88">
        <v>1</v>
      </c>
      <c r="R382" s="88">
        <v>20</v>
      </c>
      <c r="S382" s="88">
        <v>10</v>
      </c>
      <c r="T382" s="88">
        <v>0</v>
      </c>
      <c r="U382" s="88">
        <v>0</v>
      </c>
      <c r="V382" s="88">
        <v>0</v>
      </c>
      <c r="W382" s="88">
        <v>0</v>
      </c>
      <c r="X382" s="88">
        <v>20</v>
      </c>
      <c r="Y382" s="88">
        <v>0</v>
      </c>
      <c r="Z382" s="88">
        <v>10</v>
      </c>
      <c r="AA382" s="88">
        <v>0</v>
      </c>
      <c r="AB382" s="88">
        <v>1</v>
      </c>
      <c r="AC382" s="88">
        <v>0</v>
      </c>
      <c r="AD382" s="88">
        <v>0</v>
      </c>
      <c r="AE382" s="88" t="s">
        <v>1133</v>
      </c>
      <c r="AF382" s="88">
        <v>0</v>
      </c>
      <c r="AG382" s="88">
        <v>0</v>
      </c>
      <c r="AH382" s="88" t="s">
        <v>1133</v>
      </c>
      <c r="AI382" s="88" t="s">
        <v>1133</v>
      </c>
      <c r="AJ382" s="88" t="s">
        <v>1133</v>
      </c>
      <c r="AK382" s="88">
        <v>2</v>
      </c>
      <c r="AL382" s="88">
        <v>20</v>
      </c>
      <c r="AM382" s="88">
        <v>9</v>
      </c>
      <c r="AN382" s="88">
        <v>0</v>
      </c>
      <c r="AO382" s="88">
        <v>1</v>
      </c>
      <c r="AP382" s="88" t="s">
        <v>1134</v>
      </c>
      <c r="AQ382" s="88" t="s">
        <v>1133</v>
      </c>
      <c r="AR382" s="88">
        <v>0</v>
      </c>
      <c r="AS382" s="88"/>
      <c r="AT382" s="88"/>
      <c r="AU382" s="88">
        <v>0</v>
      </c>
      <c r="AV382" s="88" t="s">
        <v>1133</v>
      </c>
      <c r="AW382" s="88" t="s">
        <v>1133</v>
      </c>
      <c r="AX382" s="88">
        <v>0</v>
      </c>
      <c r="AY382" s="88">
        <v>0</v>
      </c>
      <c r="AZ382" s="88">
        <v>0</v>
      </c>
      <c r="BA382" s="88">
        <v>0</v>
      </c>
      <c r="BB382" s="88" t="s">
        <v>0</v>
      </c>
    </row>
    <row r="383" spans="1:54">
      <c r="A383" s="88">
        <v>383</v>
      </c>
      <c r="B383" s="88">
        <v>383</v>
      </c>
      <c r="C383" s="88"/>
      <c r="D383" s="88" t="s">
        <v>1186</v>
      </c>
      <c r="E383" s="88">
        <v>0</v>
      </c>
      <c r="F383" s="88">
        <v>1161</v>
      </c>
      <c r="G383" s="88">
        <v>1</v>
      </c>
      <c r="H383" s="88">
        <v>1</v>
      </c>
      <c r="I383" s="88">
        <v>1</v>
      </c>
      <c r="J383" s="88">
        <v>0</v>
      </c>
      <c r="K383" s="88">
        <v>0</v>
      </c>
      <c r="L383" s="88">
        <v>1</v>
      </c>
      <c r="M383" s="88">
        <v>2</v>
      </c>
      <c r="N383" s="88">
        <v>34</v>
      </c>
      <c r="O383" s="88">
        <v>1</v>
      </c>
      <c r="P383" s="88">
        <v>1</v>
      </c>
      <c r="Q383" s="88">
        <v>1</v>
      </c>
      <c r="R383" s="88">
        <v>20</v>
      </c>
      <c r="S383" s="88">
        <v>10</v>
      </c>
      <c r="T383" s="88">
        <v>0</v>
      </c>
      <c r="U383" s="88">
        <v>0</v>
      </c>
      <c r="V383" s="88">
        <v>0</v>
      </c>
      <c r="W383" s="88">
        <v>0</v>
      </c>
      <c r="X383" s="88">
        <v>20</v>
      </c>
      <c r="Y383" s="88">
        <v>0</v>
      </c>
      <c r="Z383" s="88">
        <v>10</v>
      </c>
      <c r="AA383" s="88">
        <v>0</v>
      </c>
      <c r="AB383" s="88">
        <v>1</v>
      </c>
      <c r="AC383" s="88">
        <v>0</v>
      </c>
      <c r="AD383" s="88">
        <v>0</v>
      </c>
      <c r="AE383" s="88" t="s">
        <v>1133</v>
      </c>
      <c r="AF383" s="88">
        <v>0</v>
      </c>
      <c r="AG383" s="88">
        <v>0</v>
      </c>
      <c r="AH383" s="88" t="s">
        <v>1133</v>
      </c>
      <c r="AI383" s="88" t="s">
        <v>1133</v>
      </c>
      <c r="AJ383" s="88" t="s">
        <v>1133</v>
      </c>
      <c r="AK383" s="88">
        <v>2</v>
      </c>
      <c r="AL383" s="88">
        <v>20</v>
      </c>
      <c r="AM383" s="88">
        <v>9</v>
      </c>
      <c r="AN383" s="88">
        <v>0</v>
      </c>
      <c r="AO383" s="88">
        <v>1</v>
      </c>
      <c r="AP383" s="88" t="s">
        <v>1134</v>
      </c>
      <c r="AQ383" s="88" t="s">
        <v>1133</v>
      </c>
      <c r="AR383" s="88">
        <v>0</v>
      </c>
      <c r="AS383" s="88"/>
      <c r="AT383" s="88"/>
      <c r="AU383" s="88">
        <v>0</v>
      </c>
      <c r="AV383" s="88" t="s">
        <v>1133</v>
      </c>
      <c r="AW383" s="88" t="s">
        <v>1133</v>
      </c>
      <c r="AX383" s="88">
        <v>0</v>
      </c>
      <c r="AY383" s="88">
        <v>0</v>
      </c>
      <c r="AZ383" s="88">
        <v>0</v>
      </c>
      <c r="BA383" s="88">
        <v>0</v>
      </c>
      <c r="BB383" s="88" t="s">
        <v>0</v>
      </c>
    </row>
    <row r="384" spans="1:54">
      <c r="A384" s="88">
        <v>384</v>
      </c>
      <c r="B384" s="88">
        <v>384</v>
      </c>
      <c r="C384" s="88"/>
      <c r="D384" s="88" t="s">
        <v>1187</v>
      </c>
      <c r="E384" s="88">
        <v>0</v>
      </c>
      <c r="F384" s="88">
        <v>1161</v>
      </c>
      <c r="G384" s="88">
        <v>1</v>
      </c>
      <c r="H384" s="88">
        <v>1</v>
      </c>
      <c r="I384" s="88">
        <v>1</v>
      </c>
      <c r="J384" s="88">
        <v>0</v>
      </c>
      <c r="K384" s="88">
        <v>0</v>
      </c>
      <c r="L384" s="88">
        <v>1</v>
      </c>
      <c r="M384" s="88">
        <v>4</v>
      </c>
      <c r="N384" s="88">
        <v>34</v>
      </c>
      <c r="O384" s="88">
        <v>1</v>
      </c>
      <c r="P384" s="88">
        <v>1</v>
      </c>
      <c r="Q384" s="88">
        <v>1</v>
      </c>
      <c r="R384" s="88">
        <v>20</v>
      </c>
      <c r="S384" s="88">
        <v>10</v>
      </c>
      <c r="T384" s="88">
        <v>0</v>
      </c>
      <c r="U384" s="88">
        <v>0</v>
      </c>
      <c r="V384" s="88">
        <v>0</v>
      </c>
      <c r="W384" s="88">
        <v>0</v>
      </c>
      <c r="X384" s="88">
        <v>20</v>
      </c>
      <c r="Y384" s="88">
        <v>0</v>
      </c>
      <c r="Z384" s="88">
        <v>10</v>
      </c>
      <c r="AA384" s="88">
        <v>0</v>
      </c>
      <c r="AB384" s="88">
        <v>1</v>
      </c>
      <c r="AC384" s="88">
        <v>0</v>
      </c>
      <c r="AD384" s="88">
        <v>0</v>
      </c>
      <c r="AE384" s="88" t="s">
        <v>1133</v>
      </c>
      <c r="AF384" s="88">
        <v>0</v>
      </c>
      <c r="AG384" s="88">
        <v>0</v>
      </c>
      <c r="AH384" s="88" t="s">
        <v>1133</v>
      </c>
      <c r="AI384" s="88" t="s">
        <v>1133</v>
      </c>
      <c r="AJ384" s="88" t="s">
        <v>1133</v>
      </c>
      <c r="AK384" s="88">
        <v>2</v>
      </c>
      <c r="AL384" s="88">
        <v>20</v>
      </c>
      <c r="AM384" s="88">
        <v>9</v>
      </c>
      <c r="AN384" s="88">
        <v>0</v>
      </c>
      <c r="AO384" s="88">
        <v>1</v>
      </c>
      <c r="AP384" s="88" t="s">
        <v>1134</v>
      </c>
      <c r="AQ384" s="88" t="s">
        <v>1133</v>
      </c>
      <c r="AR384" s="88">
        <v>0</v>
      </c>
      <c r="AS384" s="88"/>
      <c r="AT384" s="88"/>
      <c r="AU384" s="88">
        <v>0</v>
      </c>
      <c r="AV384" s="88" t="s">
        <v>1133</v>
      </c>
      <c r="AW384" s="88" t="s">
        <v>1133</v>
      </c>
      <c r="AX384" s="88">
        <v>0</v>
      </c>
      <c r="AY384" s="88">
        <v>0</v>
      </c>
      <c r="AZ384" s="88">
        <v>0</v>
      </c>
      <c r="BA384" s="88">
        <v>0</v>
      </c>
      <c r="BB384" s="88" t="s">
        <v>0</v>
      </c>
    </row>
    <row r="385" spans="1:54">
      <c r="A385" s="88">
        <v>385</v>
      </c>
      <c r="B385" s="88">
        <v>385</v>
      </c>
      <c r="C385" s="88"/>
      <c r="D385" s="88" t="s">
        <v>1188</v>
      </c>
      <c r="E385" s="88">
        <v>0</v>
      </c>
      <c r="F385" s="88">
        <v>1161</v>
      </c>
      <c r="G385" s="88">
        <v>1</v>
      </c>
      <c r="H385" s="88">
        <v>1</v>
      </c>
      <c r="I385" s="88">
        <v>1</v>
      </c>
      <c r="J385" s="88">
        <v>0</v>
      </c>
      <c r="K385" s="88">
        <v>0</v>
      </c>
      <c r="L385" s="88">
        <v>1</v>
      </c>
      <c r="M385" s="88">
        <v>6</v>
      </c>
      <c r="N385" s="88">
        <v>34</v>
      </c>
      <c r="O385" s="88">
        <v>1</v>
      </c>
      <c r="P385" s="88">
        <v>1</v>
      </c>
      <c r="Q385" s="88">
        <v>1</v>
      </c>
      <c r="R385" s="88">
        <v>20</v>
      </c>
      <c r="S385" s="88">
        <v>10</v>
      </c>
      <c r="T385" s="88">
        <v>0</v>
      </c>
      <c r="U385" s="88">
        <v>0</v>
      </c>
      <c r="V385" s="88">
        <v>0</v>
      </c>
      <c r="W385" s="88">
        <v>0</v>
      </c>
      <c r="X385" s="88">
        <v>20</v>
      </c>
      <c r="Y385" s="88">
        <v>0</v>
      </c>
      <c r="Z385" s="88">
        <v>10</v>
      </c>
      <c r="AA385" s="88">
        <v>0</v>
      </c>
      <c r="AB385" s="88">
        <v>1</v>
      </c>
      <c r="AC385" s="88">
        <v>0</v>
      </c>
      <c r="AD385" s="88">
        <v>0</v>
      </c>
      <c r="AE385" s="88" t="s">
        <v>1133</v>
      </c>
      <c r="AF385" s="88">
        <v>0</v>
      </c>
      <c r="AG385" s="88">
        <v>0</v>
      </c>
      <c r="AH385" s="88" t="s">
        <v>1133</v>
      </c>
      <c r="AI385" s="88" t="s">
        <v>1133</v>
      </c>
      <c r="AJ385" s="88" t="s">
        <v>1133</v>
      </c>
      <c r="AK385" s="88">
        <v>2</v>
      </c>
      <c r="AL385" s="88">
        <v>20</v>
      </c>
      <c r="AM385" s="88">
        <v>9</v>
      </c>
      <c r="AN385" s="88">
        <v>0</v>
      </c>
      <c r="AO385" s="88">
        <v>1</v>
      </c>
      <c r="AP385" s="88" t="s">
        <v>1134</v>
      </c>
      <c r="AQ385" s="88" t="s">
        <v>1133</v>
      </c>
      <c r="AR385" s="88">
        <v>0</v>
      </c>
      <c r="AS385" s="88"/>
      <c r="AT385" s="88"/>
      <c r="AU385" s="88">
        <v>0</v>
      </c>
      <c r="AV385" s="88" t="s">
        <v>1133</v>
      </c>
      <c r="AW385" s="88" t="s">
        <v>1133</v>
      </c>
      <c r="AX385" s="88">
        <v>0</v>
      </c>
      <c r="AY385" s="88">
        <v>0</v>
      </c>
      <c r="AZ385" s="88">
        <v>0</v>
      </c>
      <c r="BA385" s="88">
        <v>0</v>
      </c>
      <c r="BB385" s="88" t="s">
        <v>0</v>
      </c>
    </row>
    <row r="386" spans="1:54">
      <c r="A386" s="88">
        <v>386</v>
      </c>
      <c r="B386" s="88">
        <v>386</v>
      </c>
      <c r="C386" s="88"/>
      <c r="D386" s="88" t="s">
        <v>1189</v>
      </c>
      <c r="E386" s="88">
        <v>0</v>
      </c>
      <c r="F386" s="88">
        <v>1161</v>
      </c>
      <c r="G386" s="88">
        <v>1</v>
      </c>
      <c r="H386" s="88">
        <v>1</v>
      </c>
      <c r="I386" s="88">
        <v>1</v>
      </c>
      <c r="J386" s="88">
        <v>0</v>
      </c>
      <c r="K386" s="88">
        <v>0</v>
      </c>
      <c r="L386" s="88">
        <v>1</v>
      </c>
      <c r="M386" s="88">
        <v>8</v>
      </c>
      <c r="N386" s="88">
        <v>34</v>
      </c>
      <c r="O386" s="88">
        <v>1</v>
      </c>
      <c r="P386" s="88">
        <v>1</v>
      </c>
      <c r="Q386" s="88">
        <v>1</v>
      </c>
      <c r="R386" s="88">
        <v>20</v>
      </c>
      <c r="S386" s="88">
        <v>10</v>
      </c>
      <c r="T386" s="88">
        <v>0</v>
      </c>
      <c r="U386" s="88">
        <v>0</v>
      </c>
      <c r="V386" s="88">
        <v>0</v>
      </c>
      <c r="W386" s="88">
        <v>0</v>
      </c>
      <c r="X386" s="88">
        <v>20</v>
      </c>
      <c r="Y386" s="88">
        <v>0</v>
      </c>
      <c r="Z386" s="88">
        <v>10</v>
      </c>
      <c r="AA386" s="88">
        <v>0</v>
      </c>
      <c r="AB386" s="88">
        <v>1</v>
      </c>
      <c r="AC386" s="88">
        <v>0</v>
      </c>
      <c r="AD386" s="88">
        <v>0</v>
      </c>
      <c r="AE386" s="88" t="s">
        <v>1133</v>
      </c>
      <c r="AF386" s="88">
        <v>0</v>
      </c>
      <c r="AG386" s="88">
        <v>0</v>
      </c>
      <c r="AH386" s="88" t="s">
        <v>1133</v>
      </c>
      <c r="AI386" s="88" t="s">
        <v>1133</v>
      </c>
      <c r="AJ386" s="88" t="s">
        <v>1133</v>
      </c>
      <c r="AK386" s="88">
        <v>2</v>
      </c>
      <c r="AL386" s="88">
        <v>20</v>
      </c>
      <c r="AM386" s="88">
        <v>9</v>
      </c>
      <c r="AN386" s="88">
        <v>0</v>
      </c>
      <c r="AO386" s="88">
        <v>1</v>
      </c>
      <c r="AP386" s="88" t="s">
        <v>1134</v>
      </c>
      <c r="AQ386" s="88" t="s">
        <v>1133</v>
      </c>
      <c r="AR386" s="88">
        <v>0</v>
      </c>
      <c r="AS386" s="88"/>
      <c r="AT386" s="88"/>
      <c r="AU386" s="88">
        <v>0</v>
      </c>
      <c r="AV386" s="88" t="s">
        <v>1133</v>
      </c>
      <c r="AW386" s="88" t="s">
        <v>1133</v>
      </c>
      <c r="AX386" s="88">
        <v>0</v>
      </c>
      <c r="AY386" s="88">
        <v>0</v>
      </c>
      <c r="AZ386" s="88">
        <v>0</v>
      </c>
      <c r="BA386" s="88">
        <v>0</v>
      </c>
      <c r="BB386" s="88" t="s">
        <v>0</v>
      </c>
    </row>
    <row r="387" spans="1:54">
      <c r="A387" s="88">
        <v>387</v>
      </c>
      <c r="B387" s="88">
        <v>387</v>
      </c>
      <c r="C387" s="88"/>
      <c r="D387" s="88" t="s">
        <v>1190</v>
      </c>
      <c r="E387" s="88">
        <v>0</v>
      </c>
      <c r="F387" s="88">
        <v>1161</v>
      </c>
      <c r="G387" s="88">
        <v>1</v>
      </c>
      <c r="H387" s="88">
        <v>1</v>
      </c>
      <c r="I387" s="88">
        <v>1</v>
      </c>
      <c r="J387" s="88">
        <v>0</v>
      </c>
      <c r="K387" s="88">
        <v>0</v>
      </c>
      <c r="L387" s="88">
        <v>1</v>
      </c>
      <c r="M387" s="88">
        <v>10</v>
      </c>
      <c r="N387" s="88">
        <v>34</v>
      </c>
      <c r="O387" s="88">
        <v>1</v>
      </c>
      <c r="P387" s="88">
        <v>1</v>
      </c>
      <c r="Q387" s="88">
        <v>1</v>
      </c>
      <c r="R387" s="88">
        <v>20</v>
      </c>
      <c r="S387" s="88">
        <v>10</v>
      </c>
      <c r="T387" s="88">
        <v>0</v>
      </c>
      <c r="U387" s="88">
        <v>0</v>
      </c>
      <c r="V387" s="88">
        <v>0</v>
      </c>
      <c r="W387" s="88">
        <v>0</v>
      </c>
      <c r="X387" s="88">
        <v>20</v>
      </c>
      <c r="Y387" s="88">
        <v>0</v>
      </c>
      <c r="Z387" s="88">
        <v>10</v>
      </c>
      <c r="AA387" s="88">
        <v>0</v>
      </c>
      <c r="AB387" s="88">
        <v>1</v>
      </c>
      <c r="AC387" s="88">
        <v>0</v>
      </c>
      <c r="AD387" s="88">
        <v>0</v>
      </c>
      <c r="AE387" s="88" t="s">
        <v>1133</v>
      </c>
      <c r="AF387" s="88">
        <v>0</v>
      </c>
      <c r="AG387" s="88">
        <v>0</v>
      </c>
      <c r="AH387" s="88" t="s">
        <v>1133</v>
      </c>
      <c r="AI387" s="88" t="s">
        <v>1133</v>
      </c>
      <c r="AJ387" s="88" t="s">
        <v>1133</v>
      </c>
      <c r="AK387" s="88">
        <v>2</v>
      </c>
      <c r="AL387" s="88">
        <v>20</v>
      </c>
      <c r="AM387" s="88">
        <v>9</v>
      </c>
      <c r="AN387" s="88">
        <v>0</v>
      </c>
      <c r="AO387" s="88">
        <v>1</v>
      </c>
      <c r="AP387" s="88" t="s">
        <v>1134</v>
      </c>
      <c r="AQ387" s="88" t="s">
        <v>1133</v>
      </c>
      <c r="AR387" s="88">
        <v>0</v>
      </c>
      <c r="AS387" s="88"/>
      <c r="AT387" s="88"/>
      <c r="AU387" s="88">
        <v>0</v>
      </c>
      <c r="AV387" s="88" t="s">
        <v>1133</v>
      </c>
      <c r="AW387" s="88" t="s">
        <v>1133</v>
      </c>
      <c r="AX387" s="88">
        <v>0</v>
      </c>
      <c r="AY387" s="88">
        <v>0</v>
      </c>
      <c r="AZ387" s="88">
        <v>0</v>
      </c>
      <c r="BA387" s="88">
        <v>0</v>
      </c>
      <c r="BB387" s="88" t="s">
        <v>0</v>
      </c>
    </row>
    <row r="388" spans="1:54">
      <c r="A388" s="88">
        <v>388</v>
      </c>
      <c r="B388" s="88">
        <v>388</v>
      </c>
      <c r="C388" s="88"/>
      <c r="D388" s="88" t="s">
        <v>1191</v>
      </c>
      <c r="E388" s="88">
        <v>0</v>
      </c>
      <c r="F388" s="88">
        <v>1161</v>
      </c>
      <c r="G388" s="88">
        <v>1</v>
      </c>
      <c r="H388" s="88">
        <v>1</v>
      </c>
      <c r="I388" s="88">
        <v>1</v>
      </c>
      <c r="J388" s="88">
        <v>0</v>
      </c>
      <c r="K388" s="88">
        <v>0</v>
      </c>
      <c r="L388" s="88">
        <v>1</v>
      </c>
      <c r="M388" s="88">
        <v>12</v>
      </c>
      <c r="N388" s="88">
        <v>34</v>
      </c>
      <c r="O388" s="88">
        <v>1</v>
      </c>
      <c r="P388" s="88">
        <v>1</v>
      </c>
      <c r="Q388" s="88">
        <v>1</v>
      </c>
      <c r="R388" s="88">
        <v>20</v>
      </c>
      <c r="S388" s="88">
        <v>10</v>
      </c>
      <c r="T388" s="88">
        <v>0</v>
      </c>
      <c r="U388" s="88">
        <v>0</v>
      </c>
      <c r="V388" s="88">
        <v>0</v>
      </c>
      <c r="W388" s="88">
        <v>0</v>
      </c>
      <c r="X388" s="88">
        <v>20</v>
      </c>
      <c r="Y388" s="88">
        <v>0</v>
      </c>
      <c r="Z388" s="88">
        <v>10</v>
      </c>
      <c r="AA388" s="88">
        <v>0</v>
      </c>
      <c r="AB388" s="88">
        <v>1</v>
      </c>
      <c r="AC388" s="88">
        <v>0</v>
      </c>
      <c r="AD388" s="88">
        <v>0</v>
      </c>
      <c r="AE388" s="88" t="s">
        <v>1133</v>
      </c>
      <c r="AF388" s="88">
        <v>0</v>
      </c>
      <c r="AG388" s="88">
        <v>0</v>
      </c>
      <c r="AH388" s="88" t="s">
        <v>1133</v>
      </c>
      <c r="AI388" s="88" t="s">
        <v>1133</v>
      </c>
      <c r="AJ388" s="88" t="s">
        <v>1133</v>
      </c>
      <c r="AK388" s="88">
        <v>2</v>
      </c>
      <c r="AL388" s="88">
        <v>20</v>
      </c>
      <c r="AM388" s="88">
        <v>9</v>
      </c>
      <c r="AN388" s="88">
        <v>0</v>
      </c>
      <c r="AO388" s="88">
        <v>1</v>
      </c>
      <c r="AP388" s="88" t="s">
        <v>1134</v>
      </c>
      <c r="AQ388" s="88" t="s">
        <v>1133</v>
      </c>
      <c r="AR388" s="88">
        <v>0</v>
      </c>
      <c r="AS388" s="88"/>
      <c r="AT388" s="88"/>
      <c r="AU388" s="88">
        <v>0</v>
      </c>
      <c r="AV388" s="88" t="s">
        <v>1133</v>
      </c>
      <c r="AW388" s="88" t="s">
        <v>1133</v>
      </c>
      <c r="AX388" s="88">
        <v>0</v>
      </c>
      <c r="AY388" s="88">
        <v>0</v>
      </c>
      <c r="AZ388" s="88">
        <v>0</v>
      </c>
      <c r="BA388" s="88">
        <v>0</v>
      </c>
      <c r="BB388" s="88" t="s">
        <v>0</v>
      </c>
    </row>
    <row r="389" spans="1:54">
      <c r="A389" s="88">
        <v>389</v>
      </c>
      <c r="B389" s="88">
        <v>389</v>
      </c>
      <c r="C389" s="88"/>
      <c r="D389" s="88" t="s">
        <v>1192</v>
      </c>
      <c r="E389" s="88">
        <v>0</v>
      </c>
      <c r="F389" s="88">
        <v>1161</v>
      </c>
      <c r="G389" s="88">
        <v>1</v>
      </c>
      <c r="H389" s="88">
        <v>1</v>
      </c>
      <c r="I389" s="88">
        <v>1</v>
      </c>
      <c r="J389" s="88">
        <v>0</v>
      </c>
      <c r="K389" s="88">
        <v>0</v>
      </c>
      <c r="L389" s="88">
        <v>1</v>
      </c>
      <c r="M389" s="88">
        <v>20</v>
      </c>
      <c r="N389" s="88">
        <v>34</v>
      </c>
      <c r="O389" s="88">
        <v>1</v>
      </c>
      <c r="P389" s="88">
        <v>1</v>
      </c>
      <c r="Q389" s="88">
        <v>1</v>
      </c>
      <c r="R389" s="88">
        <v>20</v>
      </c>
      <c r="S389" s="88">
        <v>10</v>
      </c>
      <c r="T389" s="88">
        <v>0</v>
      </c>
      <c r="U389" s="88">
        <v>0</v>
      </c>
      <c r="V389" s="88">
        <v>0</v>
      </c>
      <c r="W389" s="88">
        <v>0</v>
      </c>
      <c r="X389" s="88">
        <v>20</v>
      </c>
      <c r="Y389" s="88">
        <v>0</v>
      </c>
      <c r="Z389" s="88">
        <v>10</v>
      </c>
      <c r="AA389" s="88">
        <v>0</v>
      </c>
      <c r="AB389" s="88">
        <v>1</v>
      </c>
      <c r="AC389" s="88">
        <v>0</v>
      </c>
      <c r="AD389" s="88">
        <v>0</v>
      </c>
      <c r="AE389" s="88" t="s">
        <v>1133</v>
      </c>
      <c r="AF389" s="88">
        <v>0</v>
      </c>
      <c r="AG389" s="88">
        <v>0</v>
      </c>
      <c r="AH389" s="88" t="s">
        <v>1133</v>
      </c>
      <c r="AI389" s="88" t="s">
        <v>1133</v>
      </c>
      <c r="AJ389" s="88" t="s">
        <v>1133</v>
      </c>
      <c r="AK389" s="88">
        <v>2</v>
      </c>
      <c r="AL389" s="88">
        <v>20</v>
      </c>
      <c r="AM389" s="88">
        <v>9</v>
      </c>
      <c r="AN389" s="88">
        <v>0</v>
      </c>
      <c r="AO389" s="88">
        <v>1</v>
      </c>
      <c r="AP389" s="88" t="s">
        <v>1134</v>
      </c>
      <c r="AQ389" s="88" t="s">
        <v>1133</v>
      </c>
      <c r="AR389" s="88">
        <v>0</v>
      </c>
      <c r="AS389" s="88"/>
      <c r="AT389" s="88"/>
      <c r="AU389" s="88">
        <v>0</v>
      </c>
      <c r="AV389" s="88" t="s">
        <v>1133</v>
      </c>
      <c r="AW389" s="88" t="s">
        <v>1133</v>
      </c>
      <c r="AX389" s="88">
        <v>0</v>
      </c>
      <c r="AY389" s="88">
        <v>0</v>
      </c>
      <c r="AZ389" s="88">
        <v>0</v>
      </c>
      <c r="BA389" s="88">
        <v>0</v>
      </c>
      <c r="BB389" s="88" t="s">
        <v>0</v>
      </c>
    </row>
    <row r="390" spans="1:54">
      <c r="A390" s="88">
        <v>390</v>
      </c>
      <c r="B390" s="88">
        <v>390</v>
      </c>
      <c r="C390" s="88"/>
      <c r="D390" s="88" t="s">
        <v>1193</v>
      </c>
      <c r="E390" s="88">
        <v>0</v>
      </c>
      <c r="F390" s="88">
        <v>1161</v>
      </c>
      <c r="G390" s="88">
        <v>1</v>
      </c>
      <c r="H390" s="88">
        <v>1</v>
      </c>
      <c r="I390" s="88">
        <v>1</v>
      </c>
      <c r="J390" s="88">
        <v>0</v>
      </c>
      <c r="K390" s="88">
        <v>0</v>
      </c>
      <c r="L390" s="88">
        <v>1</v>
      </c>
      <c r="M390" s="88">
        <v>25</v>
      </c>
      <c r="N390" s="88">
        <v>34</v>
      </c>
      <c r="O390" s="88">
        <v>1</v>
      </c>
      <c r="P390" s="88">
        <v>1</v>
      </c>
      <c r="Q390" s="88">
        <v>1</v>
      </c>
      <c r="R390" s="88">
        <v>20</v>
      </c>
      <c r="S390" s="88">
        <v>10</v>
      </c>
      <c r="T390" s="88">
        <v>0</v>
      </c>
      <c r="U390" s="88">
        <v>0</v>
      </c>
      <c r="V390" s="88">
        <v>0</v>
      </c>
      <c r="W390" s="88">
        <v>0</v>
      </c>
      <c r="X390" s="88">
        <v>20</v>
      </c>
      <c r="Y390" s="88">
        <v>0</v>
      </c>
      <c r="Z390" s="88">
        <v>10</v>
      </c>
      <c r="AA390" s="88">
        <v>0</v>
      </c>
      <c r="AB390" s="88">
        <v>1</v>
      </c>
      <c r="AC390" s="88">
        <v>0</v>
      </c>
      <c r="AD390" s="88">
        <v>0</v>
      </c>
      <c r="AE390" s="88" t="s">
        <v>1133</v>
      </c>
      <c r="AF390" s="88">
        <v>0</v>
      </c>
      <c r="AG390" s="88">
        <v>0</v>
      </c>
      <c r="AH390" s="88" t="s">
        <v>1133</v>
      </c>
      <c r="AI390" s="88" t="s">
        <v>1133</v>
      </c>
      <c r="AJ390" s="88" t="s">
        <v>1133</v>
      </c>
      <c r="AK390" s="88">
        <v>2</v>
      </c>
      <c r="AL390" s="88">
        <v>20</v>
      </c>
      <c r="AM390" s="88">
        <v>9</v>
      </c>
      <c r="AN390" s="88">
        <v>0</v>
      </c>
      <c r="AO390" s="88">
        <v>1</v>
      </c>
      <c r="AP390" s="88" t="s">
        <v>1134</v>
      </c>
      <c r="AQ390" s="88" t="s">
        <v>1133</v>
      </c>
      <c r="AR390" s="88">
        <v>0</v>
      </c>
      <c r="AS390" s="88"/>
      <c r="AT390" s="88"/>
      <c r="AU390" s="88">
        <v>0</v>
      </c>
      <c r="AV390" s="88" t="s">
        <v>1133</v>
      </c>
      <c r="AW390" s="88" t="s">
        <v>1133</v>
      </c>
      <c r="AX390" s="88">
        <v>0</v>
      </c>
      <c r="AY390" s="88">
        <v>0</v>
      </c>
      <c r="AZ390" s="88">
        <v>0</v>
      </c>
      <c r="BA390" s="88">
        <v>0</v>
      </c>
      <c r="BB390" s="88" t="s">
        <v>0</v>
      </c>
    </row>
    <row r="391" spans="1:54">
      <c r="A391" s="88">
        <v>391</v>
      </c>
      <c r="B391" s="88">
        <v>391</v>
      </c>
      <c r="C391" s="88"/>
      <c r="D391" s="88" t="s">
        <v>1194</v>
      </c>
      <c r="E391" s="88">
        <v>0</v>
      </c>
      <c r="F391" s="88">
        <v>1161</v>
      </c>
      <c r="G391" s="88">
        <v>1</v>
      </c>
      <c r="H391" s="88">
        <v>1</v>
      </c>
      <c r="I391" s="88">
        <v>1</v>
      </c>
      <c r="J391" s="88">
        <v>0</v>
      </c>
      <c r="K391" s="88">
        <v>0</v>
      </c>
      <c r="L391" s="88">
        <v>1</v>
      </c>
      <c r="M391" s="88">
        <v>30</v>
      </c>
      <c r="N391" s="88">
        <v>34</v>
      </c>
      <c r="O391" s="88">
        <v>1</v>
      </c>
      <c r="P391" s="88">
        <v>1</v>
      </c>
      <c r="Q391" s="88">
        <v>1</v>
      </c>
      <c r="R391" s="88">
        <v>20</v>
      </c>
      <c r="S391" s="88">
        <v>10</v>
      </c>
      <c r="T391" s="88">
        <v>0</v>
      </c>
      <c r="U391" s="88">
        <v>0</v>
      </c>
      <c r="V391" s="88">
        <v>0</v>
      </c>
      <c r="W391" s="88">
        <v>0</v>
      </c>
      <c r="X391" s="88">
        <v>20</v>
      </c>
      <c r="Y391" s="88">
        <v>0</v>
      </c>
      <c r="Z391" s="88">
        <v>10</v>
      </c>
      <c r="AA391" s="88">
        <v>0</v>
      </c>
      <c r="AB391" s="88">
        <v>1</v>
      </c>
      <c r="AC391" s="88">
        <v>0</v>
      </c>
      <c r="AD391" s="88">
        <v>0</v>
      </c>
      <c r="AE391" s="88" t="s">
        <v>1133</v>
      </c>
      <c r="AF391" s="88">
        <v>0</v>
      </c>
      <c r="AG391" s="88">
        <v>0</v>
      </c>
      <c r="AH391" s="88" t="s">
        <v>1133</v>
      </c>
      <c r="AI391" s="88" t="s">
        <v>1133</v>
      </c>
      <c r="AJ391" s="88" t="s">
        <v>1133</v>
      </c>
      <c r="AK391" s="88">
        <v>2</v>
      </c>
      <c r="AL391" s="88">
        <v>20</v>
      </c>
      <c r="AM391" s="88">
        <v>9</v>
      </c>
      <c r="AN391" s="88">
        <v>0</v>
      </c>
      <c r="AO391" s="88">
        <v>1</v>
      </c>
      <c r="AP391" s="88" t="s">
        <v>1134</v>
      </c>
      <c r="AQ391" s="88" t="s">
        <v>1133</v>
      </c>
      <c r="AR391" s="88">
        <v>0</v>
      </c>
      <c r="AS391" s="88"/>
      <c r="AT391" s="88"/>
      <c r="AU391" s="88">
        <v>0</v>
      </c>
      <c r="AV391" s="88" t="s">
        <v>1133</v>
      </c>
      <c r="AW391" s="88" t="s">
        <v>1133</v>
      </c>
      <c r="AX391" s="88">
        <v>0</v>
      </c>
      <c r="AY391" s="88">
        <v>0</v>
      </c>
      <c r="AZ391" s="88">
        <v>0</v>
      </c>
      <c r="BA391" s="88">
        <v>0</v>
      </c>
      <c r="BB391" s="88" t="s">
        <v>0</v>
      </c>
    </row>
    <row r="392" spans="1:54">
      <c r="A392" s="88">
        <v>392</v>
      </c>
      <c r="B392" s="88">
        <v>392</v>
      </c>
      <c r="C392" s="88"/>
      <c r="D392" s="88" t="s">
        <v>1195</v>
      </c>
      <c r="E392" s="88">
        <v>0</v>
      </c>
      <c r="F392" s="88">
        <v>1161</v>
      </c>
      <c r="G392" s="88">
        <v>1</v>
      </c>
      <c r="H392" s="88">
        <v>1</v>
      </c>
      <c r="I392" s="88">
        <v>1</v>
      </c>
      <c r="J392" s="88">
        <v>0</v>
      </c>
      <c r="K392" s="88">
        <v>0</v>
      </c>
      <c r="L392" s="88">
        <v>1</v>
      </c>
      <c r="M392" s="88">
        <v>35</v>
      </c>
      <c r="N392" s="88">
        <v>34</v>
      </c>
      <c r="O392" s="88">
        <v>1</v>
      </c>
      <c r="P392" s="88">
        <v>1</v>
      </c>
      <c r="Q392" s="88">
        <v>1</v>
      </c>
      <c r="R392" s="88">
        <v>20</v>
      </c>
      <c r="S392" s="88">
        <v>10</v>
      </c>
      <c r="T392" s="88">
        <v>0</v>
      </c>
      <c r="U392" s="88">
        <v>0</v>
      </c>
      <c r="V392" s="88">
        <v>0</v>
      </c>
      <c r="W392" s="88">
        <v>0</v>
      </c>
      <c r="X392" s="88">
        <v>20</v>
      </c>
      <c r="Y392" s="88">
        <v>0</v>
      </c>
      <c r="Z392" s="88">
        <v>10</v>
      </c>
      <c r="AA392" s="88">
        <v>0</v>
      </c>
      <c r="AB392" s="88">
        <v>1</v>
      </c>
      <c r="AC392" s="88">
        <v>0</v>
      </c>
      <c r="AD392" s="88">
        <v>0</v>
      </c>
      <c r="AE392" s="88" t="s">
        <v>1133</v>
      </c>
      <c r="AF392" s="88">
        <v>0</v>
      </c>
      <c r="AG392" s="88">
        <v>0</v>
      </c>
      <c r="AH392" s="88" t="s">
        <v>1133</v>
      </c>
      <c r="AI392" s="88" t="s">
        <v>1133</v>
      </c>
      <c r="AJ392" s="88" t="s">
        <v>1133</v>
      </c>
      <c r="AK392" s="88">
        <v>2</v>
      </c>
      <c r="AL392" s="88">
        <v>20</v>
      </c>
      <c r="AM392" s="88">
        <v>9</v>
      </c>
      <c r="AN392" s="88">
        <v>0</v>
      </c>
      <c r="AO392" s="88">
        <v>1</v>
      </c>
      <c r="AP392" s="88" t="s">
        <v>1134</v>
      </c>
      <c r="AQ392" s="88" t="s">
        <v>1133</v>
      </c>
      <c r="AR392" s="88">
        <v>0</v>
      </c>
      <c r="AS392" s="88"/>
      <c r="AT392" s="88"/>
      <c r="AU392" s="88">
        <v>0</v>
      </c>
      <c r="AV392" s="88" t="s">
        <v>1133</v>
      </c>
      <c r="AW392" s="88" t="s">
        <v>1133</v>
      </c>
      <c r="AX392" s="88">
        <v>0</v>
      </c>
      <c r="AY392" s="88">
        <v>0</v>
      </c>
      <c r="AZ392" s="88">
        <v>0</v>
      </c>
      <c r="BA392" s="88">
        <v>0</v>
      </c>
      <c r="BB392" s="88" t="s">
        <v>0</v>
      </c>
    </row>
    <row r="393" spans="1:54">
      <c r="A393" s="88">
        <v>393</v>
      </c>
      <c r="B393" s="88">
        <v>393</v>
      </c>
      <c r="C393" s="88"/>
      <c r="D393" s="88" t="s">
        <v>1196</v>
      </c>
      <c r="E393" s="88">
        <v>0</v>
      </c>
      <c r="F393" s="88">
        <v>1161</v>
      </c>
      <c r="G393" s="88">
        <v>1</v>
      </c>
      <c r="H393" s="88">
        <v>1</v>
      </c>
      <c r="I393" s="88">
        <v>1</v>
      </c>
      <c r="J393" s="88">
        <v>0</v>
      </c>
      <c r="K393" s="88">
        <v>0</v>
      </c>
      <c r="L393" s="88">
        <v>1</v>
      </c>
      <c r="M393" s="88">
        <v>45</v>
      </c>
      <c r="N393" s="88">
        <v>34</v>
      </c>
      <c r="O393" s="88">
        <v>1</v>
      </c>
      <c r="P393" s="88">
        <v>1</v>
      </c>
      <c r="Q393" s="88">
        <v>1</v>
      </c>
      <c r="R393" s="88">
        <v>20</v>
      </c>
      <c r="S393" s="88">
        <v>10</v>
      </c>
      <c r="T393" s="88">
        <v>0</v>
      </c>
      <c r="U393" s="88">
        <v>0</v>
      </c>
      <c r="V393" s="88">
        <v>0</v>
      </c>
      <c r="W393" s="88">
        <v>0</v>
      </c>
      <c r="X393" s="88">
        <v>20</v>
      </c>
      <c r="Y393" s="88">
        <v>0</v>
      </c>
      <c r="Z393" s="88">
        <v>10</v>
      </c>
      <c r="AA393" s="88">
        <v>0</v>
      </c>
      <c r="AB393" s="88">
        <v>1</v>
      </c>
      <c r="AC393" s="88">
        <v>0</v>
      </c>
      <c r="AD393" s="88">
        <v>0</v>
      </c>
      <c r="AE393" s="88" t="s">
        <v>1133</v>
      </c>
      <c r="AF393" s="88">
        <v>0</v>
      </c>
      <c r="AG393" s="88">
        <v>0</v>
      </c>
      <c r="AH393" s="88" t="s">
        <v>1133</v>
      </c>
      <c r="AI393" s="88" t="s">
        <v>1133</v>
      </c>
      <c r="AJ393" s="88" t="s">
        <v>1133</v>
      </c>
      <c r="AK393" s="88">
        <v>2</v>
      </c>
      <c r="AL393" s="88">
        <v>20</v>
      </c>
      <c r="AM393" s="88">
        <v>9</v>
      </c>
      <c r="AN393" s="88">
        <v>0</v>
      </c>
      <c r="AO393" s="88">
        <v>1</v>
      </c>
      <c r="AP393" s="88" t="s">
        <v>1134</v>
      </c>
      <c r="AQ393" s="88" t="s">
        <v>1133</v>
      </c>
      <c r="AR393" s="88">
        <v>0</v>
      </c>
      <c r="AS393" s="88"/>
      <c r="AT393" s="88"/>
      <c r="AU393" s="88">
        <v>0</v>
      </c>
      <c r="AV393" s="88" t="s">
        <v>1133</v>
      </c>
      <c r="AW393" s="88" t="s">
        <v>1133</v>
      </c>
      <c r="AX393" s="88">
        <v>0</v>
      </c>
      <c r="AY393" s="88">
        <v>0</v>
      </c>
      <c r="AZ393" s="88">
        <v>0</v>
      </c>
      <c r="BA393" s="88">
        <v>0</v>
      </c>
      <c r="BB393" s="88" t="s">
        <v>0</v>
      </c>
    </row>
    <row r="394" spans="1:54">
      <c r="A394" s="88">
        <v>394</v>
      </c>
      <c r="B394" s="88">
        <v>394</v>
      </c>
      <c r="C394" s="88"/>
      <c r="D394" s="88" t="s">
        <v>1197</v>
      </c>
      <c r="E394" s="88">
        <v>0</v>
      </c>
      <c r="F394" s="88">
        <v>1161</v>
      </c>
      <c r="G394" s="88">
        <v>1</v>
      </c>
      <c r="H394" s="88">
        <v>1</v>
      </c>
      <c r="I394" s="88">
        <v>1</v>
      </c>
      <c r="J394" s="88">
        <v>0</v>
      </c>
      <c r="K394" s="88">
        <v>0</v>
      </c>
      <c r="L394" s="88">
        <v>1</v>
      </c>
      <c r="M394" s="88">
        <v>50</v>
      </c>
      <c r="N394" s="88">
        <v>34</v>
      </c>
      <c r="O394" s="88">
        <v>1</v>
      </c>
      <c r="P394" s="88">
        <v>1</v>
      </c>
      <c r="Q394" s="88">
        <v>1</v>
      </c>
      <c r="R394" s="88">
        <v>20</v>
      </c>
      <c r="S394" s="88">
        <v>10</v>
      </c>
      <c r="T394" s="88">
        <v>0</v>
      </c>
      <c r="U394" s="88">
        <v>0</v>
      </c>
      <c r="V394" s="88">
        <v>0</v>
      </c>
      <c r="W394" s="88">
        <v>0</v>
      </c>
      <c r="X394" s="88">
        <v>20</v>
      </c>
      <c r="Y394" s="88">
        <v>0</v>
      </c>
      <c r="Z394" s="88">
        <v>10</v>
      </c>
      <c r="AA394" s="88">
        <v>0</v>
      </c>
      <c r="AB394" s="88">
        <v>1</v>
      </c>
      <c r="AC394" s="88">
        <v>0</v>
      </c>
      <c r="AD394" s="88">
        <v>0</v>
      </c>
      <c r="AE394" s="88" t="s">
        <v>1133</v>
      </c>
      <c r="AF394" s="88">
        <v>0</v>
      </c>
      <c r="AG394" s="88">
        <v>0</v>
      </c>
      <c r="AH394" s="88" t="s">
        <v>1133</v>
      </c>
      <c r="AI394" s="88" t="s">
        <v>1133</v>
      </c>
      <c r="AJ394" s="88" t="s">
        <v>1133</v>
      </c>
      <c r="AK394" s="88">
        <v>2</v>
      </c>
      <c r="AL394" s="88">
        <v>20</v>
      </c>
      <c r="AM394" s="88">
        <v>9</v>
      </c>
      <c r="AN394" s="88">
        <v>0</v>
      </c>
      <c r="AO394" s="88">
        <v>1</v>
      </c>
      <c r="AP394" s="88" t="s">
        <v>1134</v>
      </c>
      <c r="AQ394" s="88" t="s">
        <v>1133</v>
      </c>
      <c r="AR394" s="88">
        <v>0</v>
      </c>
      <c r="AS394" s="88"/>
      <c r="AT394" s="88"/>
      <c r="AU394" s="88">
        <v>0</v>
      </c>
      <c r="AV394" s="88" t="s">
        <v>1133</v>
      </c>
      <c r="AW394" s="88" t="s">
        <v>1133</v>
      </c>
      <c r="AX394" s="88">
        <v>0</v>
      </c>
      <c r="AY394" s="88">
        <v>0</v>
      </c>
      <c r="AZ394" s="88">
        <v>0</v>
      </c>
      <c r="BA394" s="88">
        <v>0</v>
      </c>
      <c r="BB394" s="88" t="s">
        <v>0</v>
      </c>
    </row>
    <row r="395" spans="1:54">
      <c r="A395" s="88">
        <v>395</v>
      </c>
      <c r="B395" s="88">
        <v>395</v>
      </c>
      <c r="C395" s="88"/>
      <c r="D395" s="88" t="s">
        <v>1198</v>
      </c>
      <c r="E395" s="88">
        <v>0</v>
      </c>
      <c r="F395" s="88">
        <v>1161</v>
      </c>
      <c r="G395" s="88">
        <v>1</v>
      </c>
      <c r="H395" s="88">
        <v>1</v>
      </c>
      <c r="I395" s="88">
        <v>1</v>
      </c>
      <c r="J395" s="88">
        <v>0</v>
      </c>
      <c r="K395" s="88">
        <v>0</v>
      </c>
      <c r="L395" s="88">
        <v>1</v>
      </c>
      <c r="M395" s="88">
        <v>540</v>
      </c>
      <c r="N395" s="88">
        <v>34</v>
      </c>
      <c r="O395" s="88">
        <v>1</v>
      </c>
      <c r="P395" s="88">
        <v>1</v>
      </c>
      <c r="Q395" s="88">
        <v>1</v>
      </c>
      <c r="R395" s="88">
        <v>20</v>
      </c>
      <c r="S395" s="88">
        <v>10</v>
      </c>
      <c r="T395" s="88">
        <v>0</v>
      </c>
      <c r="U395" s="88">
        <v>0</v>
      </c>
      <c r="V395" s="88">
        <v>0</v>
      </c>
      <c r="W395" s="88">
        <v>0</v>
      </c>
      <c r="X395" s="88">
        <v>20</v>
      </c>
      <c r="Y395" s="88">
        <v>0</v>
      </c>
      <c r="Z395" s="88">
        <v>10</v>
      </c>
      <c r="AA395" s="88">
        <v>0</v>
      </c>
      <c r="AB395" s="88">
        <v>1</v>
      </c>
      <c r="AC395" s="88">
        <v>0</v>
      </c>
      <c r="AD395" s="88">
        <v>0</v>
      </c>
      <c r="AE395" s="88" t="s">
        <v>1133</v>
      </c>
      <c r="AF395" s="88">
        <v>0</v>
      </c>
      <c r="AG395" s="88">
        <v>0</v>
      </c>
      <c r="AH395" s="88" t="s">
        <v>1133</v>
      </c>
      <c r="AI395" s="88" t="s">
        <v>1133</v>
      </c>
      <c r="AJ395" s="88" t="s">
        <v>1133</v>
      </c>
      <c r="AK395" s="88">
        <v>2</v>
      </c>
      <c r="AL395" s="88">
        <v>20</v>
      </c>
      <c r="AM395" s="88">
        <v>9</v>
      </c>
      <c r="AN395" s="88">
        <v>0</v>
      </c>
      <c r="AO395" s="88">
        <v>1</v>
      </c>
      <c r="AP395" s="88" t="s">
        <v>1134</v>
      </c>
      <c r="AQ395" s="88" t="s">
        <v>1133</v>
      </c>
      <c r="AR395" s="88">
        <v>0</v>
      </c>
      <c r="AS395" s="88"/>
      <c r="AT395" s="88"/>
      <c r="AU395" s="88">
        <v>0</v>
      </c>
      <c r="AV395" s="88" t="s">
        <v>1133</v>
      </c>
      <c r="AW395" s="88" t="s">
        <v>1133</v>
      </c>
      <c r="AX395" s="88">
        <v>0</v>
      </c>
      <c r="AY395" s="88">
        <v>0</v>
      </c>
      <c r="AZ395" s="88">
        <v>0</v>
      </c>
      <c r="BA395" s="88">
        <v>0</v>
      </c>
      <c r="BB395" s="88" t="s">
        <v>0</v>
      </c>
    </row>
    <row r="396" spans="1:54">
      <c r="A396" s="88">
        <v>396</v>
      </c>
      <c r="B396" s="88">
        <v>396</v>
      </c>
      <c r="C396" s="88"/>
      <c r="D396" s="88" t="s">
        <v>1199</v>
      </c>
      <c r="E396" s="88">
        <v>0</v>
      </c>
      <c r="F396" s="88">
        <v>1161</v>
      </c>
      <c r="G396" s="88">
        <v>1</v>
      </c>
      <c r="H396" s="88">
        <v>1</v>
      </c>
      <c r="I396" s="88">
        <v>1</v>
      </c>
      <c r="J396" s="88">
        <v>0</v>
      </c>
      <c r="K396" s="88">
        <v>0</v>
      </c>
      <c r="L396" s="88">
        <v>1</v>
      </c>
      <c r="M396" s="88">
        <v>480</v>
      </c>
      <c r="N396" s="88">
        <v>34</v>
      </c>
      <c r="O396" s="88">
        <v>1</v>
      </c>
      <c r="P396" s="88">
        <v>1</v>
      </c>
      <c r="Q396" s="88">
        <v>1</v>
      </c>
      <c r="R396" s="88">
        <v>20</v>
      </c>
      <c r="S396" s="88">
        <v>10</v>
      </c>
      <c r="T396" s="88">
        <v>0</v>
      </c>
      <c r="U396" s="88">
        <v>0</v>
      </c>
      <c r="V396" s="88">
        <v>0</v>
      </c>
      <c r="W396" s="88">
        <v>0</v>
      </c>
      <c r="X396" s="88">
        <v>20</v>
      </c>
      <c r="Y396" s="88">
        <v>0</v>
      </c>
      <c r="Z396" s="88">
        <v>10</v>
      </c>
      <c r="AA396" s="88">
        <v>0</v>
      </c>
      <c r="AB396" s="88">
        <v>1</v>
      </c>
      <c r="AC396" s="88">
        <v>0</v>
      </c>
      <c r="AD396" s="88">
        <v>0</v>
      </c>
      <c r="AE396" s="88" t="s">
        <v>1133</v>
      </c>
      <c r="AF396" s="88">
        <v>0</v>
      </c>
      <c r="AG396" s="88">
        <v>0</v>
      </c>
      <c r="AH396" s="88" t="s">
        <v>1133</v>
      </c>
      <c r="AI396" s="88" t="s">
        <v>1133</v>
      </c>
      <c r="AJ396" s="88" t="s">
        <v>1133</v>
      </c>
      <c r="AK396" s="88">
        <v>2</v>
      </c>
      <c r="AL396" s="88">
        <v>20</v>
      </c>
      <c r="AM396" s="88">
        <v>9</v>
      </c>
      <c r="AN396" s="88">
        <v>0</v>
      </c>
      <c r="AO396" s="88">
        <v>1</v>
      </c>
      <c r="AP396" s="88" t="s">
        <v>1134</v>
      </c>
      <c r="AQ396" s="88" t="s">
        <v>1133</v>
      </c>
      <c r="AR396" s="88">
        <v>0</v>
      </c>
      <c r="AS396" s="88"/>
      <c r="AT396" s="88"/>
      <c r="AU396" s="88">
        <v>0</v>
      </c>
      <c r="AV396" s="88" t="s">
        <v>1133</v>
      </c>
      <c r="AW396" s="88" t="s">
        <v>1133</v>
      </c>
      <c r="AX396" s="88">
        <v>0</v>
      </c>
      <c r="AY396" s="88">
        <v>0</v>
      </c>
      <c r="AZ396" s="88">
        <v>0</v>
      </c>
      <c r="BA396" s="88">
        <v>0</v>
      </c>
      <c r="BB396" s="88" t="s">
        <v>0</v>
      </c>
    </row>
    <row r="397" spans="1:54">
      <c r="A397" s="88">
        <v>397</v>
      </c>
      <c r="B397" s="88">
        <v>397</v>
      </c>
      <c r="C397" s="88"/>
      <c r="D397" s="88" t="s">
        <v>1200</v>
      </c>
      <c r="E397" s="88">
        <v>0</v>
      </c>
      <c r="F397" s="88">
        <v>1162</v>
      </c>
      <c r="G397" s="88">
        <v>1</v>
      </c>
      <c r="H397" s="88">
        <v>1</v>
      </c>
      <c r="I397" s="88">
        <v>1</v>
      </c>
      <c r="J397" s="88">
        <v>0</v>
      </c>
      <c r="K397" s="88">
        <v>0</v>
      </c>
      <c r="L397" s="88">
        <v>1</v>
      </c>
      <c r="M397" s="88">
        <v>2</v>
      </c>
      <c r="N397" s="88">
        <v>34</v>
      </c>
      <c r="O397" s="88">
        <v>1</v>
      </c>
      <c r="P397" s="88">
        <v>1</v>
      </c>
      <c r="Q397" s="88">
        <v>1</v>
      </c>
      <c r="R397" s="88">
        <v>20</v>
      </c>
      <c r="S397" s="88">
        <v>10</v>
      </c>
      <c r="T397" s="88">
        <v>0</v>
      </c>
      <c r="U397" s="88">
        <v>0</v>
      </c>
      <c r="V397" s="88">
        <v>0</v>
      </c>
      <c r="W397" s="88">
        <v>0</v>
      </c>
      <c r="X397" s="88">
        <v>20</v>
      </c>
      <c r="Y397" s="88">
        <v>0</v>
      </c>
      <c r="Z397" s="88">
        <v>10</v>
      </c>
      <c r="AA397" s="88">
        <v>0</v>
      </c>
      <c r="AB397" s="88">
        <v>1</v>
      </c>
      <c r="AC397" s="88">
        <v>0</v>
      </c>
      <c r="AD397" s="88">
        <v>0</v>
      </c>
      <c r="AE397" s="88" t="s">
        <v>1133</v>
      </c>
      <c r="AF397" s="88">
        <v>0</v>
      </c>
      <c r="AG397" s="88">
        <v>0</v>
      </c>
      <c r="AH397" s="88" t="s">
        <v>1133</v>
      </c>
      <c r="AI397" s="88" t="s">
        <v>1133</v>
      </c>
      <c r="AJ397" s="88" t="s">
        <v>1133</v>
      </c>
      <c r="AK397" s="88">
        <v>2</v>
      </c>
      <c r="AL397" s="88">
        <v>20</v>
      </c>
      <c r="AM397" s="88">
        <v>9</v>
      </c>
      <c r="AN397" s="88">
        <v>0</v>
      </c>
      <c r="AO397" s="88">
        <v>1</v>
      </c>
      <c r="AP397" s="88" t="s">
        <v>1134</v>
      </c>
      <c r="AQ397" s="88" t="s">
        <v>1133</v>
      </c>
      <c r="AR397" s="88">
        <v>0</v>
      </c>
      <c r="AS397" s="88"/>
      <c r="AT397" s="88"/>
      <c r="AU397" s="88">
        <v>0</v>
      </c>
      <c r="AV397" s="88" t="s">
        <v>1133</v>
      </c>
      <c r="AW397" s="88" t="s">
        <v>1133</v>
      </c>
      <c r="AX397" s="88">
        <v>0</v>
      </c>
      <c r="AY397" s="88">
        <v>0</v>
      </c>
      <c r="AZ397" s="88">
        <v>0</v>
      </c>
      <c r="BA397" s="88">
        <v>0</v>
      </c>
      <c r="BB397" s="88" t="s">
        <v>0</v>
      </c>
    </row>
    <row r="398" spans="1:54">
      <c r="A398" s="88">
        <v>398</v>
      </c>
      <c r="B398" s="88">
        <v>398</v>
      </c>
      <c r="C398" s="88"/>
      <c r="D398" s="88" t="s">
        <v>1201</v>
      </c>
      <c r="E398" s="88">
        <v>0</v>
      </c>
      <c r="F398" s="88">
        <v>1162</v>
      </c>
      <c r="G398" s="88">
        <v>1</v>
      </c>
      <c r="H398" s="88">
        <v>1</v>
      </c>
      <c r="I398" s="88">
        <v>1</v>
      </c>
      <c r="J398" s="88">
        <v>0</v>
      </c>
      <c r="K398" s="88">
        <v>0</v>
      </c>
      <c r="L398" s="88">
        <v>1</v>
      </c>
      <c r="M398" s="88">
        <v>4</v>
      </c>
      <c r="N398" s="88">
        <v>34</v>
      </c>
      <c r="O398" s="88">
        <v>1</v>
      </c>
      <c r="P398" s="88">
        <v>1</v>
      </c>
      <c r="Q398" s="88">
        <v>1</v>
      </c>
      <c r="R398" s="88">
        <v>20</v>
      </c>
      <c r="S398" s="88">
        <v>10</v>
      </c>
      <c r="T398" s="88">
        <v>0</v>
      </c>
      <c r="U398" s="88">
        <v>0</v>
      </c>
      <c r="V398" s="88">
        <v>0</v>
      </c>
      <c r="W398" s="88">
        <v>0</v>
      </c>
      <c r="X398" s="88">
        <v>20</v>
      </c>
      <c r="Y398" s="88">
        <v>0</v>
      </c>
      <c r="Z398" s="88">
        <v>10</v>
      </c>
      <c r="AA398" s="88">
        <v>0</v>
      </c>
      <c r="AB398" s="88">
        <v>1</v>
      </c>
      <c r="AC398" s="88">
        <v>0</v>
      </c>
      <c r="AD398" s="88">
        <v>0</v>
      </c>
      <c r="AE398" s="88" t="s">
        <v>1133</v>
      </c>
      <c r="AF398" s="88">
        <v>0</v>
      </c>
      <c r="AG398" s="88">
        <v>0</v>
      </c>
      <c r="AH398" s="88" t="s">
        <v>1133</v>
      </c>
      <c r="AI398" s="88" t="s">
        <v>1133</v>
      </c>
      <c r="AJ398" s="88" t="s">
        <v>1133</v>
      </c>
      <c r="AK398" s="88">
        <v>2</v>
      </c>
      <c r="AL398" s="88">
        <v>20</v>
      </c>
      <c r="AM398" s="88">
        <v>9</v>
      </c>
      <c r="AN398" s="88">
        <v>0</v>
      </c>
      <c r="AO398" s="88">
        <v>1</v>
      </c>
      <c r="AP398" s="88" t="s">
        <v>1134</v>
      </c>
      <c r="AQ398" s="88" t="s">
        <v>1133</v>
      </c>
      <c r="AR398" s="88">
        <v>0</v>
      </c>
      <c r="AS398" s="88"/>
      <c r="AT398" s="88"/>
      <c r="AU398" s="88">
        <v>0</v>
      </c>
      <c r="AV398" s="88" t="s">
        <v>1133</v>
      </c>
      <c r="AW398" s="88" t="s">
        <v>1133</v>
      </c>
      <c r="AX398" s="88">
        <v>0</v>
      </c>
      <c r="AY398" s="88">
        <v>0</v>
      </c>
      <c r="AZ398" s="88">
        <v>0</v>
      </c>
      <c r="BA398" s="88">
        <v>0</v>
      </c>
      <c r="BB398" s="88" t="s">
        <v>0</v>
      </c>
    </row>
    <row r="399" spans="1:54">
      <c r="A399" s="88">
        <v>399</v>
      </c>
      <c r="B399" s="88">
        <v>399</v>
      </c>
      <c r="C399" s="88"/>
      <c r="D399" s="88" t="s">
        <v>1202</v>
      </c>
      <c r="E399" s="88">
        <v>0</v>
      </c>
      <c r="F399" s="88">
        <v>1162</v>
      </c>
      <c r="G399" s="88">
        <v>1</v>
      </c>
      <c r="H399" s="88">
        <v>1</v>
      </c>
      <c r="I399" s="88">
        <v>1</v>
      </c>
      <c r="J399" s="88">
        <v>0</v>
      </c>
      <c r="K399" s="88">
        <v>0</v>
      </c>
      <c r="L399" s="88">
        <v>1</v>
      </c>
      <c r="M399" s="88">
        <v>6</v>
      </c>
      <c r="N399" s="88">
        <v>34</v>
      </c>
      <c r="O399" s="88">
        <v>1</v>
      </c>
      <c r="P399" s="88">
        <v>1</v>
      </c>
      <c r="Q399" s="88">
        <v>1</v>
      </c>
      <c r="R399" s="88">
        <v>20</v>
      </c>
      <c r="S399" s="88">
        <v>10</v>
      </c>
      <c r="T399" s="88">
        <v>0</v>
      </c>
      <c r="U399" s="88">
        <v>0</v>
      </c>
      <c r="V399" s="88">
        <v>0</v>
      </c>
      <c r="W399" s="88">
        <v>0</v>
      </c>
      <c r="X399" s="88">
        <v>20</v>
      </c>
      <c r="Y399" s="88">
        <v>0</v>
      </c>
      <c r="Z399" s="88">
        <v>10</v>
      </c>
      <c r="AA399" s="88">
        <v>0</v>
      </c>
      <c r="AB399" s="88">
        <v>1</v>
      </c>
      <c r="AC399" s="88">
        <v>0</v>
      </c>
      <c r="AD399" s="88">
        <v>0</v>
      </c>
      <c r="AE399" s="88" t="s">
        <v>1133</v>
      </c>
      <c r="AF399" s="88">
        <v>0</v>
      </c>
      <c r="AG399" s="88">
        <v>0</v>
      </c>
      <c r="AH399" s="88" t="s">
        <v>1133</v>
      </c>
      <c r="AI399" s="88" t="s">
        <v>1133</v>
      </c>
      <c r="AJ399" s="88" t="s">
        <v>1133</v>
      </c>
      <c r="AK399" s="88">
        <v>2</v>
      </c>
      <c r="AL399" s="88">
        <v>20</v>
      </c>
      <c r="AM399" s="88">
        <v>9</v>
      </c>
      <c r="AN399" s="88">
        <v>0</v>
      </c>
      <c r="AO399" s="88">
        <v>1</v>
      </c>
      <c r="AP399" s="88" t="s">
        <v>1134</v>
      </c>
      <c r="AQ399" s="88" t="s">
        <v>1133</v>
      </c>
      <c r="AR399" s="88">
        <v>0</v>
      </c>
      <c r="AS399" s="88"/>
      <c r="AT399" s="88"/>
      <c r="AU399" s="88">
        <v>0</v>
      </c>
      <c r="AV399" s="88" t="s">
        <v>1133</v>
      </c>
      <c r="AW399" s="88" t="s">
        <v>1133</v>
      </c>
      <c r="AX399" s="88">
        <v>0</v>
      </c>
      <c r="AY399" s="88">
        <v>0</v>
      </c>
      <c r="AZ399" s="88">
        <v>0</v>
      </c>
      <c r="BA399" s="88">
        <v>0</v>
      </c>
      <c r="BB399" s="88" t="s">
        <v>0</v>
      </c>
    </row>
    <row r="400" spans="1:54">
      <c r="A400" s="88">
        <v>400</v>
      </c>
      <c r="B400" s="88">
        <v>400</v>
      </c>
      <c r="C400" s="88"/>
      <c r="D400" s="88" t="s">
        <v>1203</v>
      </c>
      <c r="E400" s="88">
        <v>0</v>
      </c>
      <c r="F400" s="88">
        <v>1162</v>
      </c>
      <c r="G400" s="88">
        <v>1</v>
      </c>
      <c r="H400" s="88">
        <v>1</v>
      </c>
      <c r="I400" s="88">
        <v>1</v>
      </c>
      <c r="J400" s="88">
        <v>0</v>
      </c>
      <c r="K400" s="88">
        <v>0</v>
      </c>
      <c r="L400" s="88">
        <v>1</v>
      </c>
      <c r="M400" s="88">
        <v>8</v>
      </c>
      <c r="N400" s="88">
        <v>34</v>
      </c>
      <c r="O400" s="88">
        <v>1</v>
      </c>
      <c r="P400" s="88">
        <v>1</v>
      </c>
      <c r="Q400" s="88">
        <v>1</v>
      </c>
      <c r="R400" s="88">
        <v>20</v>
      </c>
      <c r="S400" s="88">
        <v>10</v>
      </c>
      <c r="T400" s="88">
        <v>0</v>
      </c>
      <c r="U400" s="88">
        <v>0</v>
      </c>
      <c r="V400" s="88">
        <v>0</v>
      </c>
      <c r="W400" s="88">
        <v>0</v>
      </c>
      <c r="X400" s="88">
        <v>20</v>
      </c>
      <c r="Y400" s="88">
        <v>0</v>
      </c>
      <c r="Z400" s="88">
        <v>10</v>
      </c>
      <c r="AA400" s="88">
        <v>0</v>
      </c>
      <c r="AB400" s="88">
        <v>1</v>
      </c>
      <c r="AC400" s="88">
        <v>0</v>
      </c>
      <c r="AD400" s="88">
        <v>0</v>
      </c>
      <c r="AE400" s="88" t="s">
        <v>1133</v>
      </c>
      <c r="AF400" s="88">
        <v>0</v>
      </c>
      <c r="AG400" s="88">
        <v>0</v>
      </c>
      <c r="AH400" s="88" t="s">
        <v>1133</v>
      </c>
      <c r="AI400" s="88" t="s">
        <v>1133</v>
      </c>
      <c r="AJ400" s="88" t="s">
        <v>1133</v>
      </c>
      <c r="AK400" s="88">
        <v>2</v>
      </c>
      <c r="AL400" s="88">
        <v>20</v>
      </c>
      <c r="AM400" s="88">
        <v>9</v>
      </c>
      <c r="AN400" s="88">
        <v>0</v>
      </c>
      <c r="AO400" s="88">
        <v>1</v>
      </c>
      <c r="AP400" s="88" t="s">
        <v>1134</v>
      </c>
      <c r="AQ400" s="88" t="s">
        <v>1133</v>
      </c>
      <c r="AR400" s="88">
        <v>0</v>
      </c>
      <c r="AS400" s="88"/>
      <c r="AT400" s="88"/>
      <c r="AU400" s="88">
        <v>0</v>
      </c>
      <c r="AV400" s="88" t="s">
        <v>1133</v>
      </c>
      <c r="AW400" s="88" t="s">
        <v>1133</v>
      </c>
      <c r="AX400" s="88">
        <v>0</v>
      </c>
      <c r="AY400" s="88">
        <v>0</v>
      </c>
      <c r="AZ400" s="88">
        <v>0</v>
      </c>
      <c r="BA400" s="88">
        <v>0</v>
      </c>
      <c r="BB400" s="88" t="s">
        <v>0</v>
      </c>
    </row>
    <row r="401" spans="1:54">
      <c r="A401" s="88">
        <v>401</v>
      </c>
      <c r="B401" s="88">
        <v>401</v>
      </c>
      <c r="C401" s="88"/>
      <c r="D401" s="88" t="s">
        <v>1204</v>
      </c>
      <c r="E401" s="88">
        <v>0</v>
      </c>
      <c r="F401" s="88">
        <v>1162</v>
      </c>
      <c r="G401" s="88">
        <v>1</v>
      </c>
      <c r="H401" s="88">
        <v>1</v>
      </c>
      <c r="I401" s="88">
        <v>1</v>
      </c>
      <c r="J401" s="88">
        <v>0</v>
      </c>
      <c r="K401" s="88">
        <v>0</v>
      </c>
      <c r="L401" s="88">
        <v>1</v>
      </c>
      <c r="M401" s="88">
        <v>10</v>
      </c>
      <c r="N401" s="88">
        <v>34</v>
      </c>
      <c r="O401" s="88">
        <v>1</v>
      </c>
      <c r="P401" s="88">
        <v>1</v>
      </c>
      <c r="Q401" s="88">
        <v>1</v>
      </c>
      <c r="R401" s="88">
        <v>20</v>
      </c>
      <c r="S401" s="88">
        <v>10</v>
      </c>
      <c r="T401" s="88">
        <v>0</v>
      </c>
      <c r="U401" s="88">
        <v>0</v>
      </c>
      <c r="V401" s="88">
        <v>0</v>
      </c>
      <c r="W401" s="88">
        <v>0</v>
      </c>
      <c r="X401" s="88">
        <v>20</v>
      </c>
      <c r="Y401" s="88">
        <v>0</v>
      </c>
      <c r="Z401" s="88">
        <v>10</v>
      </c>
      <c r="AA401" s="88">
        <v>0</v>
      </c>
      <c r="AB401" s="88">
        <v>1</v>
      </c>
      <c r="AC401" s="88">
        <v>0</v>
      </c>
      <c r="AD401" s="88">
        <v>0</v>
      </c>
      <c r="AE401" s="88" t="s">
        <v>1133</v>
      </c>
      <c r="AF401" s="88">
        <v>0</v>
      </c>
      <c r="AG401" s="88">
        <v>0</v>
      </c>
      <c r="AH401" s="88" t="s">
        <v>1133</v>
      </c>
      <c r="AI401" s="88" t="s">
        <v>1133</v>
      </c>
      <c r="AJ401" s="88" t="s">
        <v>1133</v>
      </c>
      <c r="AK401" s="88">
        <v>2</v>
      </c>
      <c r="AL401" s="88">
        <v>20</v>
      </c>
      <c r="AM401" s="88">
        <v>9</v>
      </c>
      <c r="AN401" s="88">
        <v>0</v>
      </c>
      <c r="AO401" s="88">
        <v>1</v>
      </c>
      <c r="AP401" s="88" t="s">
        <v>1134</v>
      </c>
      <c r="AQ401" s="88" t="s">
        <v>1133</v>
      </c>
      <c r="AR401" s="88">
        <v>0</v>
      </c>
      <c r="AS401" s="88"/>
      <c r="AT401" s="88"/>
      <c r="AU401" s="88">
        <v>0</v>
      </c>
      <c r="AV401" s="88" t="s">
        <v>1133</v>
      </c>
      <c r="AW401" s="88" t="s">
        <v>1133</v>
      </c>
      <c r="AX401" s="88">
        <v>0</v>
      </c>
      <c r="AY401" s="88">
        <v>0</v>
      </c>
      <c r="AZ401" s="88">
        <v>0</v>
      </c>
      <c r="BA401" s="88">
        <v>0</v>
      </c>
      <c r="BB401" s="88" t="s">
        <v>0</v>
      </c>
    </row>
    <row r="402" spans="1:54">
      <c r="A402" s="88">
        <v>402</v>
      </c>
      <c r="B402" s="88">
        <v>402</v>
      </c>
      <c r="C402" s="88"/>
      <c r="D402" s="88" t="s">
        <v>1205</v>
      </c>
      <c r="E402" s="88">
        <v>0</v>
      </c>
      <c r="F402" s="88">
        <v>1162</v>
      </c>
      <c r="G402" s="88">
        <v>1</v>
      </c>
      <c r="H402" s="88">
        <v>1</v>
      </c>
      <c r="I402" s="88">
        <v>1</v>
      </c>
      <c r="J402" s="88">
        <v>0</v>
      </c>
      <c r="K402" s="88">
        <v>0</v>
      </c>
      <c r="L402" s="88">
        <v>1</v>
      </c>
      <c r="M402" s="88">
        <v>12</v>
      </c>
      <c r="N402" s="88">
        <v>34</v>
      </c>
      <c r="O402" s="88">
        <v>1</v>
      </c>
      <c r="P402" s="88">
        <v>1</v>
      </c>
      <c r="Q402" s="88">
        <v>1</v>
      </c>
      <c r="R402" s="88">
        <v>20</v>
      </c>
      <c r="S402" s="88">
        <v>10</v>
      </c>
      <c r="T402" s="88">
        <v>0</v>
      </c>
      <c r="U402" s="88">
        <v>0</v>
      </c>
      <c r="V402" s="88">
        <v>0</v>
      </c>
      <c r="W402" s="88">
        <v>0</v>
      </c>
      <c r="X402" s="88">
        <v>20</v>
      </c>
      <c r="Y402" s="88">
        <v>0</v>
      </c>
      <c r="Z402" s="88">
        <v>10</v>
      </c>
      <c r="AA402" s="88">
        <v>0</v>
      </c>
      <c r="AB402" s="88">
        <v>1</v>
      </c>
      <c r="AC402" s="88">
        <v>0</v>
      </c>
      <c r="AD402" s="88">
        <v>0</v>
      </c>
      <c r="AE402" s="88" t="s">
        <v>1133</v>
      </c>
      <c r="AF402" s="88">
        <v>0</v>
      </c>
      <c r="AG402" s="88">
        <v>0</v>
      </c>
      <c r="AH402" s="88" t="s">
        <v>1133</v>
      </c>
      <c r="AI402" s="88" t="s">
        <v>1133</v>
      </c>
      <c r="AJ402" s="88" t="s">
        <v>1133</v>
      </c>
      <c r="AK402" s="88">
        <v>2</v>
      </c>
      <c r="AL402" s="88">
        <v>20</v>
      </c>
      <c r="AM402" s="88">
        <v>9</v>
      </c>
      <c r="AN402" s="88">
        <v>0</v>
      </c>
      <c r="AO402" s="88">
        <v>1</v>
      </c>
      <c r="AP402" s="88" t="s">
        <v>1134</v>
      </c>
      <c r="AQ402" s="88" t="s">
        <v>1133</v>
      </c>
      <c r="AR402" s="88">
        <v>0</v>
      </c>
      <c r="AS402" s="88"/>
      <c r="AT402" s="88"/>
      <c r="AU402" s="88">
        <v>0</v>
      </c>
      <c r="AV402" s="88" t="s">
        <v>1133</v>
      </c>
      <c r="AW402" s="88" t="s">
        <v>1133</v>
      </c>
      <c r="AX402" s="88">
        <v>0</v>
      </c>
      <c r="AY402" s="88">
        <v>0</v>
      </c>
      <c r="AZ402" s="88">
        <v>0</v>
      </c>
      <c r="BA402" s="88">
        <v>0</v>
      </c>
      <c r="BB402" s="88" t="s">
        <v>0</v>
      </c>
    </row>
    <row r="403" spans="1:54">
      <c r="A403" s="88">
        <v>403</v>
      </c>
      <c r="B403" s="88">
        <v>403</v>
      </c>
      <c r="C403" s="88"/>
      <c r="D403" s="88" t="s">
        <v>1206</v>
      </c>
      <c r="E403" s="88">
        <v>0</v>
      </c>
      <c r="F403" s="88">
        <v>1162</v>
      </c>
      <c r="G403" s="88">
        <v>1</v>
      </c>
      <c r="H403" s="88">
        <v>1</v>
      </c>
      <c r="I403" s="88">
        <v>1</v>
      </c>
      <c r="J403" s="88">
        <v>0</v>
      </c>
      <c r="K403" s="88">
        <v>0</v>
      </c>
      <c r="L403" s="88">
        <v>1</v>
      </c>
      <c r="M403" s="88">
        <v>20</v>
      </c>
      <c r="N403" s="88">
        <v>34</v>
      </c>
      <c r="O403" s="88">
        <v>1</v>
      </c>
      <c r="P403" s="88">
        <v>1</v>
      </c>
      <c r="Q403" s="88">
        <v>1</v>
      </c>
      <c r="R403" s="88">
        <v>20</v>
      </c>
      <c r="S403" s="88">
        <v>10</v>
      </c>
      <c r="T403" s="88">
        <v>0</v>
      </c>
      <c r="U403" s="88">
        <v>0</v>
      </c>
      <c r="V403" s="88">
        <v>0</v>
      </c>
      <c r="W403" s="88">
        <v>0</v>
      </c>
      <c r="X403" s="88">
        <v>20</v>
      </c>
      <c r="Y403" s="88">
        <v>0</v>
      </c>
      <c r="Z403" s="88">
        <v>10</v>
      </c>
      <c r="AA403" s="88">
        <v>0</v>
      </c>
      <c r="AB403" s="88">
        <v>1</v>
      </c>
      <c r="AC403" s="88">
        <v>0</v>
      </c>
      <c r="AD403" s="88">
        <v>0</v>
      </c>
      <c r="AE403" s="88" t="s">
        <v>1133</v>
      </c>
      <c r="AF403" s="88">
        <v>0</v>
      </c>
      <c r="AG403" s="88">
        <v>0</v>
      </c>
      <c r="AH403" s="88" t="s">
        <v>1133</v>
      </c>
      <c r="AI403" s="88" t="s">
        <v>1133</v>
      </c>
      <c r="AJ403" s="88" t="s">
        <v>1133</v>
      </c>
      <c r="AK403" s="88">
        <v>2</v>
      </c>
      <c r="AL403" s="88">
        <v>20</v>
      </c>
      <c r="AM403" s="88">
        <v>9</v>
      </c>
      <c r="AN403" s="88">
        <v>0</v>
      </c>
      <c r="AO403" s="88">
        <v>1</v>
      </c>
      <c r="AP403" s="88" t="s">
        <v>1134</v>
      </c>
      <c r="AQ403" s="88" t="s">
        <v>1133</v>
      </c>
      <c r="AR403" s="88">
        <v>0</v>
      </c>
      <c r="AS403" s="88"/>
      <c r="AT403" s="88"/>
      <c r="AU403" s="88">
        <v>0</v>
      </c>
      <c r="AV403" s="88" t="s">
        <v>1133</v>
      </c>
      <c r="AW403" s="88" t="s">
        <v>1133</v>
      </c>
      <c r="AX403" s="88">
        <v>0</v>
      </c>
      <c r="AY403" s="88">
        <v>0</v>
      </c>
      <c r="AZ403" s="88">
        <v>0</v>
      </c>
      <c r="BA403" s="88">
        <v>0</v>
      </c>
      <c r="BB403" s="88" t="s">
        <v>0</v>
      </c>
    </row>
    <row r="404" spans="1:54">
      <c r="A404" s="88">
        <v>404</v>
      </c>
      <c r="B404" s="88">
        <v>404</v>
      </c>
      <c r="C404" s="88"/>
      <c r="D404" s="88" t="s">
        <v>1207</v>
      </c>
      <c r="E404" s="88">
        <v>0</v>
      </c>
      <c r="F404" s="88">
        <v>1162</v>
      </c>
      <c r="G404" s="88">
        <v>1</v>
      </c>
      <c r="H404" s="88">
        <v>1</v>
      </c>
      <c r="I404" s="88">
        <v>1</v>
      </c>
      <c r="J404" s="88">
        <v>0</v>
      </c>
      <c r="K404" s="88">
        <v>0</v>
      </c>
      <c r="L404" s="88">
        <v>1</v>
      </c>
      <c r="M404" s="88">
        <v>25</v>
      </c>
      <c r="N404" s="88">
        <v>34</v>
      </c>
      <c r="O404" s="88">
        <v>1</v>
      </c>
      <c r="P404" s="88">
        <v>1</v>
      </c>
      <c r="Q404" s="88">
        <v>1</v>
      </c>
      <c r="R404" s="88">
        <v>20</v>
      </c>
      <c r="S404" s="88">
        <v>10</v>
      </c>
      <c r="T404" s="88">
        <v>0</v>
      </c>
      <c r="U404" s="88">
        <v>0</v>
      </c>
      <c r="V404" s="88">
        <v>0</v>
      </c>
      <c r="W404" s="88">
        <v>0</v>
      </c>
      <c r="X404" s="88">
        <v>20</v>
      </c>
      <c r="Y404" s="88">
        <v>0</v>
      </c>
      <c r="Z404" s="88">
        <v>10</v>
      </c>
      <c r="AA404" s="88">
        <v>0</v>
      </c>
      <c r="AB404" s="88">
        <v>1</v>
      </c>
      <c r="AC404" s="88">
        <v>0</v>
      </c>
      <c r="AD404" s="88">
        <v>0</v>
      </c>
      <c r="AE404" s="88" t="s">
        <v>1133</v>
      </c>
      <c r="AF404" s="88">
        <v>0</v>
      </c>
      <c r="AG404" s="88">
        <v>0</v>
      </c>
      <c r="AH404" s="88" t="s">
        <v>1133</v>
      </c>
      <c r="AI404" s="88" t="s">
        <v>1133</v>
      </c>
      <c r="AJ404" s="88" t="s">
        <v>1133</v>
      </c>
      <c r="AK404" s="88">
        <v>2</v>
      </c>
      <c r="AL404" s="88">
        <v>20</v>
      </c>
      <c r="AM404" s="88">
        <v>9</v>
      </c>
      <c r="AN404" s="88">
        <v>0</v>
      </c>
      <c r="AO404" s="88">
        <v>1</v>
      </c>
      <c r="AP404" s="88" t="s">
        <v>1134</v>
      </c>
      <c r="AQ404" s="88" t="s">
        <v>1133</v>
      </c>
      <c r="AR404" s="88">
        <v>0</v>
      </c>
      <c r="AS404" s="88"/>
      <c r="AT404" s="88"/>
      <c r="AU404" s="88">
        <v>0</v>
      </c>
      <c r="AV404" s="88" t="s">
        <v>1133</v>
      </c>
      <c r="AW404" s="88" t="s">
        <v>1133</v>
      </c>
      <c r="AX404" s="88">
        <v>0</v>
      </c>
      <c r="AY404" s="88">
        <v>0</v>
      </c>
      <c r="AZ404" s="88">
        <v>0</v>
      </c>
      <c r="BA404" s="88">
        <v>0</v>
      </c>
      <c r="BB404" s="88" t="s">
        <v>0</v>
      </c>
    </row>
    <row r="405" spans="1:54">
      <c r="A405" s="88">
        <v>405</v>
      </c>
      <c r="B405" s="88">
        <v>405</v>
      </c>
      <c r="C405" s="88"/>
      <c r="D405" s="88" t="s">
        <v>1208</v>
      </c>
      <c r="E405" s="88">
        <v>0</v>
      </c>
      <c r="F405" s="88">
        <v>1162</v>
      </c>
      <c r="G405" s="88">
        <v>1</v>
      </c>
      <c r="H405" s="88">
        <v>1</v>
      </c>
      <c r="I405" s="88">
        <v>1</v>
      </c>
      <c r="J405" s="88">
        <v>0</v>
      </c>
      <c r="K405" s="88">
        <v>0</v>
      </c>
      <c r="L405" s="88">
        <v>1</v>
      </c>
      <c r="M405" s="88">
        <v>30</v>
      </c>
      <c r="N405" s="88">
        <v>34</v>
      </c>
      <c r="O405" s="88">
        <v>1</v>
      </c>
      <c r="P405" s="88">
        <v>1</v>
      </c>
      <c r="Q405" s="88">
        <v>1</v>
      </c>
      <c r="R405" s="88">
        <v>20</v>
      </c>
      <c r="S405" s="88">
        <v>10</v>
      </c>
      <c r="T405" s="88">
        <v>0</v>
      </c>
      <c r="U405" s="88">
        <v>0</v>
      </c>
      <c r="V405" s="88">
        <v>0</v>
      </c>
      <c r="W405" s="88">
        <v>0</v>
      </c>
      <c r="X405" s="88">
        <v>20</v>
      </c>
      <c r="Y405" s="88">
        <v>0</v>
      </c>
      <c r="Z405" s="88">
        <v>10</v>
      </c>
      <c r="AA405" s="88">
        <v>0</v>
      </c>
      <c r="AB405" s="88">
        <v>1</v>
      </c>
      <c r="AC405" s="88">
        <v>0</v>
      </c>
      <c r="AD405" s="88">
        <v>0</v>
      </c>
      <c r="AE405" s="88" t="s">
        <v>1133</v>
      </c>
      <c r="AF405" s="88">
        <v>0</v>
      </c>
      <c r="AG405" s="88">
        <v>0</v>
      </c>
      <c r="AH405" s="88" t="s">
        <v>1133</v>
      </c>
      <c r="AI405" s="88" t="s">
        <v>1133</v>
      </c>
      <c r="AJ405" s="88" t="s">
        <v>1133</v>
      </c>
      <c r="AK405" s="88">
        <v>2</v>
      </c>
      <c r="AL405" s="88">
        <v>20</v>
      </c>
      <c r="AM405" s="88">
        <v>9</v>
      </c>
      <c r="AN405" s="88">
        <v>0</v>
      </c>
      <c r="AO405" s="88">
        <v>1</v>
      </c>
      <c r="AP405" s="88" t="s">
        <v>1134</v>
      </c>
      <c r="AQ405" s="88" t="s">
        <v>1133</v>
      </c>
      <c r="AR405" s="88">
        <v>0</v>
      </c>
      <c r="AS405" s="88"/>
      <c r="AT405" s="88"/>
      <c r="AU405" s="88">
        <v>0</v>
      </c>
      <c r="AV405" s="88" t="s">
        <v>1133</v>
      </c>
      <c r="AW405" s="88" t="s">
        <v>1133</v>
      </c>
      <c r="AX405" s="88">
        <v>0</v>
      </c>
      <c r="AY405" s="88">
        <v>0</v>
      </c>
      <c r="AZ405" s="88">
        <v>0</v>
      </c>
      <c r="BA405" s="88">
        <v>0</v>
      </c>
      <c r="BB405" s="88" t="s">
        <v>0</v>
      </c>
    </row>
    <row r="406" spans="1:54">
      <c r="A406" s="88">
        <v>406</v>
      </c>
      <c r="B406" s="88">
        <v>406</v>
      </c>
      <c r="C406" s="88"/>
      <c r="D406" s="88" t="s">
        <v>1209</v>
      </c>
      <c r="E406" s="88">
        <v>0</v>
      </c>
      <c r="F406" s="88">
        <v>1162</v>
      </c>
      <c r="G406" s="88">
        <v>1</v>
      </c>
      <c r="H406" s="88">
        <v>1</v>
      </c>
      <c r="I406" s="88">
        <v>1</v>
      </c>
      <c r="J406" s="88">
        <v>0</v>
      </c>
      <c r="K406" s="88">
        <v>0</v>
      </c>
      <c r="L406" s="88">
        <v>1</v>
      </c>
      <c r="M406" s="88">
        <v>35</v>
      </c>
      <c r="N406" s="88">
        <v>34</v>
      </c>
      <c r="O406" s="88">
        <v>1</v>
      </c>
      <c r="P406" s="88">
        <v>1</v>
      </c>
      <c r="Q406" s="88">
        <v>1</v>
      </c>
      <c r="R406" s="88">
        <v>20</v>
      </c>
      <c r="S406" s="88">
        <v>10</v>
      </c>
      <c r="T406" s="88">
        <v>0</v>
      </c>
      <c r="U406" s="88">
        <v>0</v>
      </c>
      <c r="V406" s="88">
        <v>0</v>
      </c>
      <c r="W406" s="88">
        <v>0</v>
      </c>
      <c r="X406" s="88">
        <v>20</v>
      </c>
      <c r="Y406" s="88">
        <v>0</v>
      </c>
      <c r="Z406" s="88">
        <v>10</v>
      </c>
      <c r="AA406" s="88">
        <v>0</v>
      </c>
      <c r="AB406" s="88">
        <v>1</v>
      </c>
      <c r="AC406" s="88">
        <v>0</v>
      </c>
      <c r="AD406" s="88">
        <v>0</v>
      </c>
      <c r="AE406" s="88" t="s">
        <v>1133</v>
      </c>
      <c r="AF406" s="88">
        <v>0</v>
      </c>
      <c r="AG406" s="88">
        <v>0</v>
      </c>
      <c r="AH406" s="88" t="s">
        <v>1133</v>
      </c>
      <c r="AI406" s="88" t="s">
        <v>1133</v>
      </c>
      <c r="AJ406" s="88" t="s">
        <v>1133</v>
      </c>
      <c r="AK406" s="88">
        <v>2</v>
      </c>
      <c r="AL406" s="88">
        <v>20</v>
      </c>
      <c r="AM406" s="88">
        <v>9</v>
      </c>
      <c r="AN406" s="88">
        <v>0</v>
      </c>
      <c r="AO406" s="88">
        <v>1</v>
      </c>
      <c r="AP406" s="88" t="s">
        <v>1134</v>
      </c>
      <c r="AQ406" s="88" t="s">
        <v>1133</v>
      </c>
      <c r="AR406" s="88">
        <v>0</v>
      </c>
      <c r="AS406" s="88"/>
      <c r="AT406" s="88"/>
      <c r="AU406" s="88">
        <v>0</v>
      </c>
      <c r="AV406" s="88" t="s">
        <v>1133</v>
      </c>
      <c r="AW406" s="88" t="s">
        <v>1133</v>
      </c>
      <c r="AX406" s="88">
        <v>0</v>
      </c>
      <c r="AY406" s="88">
        <v>0</v>
      </c>
      <c r="AZ406" s="88">
        <v>0</v>
      </c>
      <c r="BA406" s="88">
        <v>0</v>
      </c>
      <c r="BB406" s="88" t="s">
        <v>0</v>
      </c>
    </row>
    <row r="407" spans="1:54">
      <c r="A407" s="88">
        <v>407</v>
      </c>
      <c r="B407" s="88">
        <v>407</v>
      </c>
      <c r="C407" s="88"/>
      <c r="D407" s="88" t="s">
        <v>1210</v>
      </c>
      <c r="E407" s="88">
        <v>0</v>
      </c>
      <c r="F407" s="88">
        <v>1163</v>
      </c>
      <c r="G407" s="88">
        <v>1</v>
      </c>
      <c r="H407" s="88">
        <v>2</v>
      </c>
      <c r="I407" s="88">
        <v>2</v>
      </c>
      <c r="J407" s="88">
        <v>0</v>
      </c>
      <c r="K407" s="88">
        <v>0</v>
      </c>
      <c r="L407" s="88">
        <v>1</v>
      </c>
      <c r="M407" s="88">
        <v>50</v>
      </c>
      <c r="N407" s="88">
        <v>34</v>
      </c>
      <c r="O407" s="88">
        <v>1</v>
      </c>
      <c r="P407" s="88">
        <v>1</v>
      </c>
      <c r="Q407" s="88">
        <v>1</v>
      </c>
      <c r="R407" s="88">
        <v>20</v>
      </c>
      <c r="S407" s="88">
        <v>10</v>
      </c>
      <c r="T407" s="88">
        <v>0</v>
      </c>
      <c r="U407" s="88">
        <v>0</v>
      </c>
      <c r="V407" s="88">
        <v>0</v>
      </c>
      <c r="W407" s="88">
        <v>0</v>
      </c>
      <c r="X407" s="88">
        <v>20</v>
      </c>
      <c r="Y407" s="88">
        <v>0</v>
      </c>
      <c r="Z407" s="88">
        <v>10</v>
      </c>
      <c r="AA407" s="88">
        <v>0</v>
      </c>
      <c r="AB407" s="88">
        <v>1</v>
      </c>
      <c r="AC407" s="88">
        <v>0</v>
      </c>
      <c r="AD407" s="88">
        <v>1</v>
      </c>
      <c r="AE407" s="88" t="s">
        <v>1133</v>
      </c>
      <c r="AF407" s="88">
        <v>0</v>
      </c>
      <c r="AG407" s="88">
        <v>0</v>
      </c>
      <c r="AH407" s="88" t="s">
        <v>1133</v>
      </c>
      <c r="AI407" s="88" t="s">
        <v>1133</v>
      </c>
      <c r="AJ407" s="88" t="s">
        <v>1133</v>
      </c>
      <c r="AK407" s="88">
        <v>2</v>
      </c>
      <c r="AL407" s="88">
        <v>0</v>
      </c>
      <c r="AM407" s="88">
        <v>9</v>
      </c>
      <c r="AN407" s="88">
        <v>0</v>
      </c>
      <c r="AO407" s="88">
        <v>1</v>
      </c>
      <c r="AP407" s="88" t="s">
        <v>1134</v>
      </c>
      <c r="AQ407" s="88" t="s">
        <v>1133</v>
      </c>
      <c r="AR407" s="88">
        <v>0</v>
      </c>
      <c r="AS407" s="88"/>
      <c r="AT407" s="88"/>
      <c r="AU407" s="88">
        <v>0</v>
      </c>
      <c r="AV407" s="88" t="s">
        <v>1133</v>
      </c>
      <c r="AW407" s="88" t="s">
        <v>1133</v>
      </c>
      <c r="AX407" s="88">
        <v>0</v>
      </c>
      <c r="AY407" s="88">
        <v>0</v>
      </c>
      <c r="AZ407" s="88">
        <v>0</v>
      </c>
      <c r="BA407" s="88">
        <v>0</v>
      </c>
      <c r="BB407" s="88" t="s">
        <v>0</v>
      </c>
    </row>
    <row r="408" spans="1:54">
      <c r="A408" s="88">
        <v>408</v>
      </c>
      <c r="B408" s="88">
        <v>408</v>
      </c>
      <c r="C408" s="88"/>
      <c r="D408" s="88" t="s">
        <v>1211</v>
      </c>
      <c r="E408" s="88">
        <v>0</v>
      </c>
      <c r="F408" s="88">
        <v>1166</v>
      </c>
      <c r="G408" s="88">
        <v>1</v>
      </c>
      <c r="H408" s="88">
        <v>1</v>
      </c>
      <c r="I408" s="88">
        <v>1</v>
      </c>
      <c r="J408" s="88">
        <v>0</v>
      </c>
      <c r="K408" s="88">
        <v>0</v>
      </c>
      <c r="L408" s="88">
        <v>1</v>
      </c>
      <c r="M408" s="88">
        <v>2</v>
      </c>
      <c r="N408" s="88">
        <v>34</v>
      </c>
      <c r="O408" s="88">
        <v>1</v>
      </c>
      <c r="P408" s="88">
        <v>1</v>
      </c>
      <c r="Q408" s="88">
        <v>1</v>
      </c>
      <c r="R408" s="88">
        <v>20</v>
      </c>
      <c r="S408" s="88">
        <v>10</v>
      </c>
      <c r="T408" s="88">
        <v>0</v>
      </c>
      <c r="U408" s="88">
        <v>0</v>
      </c>
      <c r="V408" s="88">
        <v>0</v>
      </c>
      <c r="W408" s="88">
        <v>0</v>
      </c>
      <c r="X408" s="88">
        <v>20</v>
      </c>
      <c r="Y408" s="88">
        <v>0</v>
      </c>
      <c r="Z408" s="88">
        <v>10</v>
      </c>
      <c r="AA408" s="88">
        <v>0</v>
      </c>
      <c r="AB408" s="88">
        <v>1</v>
      </c>
      <c r="AC408" s="88">
        <v>0</v>
      </c>
      <c r="AD408" s="88">
        <v>0</v>
      </c>
      <c r="AE408" s="88" t="s">
        <v>1133</v>
      </c>
      <c r="AF408" s="88">
        <v>0</v>
      </c>
      <c r="AG408" s="88">
        <v>0</v>
      </c>
      <c r="AH408" s="88" t="s">
        <v>1133</v>
      </c>
      <c r="AI408" s="88" t="s">
        <v>1133</v>
      </c>
      <c r="AJ408" s="88" t="s">
        <v>1133</v>
      </c>
      <c r="AK408" s="88">
        <v>2</v>
      </c>
      <c r="AL408" s="88">
        <v>20</v>
      </c>
      <c r="AM408" s="88">
        <v>9</v>
      </c>
      <c r="AN408" s="88">
        <v>0</v>
      </c>
      <c r="AO408" s="88">
        <v>1</v>
      </c>
      <c r="AP408" s="88" t="s">
        <v>1134</v>
      </c>
      <c r="AQ408" s="88" t="s">
        <v>1133</v>
      </c>
      <c r="AR408" s="88">
        <v>0</v>
      </c>
      <c r="AS408" s="88"/>
      <c r="AT408" s="88"/>
      <c r="AU408" s="88">
        <v>0</v>
      </c>
      <c r="AV408" s="88" t="s">
        <v>1133</v>
      </c>
      <c r="AW408" s="88" t="s">
        <v>1133</v>
      </c>
      <c r="AX408" s="88">
        <v>0</v>
      </c>
      <c r="AY408" s="88">
        <v>0</v>
      </c>
      <c r="AZ408" s="88">
        <v>0</v>
      </c>
      <c r="BA408" s="88">
        <v>0</v>
      </c>
      <c r="BB408" s="88" t="s">
        <v>0</v>
      </c>
    </row>
    <row r="409" spans="1:54">
      <c r="A409" s="88">
        <v>409</v>
      </c>
      <c r="B409" s="88">
        <v>409</v>
      </c>
      <c r="C409" s="88"/>
      <c r="D409" s="88" t="s">
        <v>1212</v>
      </c>
      <c r="E409" s="88">
        <v>0</v>
      </c>
      <c r="F409" s="88">
        <v>1166</v>
      </c>
      <c r="G409" s="88">
        <v>1</v>
      </c>
      <c r="H409" s="88">
        <v>1</v>
      </c>
      <c r="I409" s="88">
        <v>1</v>
      </c>
      <c r="J409" s="88">
        <v>0</v>
      </c>
      <c r="K409" s="88">
        <v>0</v>
      </c>
      <c r="L409" s="88">
        <v>1</v>
      </c>
      <c r="M409" s="88">
        <v>3.5</v>
      </c>
      <c r="N409" s="88">
        <v>34</v>
      </c>
      <c r="O409" s="88">
        <v>1</v>
      </c>
      <c r="P409" s="88">
        <v>1</v>
      </c>
      <c r="Q409" s="88">
        <v>1</v>
      </c>
      <c r="R409" s="88">
        <v>20</v>
      </c>
      <c r="S409" s="88">
        <v>10</v>
      </c>
      <c r="T409" s="88">
        <v>0</v>
      </c>
      <c r="U409" s="88">
        <v>0</v>
      </c>
      <c r="V409" s="88">
        <v>0</v>
      </c>
      <c r="W409" s="88">
        <v>0</v>
      </c>
      <c r="X409" s="88">
        <v>20</v>
      </c>
      <c r="Y409" s="88">
        <v>0</v>
      </c>
      <c r="Z409" s="88">
        <v>10</v>
      </c>
      <c r="AA409" s="88">
        <v>0</v>
      </c>
      <c r="AB409" s="88">
        <v>1</v>
      </c>
      <c r="AC409" s="88">
        <v>0</v>
      </c>
      <c r="AD409" s="88">
        <v>0</v>
      </c>
      <c r="AE409" s="88" t="s">
        <v>1133</v>
      </c>
      <c r="AF409" s="88">
        <v>0</v>
      </c>
      <c r="AG409" s="88">
        <v>0</v>
      </c>
      <c r="AH409" s="88" t="s">
        <v>1133</v>
      </c>
      <c r="AI409" s="88" t="s">
        <v>1133</v>
      </c>
      <c r="AJ409" s="88" t="s">
        <v>1133</v>
      </c>
      <c r="AK409" s="88">
        <v>2</v>
      </c>
      <c r="AL409" s="88">
        <v>20</v>
      </c>
      <c r="AM409" s="88">
        <v>9</v>
      </c>
      <c r="AN409" s="88">
        <v>0</v>
      </c>
      <c r="AO409" s="88">
        <v>1</v>
      </c>
      <c r="AP409" s="88" t="s">
        <v>1134</v>
      </c>
      <c r="AQ409" s="88" t="s">
        <v>1133</v>
      </c>
      <c r="AR409" s="88">
        <v>0</v>
      </c>
      <c r="AS409" s="88"/>
      <c r="AT409" s="88"/>
      <c r="AU409" s="88">
        <v>0</v>
      </c>
      <c r="AV409" s="88" t="s">
        <v>1133</v>
      </c>
      <c r="AW409" s="88" t="s">
        <v>1133</v>
      </c>
      <c r="AX409" s="88">
        <v>0</v>
      </c>
      <c r="AY409" s="88">
        <v>0</v>
      </c>
      <c r="AZ409" s="88">
        <v>0</v>
      </c>
      <c r="BA409" s="88">
        <v>0</v>
      </c>
      <c r="BB409" s="88" t="s">
        <v>0</v>
      </c>
    </row>
    <row r="410" spans="1:54">
      <c r="A410" s="88">
        <v>410</v>
      </c>
      <c r="B410" s="88">
        <v>410</v>
      </c>
      <c r="C410" s="88"/>
      <c r="D410" s="88" t="s">
        <v>1213</v>
      </c>
      <c r="E410" s="88">
        <v>0</v>
      </c>
      <c r="F410" s="88">
        <v>1166</v>
      </c>
      <c r="G410" s="88">
        <v>1</v>
      </c>
      <c r="H410" s="88">
        <v>1</v>
      </c>
      <c r="I410" s="88">
        <v>1</v>
      </c>
      <c r="J410" s="88">
        <v>0</v>
      </c>
      <c r="K410" s="88">
        <v>0</v>
      </c>
      <c r="L410" s="88">
        <v>1</v>
      </c>
      <c r="M410" s="88">
        <v>5</v>
      </c>
      <c r="N410" s="88">
        <v>34</v>
      </c>
      <c r="O410" s="88">
        <v>1</v>
      </c>
      <c r="P410" s="88">
        <v>1</v>
      </c>
      <c r="Q410" s="88">
        <v>1</v>
      </c>
      <c r="R410" s="88">
        <v>20</v>
      </c>
      <c r="S410" s="88">
        <v>10</v>
      </c>
      <c r="T410" s="88">
        <v>0</v>
      </c>
      <c r="U410" s="88">
        <v>0</v>
      </c>
      <c r="V410" s="88">
        <v>0</v>
      </c>
      <c r="W410" s="88">
        <v>0</v>
      </c>
      <c r="X410" s="88">
        <v>20</v>
      </c>
      <c r="Y410" s="88">
        <v>0</v>
      </c>
      <c r="Z410" s="88">
        <v>10</v>
      </c>
      <c r="AA410" s="88">
        <v>0</v>
      </c>
      <c r="AB410" s="88">
        <v>1</v>
      </c>
      <c r="AC410" s="88">
        <v>0</v>
      </c>
      <c r="AD410" s="88">
        <v>0</v>
      </c>
      <c r="AE410" s="88" t="s">
        <v>1133</v>
      </c>
      <c r="AF410" s="88">
        <v>0</v>
      </c>
      <c r="AG410" s="88">
        <v>0</v>
      </c>
      <c r="AH410" s="88" t="s">
        <v>1133</v>
      </c>
      <c r="AI410" s="88" t="s">
        <v>1133</v>
      </c>
      <c r="AJ410" s="88" t="s">
        <v>1133</v>
      </c>
      <c r="AK410" s="88">
        <v>2</v>
      </c>
      <c r="AL410" s="88">
        <v>20</v>
      </c>
      <c r="AM410" s="88">
        <v>9</v>
      </c>
      <c r="AN410" s="88">
        <v>0</v>
      </c>
      <c r="AO410" s="88">
        <v>1</v>
      </c>
      <c r="AP410" s="88" t="s">
        <v>1134</v>
      </c>
      <c r="AQ410" s="88" t="s">
        <v>1133</v>
      </c>
      <c r="AR410" s="88">
        <v>0</v>
      </c>
      <c r="AS410" s="88"/>
      <c r="AT410" s="88"/>
      <c r="AU410" s="88">
        <v>0</v>
      </c>
      <c r="AV410" s="88" t="s">
        <v>1133</v>
      </c>
      <c r="AW410" s="88" t="s">
        <v>1133</v>
      </c>
      <c r="AX410" s="88">
        <v>0</v>
      </c>
      <c r="AY410" s="88">
        <v>0</v>
      </c>
      <c r="AZ410" s="88">
        <v>0</v>
      </c>
      <c r="BA410" s="88">
        <v>0</v>
      </c>
      <c r="BB410" s="88" t="s">
        <v>0</v>
      </c>
    </row>
    <row r="411" spans="1:54">
      <c r="A411" s="88">
        <v>411</v>
      </c>
      <c r="B411" s="88">
        <v>411</v>
      </c>
      <c r="C411" s="88"/>
      <c r="D411" s="88" t="s">
        <v>1214</v>
      </c>
      <c r="E411" s="88">
        <v>0</v>
      </c>
      <c r="F411" s="88">
        <v>1166</v>
      </c>
      <c r="G411" s="88">
        <v>1</v>
      </c>
      <c r="H411" s="88">
        <v>1</v>
      </c>
      <c r="I411" s="88">
        <v>1</v>
      </c>
      <c r="J411" s="88">
        <v>0</v>
      </c>
      <c r="K411" s="88">
        <v>0</v>
      </c>
      <c r="L411" s="88">
        <v>1</v>
      </c>
      <c r="M411" s="88">
        <v>10</v>
      </c>
      <c r="N411" s="88">
        <v>34</v>
      </c>
      <c r="O411" s="88">
        <v>1</v>
      </c>
      <c r="P411" s="88">
        <v>1</v>
      </c>
      <c r="Q411" s="88">
        <v>1</v>
      </c>
      <c r="R411" s="88">
        <v>20</v>
      </c>
      <c r="S411" s="88">
        <v>10</v>
      </c>
      <c r="T411" s="88">
        <v>0</v>
      </c>
      <c r="U411" s="88">
        <v>0</v>
      </c>
      <c r="V411" s="88">
        <v>0</v>
      </c>
      <c r="W411" s="88">
        <v>0</v>
      </c>
      <c r="X411" s="88">
        <v>20</v>
      </c>
      <c r="Y411" s="88">
        <v>0</v>
      </c>
      <c r="Z411" s="88">
        <v>10</v>
      </c>
      <c r="AA411" s="88">
        <v>0</v>
      </c>
      <c r="AB411" s="88">
        <v>1</v>
      </c>
      <c r="AC411" s="88">
        <v>0</v>
      </c>
      <c r="AD411" s="88">
        <v>0</v>
      </c>
      <c r="AE411" s="88" t="s">
        <v>1133</v>
      </c>
      <c r="AF411" s="88">
        <v>0</v>
      </c>
      <c r="AG411" s="88">
        <v>0</v>
      </c>
      <c r="AH411" s="88" t="s">
        <v>1133</v>
      </c>
      <c r="AI411" s="88" t="s">
        <v>1133</v>
      </c>
      <c r="AJ411" s="88" t="s">
        <v>1133</v>
      </c>
      <c r="AK411" s="88">
        <v>2</v>
      </c>
      <c r="AL411" s="88">
        <v>20</v>
      </c>
      <c r="AM411" s="88">
        <v>9</v>
      </c>
      <c r="AN411" s="88">
        <v>0</v>
      </c>
      <c r="AO411" s="88">
        <v>1</v>
      </c>
      <c r="AP411" s="88" t="s">
        <v>1134</v>
      </c>
      <c r="AQ411" s="88" t="s">
        <v>1133</v>
      </c>
      <c r="AR411" s="88">
        <v>0</v>
      </c>
      <c r="AS411" s="88"/>
      <c r="AT411" s="88"/>
      <c r="AU411" s="88">
        <v>0</v>
      </c>
      <c r="AV411" s="88" t="s">
        <v>1133</v>
      </c>
      <c r="AW411" s="88" t="s">
        <v>1133</v>
      </c>
      <c r="AX411" s="88">
        <v>0</v>
      </c>
      <c r="AY411" s="88">
        <v>0</v>
      </c>
      <c r="AZ411" s="88">
        <v>0</v>
      </c>
      <c r="BA411" s="88">
        <v>0</v>
      </c>
      <c r="BB411" s="88" t="s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1"/>
  <sheetViews>
    <sheetView topLeftCell="A395" workbookViewId="0">
      <selection activeCell="B406" sqref="B1:B1048576"/>
    </sheetView>
  </sheetViews>
  <sheetFormatPr baseColWidth="10" defaultRowHeight="15"/>
  <cols>
    <col min="2" max="2" width="58.140625" style="84" customWidth="1"/>
  </cols>
  <sheetData>
    <row r="1" spans="1:3">
      <c r="A1">
        <v>226</v>
      </c>
      <c r="B1" s="84" t="s">
        <v>225</v>
      </c>
      <c r="C1">
        <v>133.66800000000001</v>
      </c>
    </row>
    <row r="2" spans="1:3">
      <c r="A2">
        <v>242</v>
      </c>
      <c r="B2" s="84" t="s">
        <v>241</v>
      </c>
      <c r="C2">
        <v>200.50200000000001</v>
      </c>
    </row>
    <row r="3" spans="1:3">
      <c r="A3">
        <v>229</v>
      </c>
      <c r="B3" s="84" t="s">
        <v>228</v>
      </c>
      <c r="C3">
        <v>213.86879999999999</v>
      </c>
    </row>
    <row r="4" spans="1:3">
      <c r="A4">
        <v>245</v>
      </c>
      <c r="B4" s="84" t="s">
        <v>244</v>
      </c>
      <c r="C4">
        <v>320.8032</v>
      </c>
    </row>
    <row r="5" spans="1:3">
      <c r="A5">
        <v>227</v>
      </c>
      <c r="B5" s="84" t="s">
        <v>226</v>
      </c>
      <c r="C5">
        <v>178.22399999999999</v>
      </c>
    </row>
    <row r="6" spans="1:3">
      <c r="A6">
        <v>243</v>
      </c>
      <c r="B6" s="84" t="s">
        <v>242</v>
      </c>
      <c r="C6">
        <v>267.33600000000001</v>
      </c>
    </row>
    <row r="7" spans="1:3">
      <c r="A7">
        <v>230</v>
      </c>
      <c r="B7" s="84" t="s">
        <v>229</v>
      </c>
      <c r="C7">
        <v>285.15839999999997</v>
      </c>
    </row>
    <row r="8" spans="1:3">
      <c r="A8">
        <v>246</v>
      </c>
      <c r="B8" s="84" t="s">
        <v>245</v>
      </c>
      <c r="C8">
        <v>427.73759999999999</v>
      </c>
    </row>
    <row r="9" spans="1:3">
      <c r="A9">
        <v>228</v>
      </c>
      <c r="B9" s="84" t="s">
        <v>227</v>
      </c>
      <c r="C9">
        <v>222.78</v>
      </c>
    </row>
    <row r="10" spans="1:3">
      <c r="A10">
        <v>244</v>
      </c>
      <c r="B10" s="84" t="s">
        <v>243</v>
      </c>
      <c r="C10">
        <v>334.17</v>
      </c>
    </row>
    <row r="11" spans="1:3">
      <c r="A11">
        <v>218</v>
      </c>
      <c r="B11" s="84" t="s">
        <v>217</v>
      </c>
      <c r="C11" s="84">
        <v>2.2277999999999998</v>
      </c>
    </row>
    <row r="12" spans="1:3">
      <c r="A12">
        <v>234</v>
      </c>
      <c r="B12" s="84" t="s">
        <v>233</v>
      </c>
      <c r="C12" s="84">
        <v>3.3416999999999999</v>
      </c>
    </row>
    <row r="13" spans="1:3">
      <c r="A13">
        <v>219</v>
      </c>
      <c r="B13" s="84" t="s">
        <v>218</v>
      </c>
      <c r="C13" s="84">
        <v>3.1189200000000001</v>
      </c>
    </row>
    <row r="14" spans="1:3">
      <c r="A14">
        <v>235</v>
      </c>
      <c r="B14" s="84" t="s">
        <v>234</v>
      </c>
      <c r="C14" s="84">
        <v>4.6783799999999998</v>
      </c>
    </row>
    <row r="15" spans="1:3">
      <c r="A15">
        <v>220</v>
      </c>
      <c r="B15" s="84" t="s">
        <v>219</v>
      </c>
      <c r="C15" s="84">
        <v>3.5644800000000001</v>
      </c>
    </row>
    <row r="16" spans="1:3">
      <c r="A16">
        <v>236</v>
      </c>
      <c r="B16" s="84" t="s">
        <v>235</v>
      </c>
      <c r="C16" s="84">
        <v>5.3467200000000004</v>
      </c>
    </row>
    <row r="17" spans="1:3">
      <c r="A17">
        <v>215</v>
      </c>
      <c r="B17" s="84" t="s">
        <v>214</v>
      </c>
      <c r="C17" s="84">
        <v>0.44556000000000001</v>
      </c>
    </row>
    <row r="18" spans="1:3">
      <c r="A18">
        <v>231</v>
      </c>
      <c r="B18" s="84" t="s">
        <v>230</v>
      </c>
      <c r="C18" s="84">
        <v>0.66834000000000005</v>
      </c>
    </row>
    <row r="19" spans="1:3">
      <c r="A19">
        <v>221</v>
      </c>
      <c r="B19" s="84" t="s">
        <v>220</v>
      </c>
      <c r="C19" s="84">
        <v>4.4555999999999996</v>
      </c>
    </row>
    <row r="20" spans="1:3">
      <c r="A20">
        <v>237</v>
      </c>
      <c r="B20" s="84" t="s">
        <v>236</v>
      </c>
      <c r="C20" s="84">
        <v>6.6833999999999998</v>
      </c>
    </row>
    <row r="21" spans="1:3">
      <c r="A21">
        <v>222</v>
      </c>
      <c r="B21" s="84" t="s">
        <v>221</v>
      </c>
      <c r="C21" s="84">
        <v>6.6833999999999998</v>
      </c>
    </row>
    <row r="22" spans="1:3">
      <c r="A22">
        <v>238</v>
      </c>
      <c r="B22" s="84" t="s">
        <v>237</v>
      </c>
      <c r="C22" s="84">
        <v>10.0251</v>
      </c>
    </row>
    <row r="23" spans="1:3">
      <c r="A23">
        <v>223</v>
      </c>
      <c r="B23" s="84" t="s">
        <v>222</v>
      </c>
      <c r="C23" s="84">
        <v>8.9111999999999991</v>
      </c>
    </row>
    <row r="24" spans="1:3">
      <c r="A24">
        <v>239</v>
      </c>
      <c r="B24" s="84" t="s">
        <v>238</v>
      </c>
      <c r="C24" s="84">
        <v>13.3668</v>
      </c>
    </row>
    <row r="25" spans="1:3">
      <c r="A25">
        <v>216</v>
      </c>
      <c r="B25" s="84" t="s">
        <v>215</v>
      </c>
      <c r="C25" s="84">
        <v>1.1138999999999999</v>
      </c>
    </row>
    <row r="26" spans="1:3">
      <c r="A26">
        <v>232</v>
      </c>
      <c r="B26" s="84" t="s">
        <v>231</v>
      </c>
      <c r="C26" s="84">
        <v>1.6708499999999999</v>
      </c>
    </row>
    <row r="27" spans="1:3">
      <c r="A27">
        <v>224</v>
      </c>
      <c r="B27" s="84" t="s">
        <v>223</v>
      </c>
      <c r="C27" s="84">
        <v>11.138999999999999</v>
      </c>
    </row>
    <row r="28" spans="1:3">
      <c r="A28">
        <v>240</v>
      </c>
      <c r="B28" s="84" t="s">
        <v>239</v>
      </c>
      <c r="C28" s="84">
        <v>16.708500000000001</v>
      </c>
    </row>
    <row r="29" spans="1:3">
      <c r="A29">
        <v>217</v>
      </c>
      <c r="B29" s="84" t="s">
        <v>216</v>
      </c>
      <c r="C29" s="84">
        <v>1.5594600000000001</v>
      </c>
    </row>
    <row r="30" spans="1:3">
      <c r="A30">
        <v>233</v>
      </c>
      <c r="B30" s="84" t="s">
        <v>232</v>
      </c>
      <c r="C30" s="84">
        <v>2.3391899999999999</v>
      </c>
    </row>
    <row r="31" spans="1:3">
      <c r="A31">
        <v>225</v>
      </c>
      <c r="B31" s="84" t="s">
        <v>224</v>
      </c>
      <c r="C31" s="84">
        <v>17.822399999999998</v>
      </c>
    </row>
    <row r="32" spans="1:3">
      <c r="A32">
        <v>241</v>
      </c>
      <c r="B32" s="84" t="s">
        <v>240</v>
      </c>
      <c r="C32" s="84">
        <v>26.733599999999999</v>
      </c>
    </row>
    <row r="33" spans="1:3">
      <c r="A33">
        <v>23</v>
      </c>
      <c r="B33" s="84" t="s">
        <v>395</v>
      </c>
      <c r="C33" s="84" t="s">
        <v>396</v>
      </c>
    </row>
    <row r="34" spans="1:3">
      <c r="A34">
        <v>25</v>
      </c>
      <c r="B34" s="84" t="s">
        <v>395</v>
      </c>
      <c r="C34" s="84" t="s">
        <v>398</v>
      </c>
    </row>
    <row r="35" spans="1:3">
      <c r="A35">
        <v>38</v>
      </c>
      <c r="B35" s="84" t="s">
        <v>395</v>
      </c>
      <c r="C35" s="84" t="s">
        <v>410</v>
      </c>
    </row>
    <row r="36" spans="1:3">
      <c r="A36">
        <v>40</v>
      </c>
      <c r="B36" s="84" t="s">
        <v>395</v>
      </c>
      <c r="C36" s="84" t="s">
        <v>411</v>
      </c>
    </row>
    <row r="37" spans="1:3">
      <c r="A37">
        <v>24</v>
      </c>
      <c r="B37" s="84" t="s">
        <v>397</v>
      </c>
      <c r="C37" s="84" t="s">
        <v>396</v>
      </c>
    </row>
    <row r="38" spans="1:3">
      <c r="A38">
        <v>26</v>
      </c>
      <c r="B38" s="84" t="s">
        <v>397</v>
      </c>
      <c r="C38" s="84" t="s">
        <v>398</v>
      </c>
    </row>
    <row r="39" spans="1:3">
      <c r="A39">
        <v>39</v>
      </c>
      <c r="B39" s="84" t="s">
        <v>397</v>
      </c>
      <c r="C39" s="84" t="s">
        <v>410</v>
      </c>
    </row>
    <row r="40" spans="1:3">
      <c r="A40">
        <v>41</v>
      </c>
      <c r="B40" s="84" t="s">
        <v>397</v>
      </c>
      <c r="C40" s="84" t="s">
        <v>411</v>
      </c>
    </row>
    <row r="41" spans="1:3">
      <c r="A41">
        <v>4</v>
      </c>
      <c r="B41" s="84" t="s">
        <v>376</v>
      </c>
      <c r="C41" s="84">
        <v>1.32944</v>
      </c>
    </row>
    <row r="42" spans="1:3">
      <c r="A42">
        <v>14</v>
      </c>
      <c r="B42" s="84" t="s">
        <v>386</v>
      </c>
      <c r="C42" s="84">
        <v>1.7615080000000001</v>
      </c>
    </row>
    <row r="43" spans="1:3">
      <c r="A43">
        <v>6</v>
      </c>
      <c r="B43" s="84" t="s">
        <v>378</v>
      </c>
      <c r="C43" s="84">
        <v>2.6588799999999999</v>
      </c>
    </row>
    <row r="44" spans="1:3">
      <c r="A44">
        <v>16</v>
      </c>
      <c r="B44" s="84" t="s">
        <v>388</v>
      </c>
      <c r="C44" s="84">
        <v>3.5230160000000001</v>
      </c>
    </row>
    <row r="45" spans="1:3">
      <c r="A45">
        <v>31</v>
      </c>
      <c r="B45" s="84" t="s">
        <v>403</v>
      </c>
      <c r="C45" s="84">
        <v>5.3177599999999998</v>
      </c>
    </row>
    <row r="46" spans="1:3">
      <c r="A46">
        <v>2</v>
      </c>
      <c r="B46" s="84" t="s">
        <v>374</v>
      </c>
      <c r="C46" s="84">
        <v>0.37984000000000001</v>
      </c>
    </row>
    <row r="47" spans="1:3">
      <c r="A47">
        <v>12</v>
      </c>
      <c r="B47" s="84" t="s">
        <v>384</v>
      </c>
      <c r="C47" s="84">
        <v>0.50328799999999996</v>
      </c>
    </row>
    <row r="48" spans="1:3">
      <c r="A48">
        <v>27</v>
      </c>
      <c r="B48" s="84" t="s">
        <v>399</v>
      </c>
      <c r="C48" s="84">
        <v>0.75968000000000002</v>
      </c>
    </row>
    <row r="49" spans="1:3">
      <c r="A49">
        <v>10</v>
      </c>
      <c r="B49" s="84" t="s">
        <v>382</v>
      </c>
      <c r="C49" s="84">
        <v>7.5968</v>
      </c>
    </row>
    <row r="50" spans="1:3">
      <c r="A50">
        <v>20</v>
      </c>
      <c r="B50" s="84" t="s">
        <v>392</v>
      </c>
      <c r="C50" s="84">
        <v>10.065759999999999</v>
      </c>
    </row>
    <row r="51" spans="1:3">
      <c r="A51">
        <v>35</v>
      </c>
      <c r="B51" s="84" t="s">
        <v>407</v>
      </c>
      <c r="C51" s="84">
        <v>15.1936</v>
      </c>
    </row>
    <row r="52" spans="1:3">
      <c r="A52">
        <v>11</v>
      </c>
      <c r="B52" s="84" t="s">
        <v>383</v>
      </c>
      <c r="C52" s="84">
        <v>9.4960000000000004</v>
      </c>
    </row>
    <row r="53" spans="1:3">
      <c r="A53">
        <v>21</v>
      </c>
      <c r="B53" s="84" t="s">
        <v>393</v>
      </c>
      <c r="C53" s="84">
        <v>12.5822</v>
      </c>
    </row>
    <row r="54" spans="1:3">
      <c r="A54">
        <v>36</v>
      </c>
      <c r="B54" s="84" t="s">
        <v>408</v>
      </c>
      <c r="C54" s="84">
        <v>18.992000000000001</v>
      </c>
    </row>
    <row r="55" spans="1:3">
      <c r="A55">
        <v>29</v>
      </c>
      <c r="B55" s="84" t="s">
        <v>401</v>
      </c>
      <c r="C55" s="84">
        <v>2.6588799999999999</v>
      </c>
    </row>
    <row r="56" spans="1:3">
      <c r="A56">
        <v>22</v>
      </c>
      <c r="B56" s="84" t="s">
        <v>394</v>
      </c>
      <c r="C56" s="84">
        <v>20.131519999999998</v>
      </c>
    </row>
    <row r="57" spans="1:3">
      <c r="A57">
        <v>37</v>
      </c>
      <c r="B57" s="84" t="s">
        <v>409</v>
      </c>
      <c r="C57" s="84">
        <v>30.3872</v>
      </c>
    </row>
    <row r="58" spans="1:3">
      <c r="A58">
        <v>5</v>
      </c>
      <c r="B58" s="84" t="s">
        <v>377</v>
      </c>
      <c r="C58" s="84">
        <v>1.8992</v>
      </c>
    </row>
    <row r="59" spans="1:3">
      <c r="A59">
        <v>15</v>
      </c>
      <c r="B59" s="84" t="s">
        <v>387</v>
      </c>
      <c r="C59" s="84">
        <v>2.5164399999999998</v>
      </c>
    </row>
    <row r="60" spans="1:3">
      <c r="A60">
        <v>30</v>
      </c>
      <c r="B60" s="84" t="s">
        <v>402</v>
      </c>
      <c r="C60" s="84">
        <v>3.7984</v>
      </c>
    </row>
    <row r="61" spans="1:3">
      <c r="A61">
        <v>7</v>
      </c>
      <c r="B61" s="84" t="s">
        <v>379</v>
      </c>
      <c r="C61" s="84">
        <v>3.0387200000000001</v>
      </c>
    </row>
    <row r="62" spans="1:3">
      <c r="A62">
        <v>17</v>
      </c>
      <c r="B62" s="84" t="s">
        <v>389</v>
      </c>
      <c r="C62" s="84">
        <v>4.0263039999999997</v>
      </c>
    </row>
    <row r="63" spans="1:3">
      <c r="A63">
        <v>32</v>
      </c>
      <c r="B63" s="84" t="s">
        <v>404</v>
      </c>
      <c r="C63" s="84">
        <v>6.0774400000000002</v>
      </c>
    </row>
    <row r="64" spans="1:3">
      <c r="A64">
        <v>8</v>
      </c>
      <c r="B64" s="84" t="s">
        <v>380</v>
      </c>
      <c r="C64" s="84">
        <v>3.7984</v>
      </c>
    </row>
    <row r="65" spans="1:3">
      <c r="A65">
        <v>18</v>
      </c>
      <c r="B65" s="84" t="s">
        <v>390</v>
      </c>
      <c r="C65" s="84">
        <v>5.0328799999999996</v>
      </c>
    </row>
    <row r="66" spans="1:3">
      <c r="A66">
        <v>33</v>
      </c>
      <c r="B66" s="84" t="s">
        <v>405</v>
      </c>
      <c r="C66" s="84">
        <v>7.5968</v>
      </c>
    </row>
    <row r="67" spans="1:3">
      <c r="A67">
        <v>9</v>
      </c>
      <c r="B67" s="84" t="s">
        <v>381</v>
      </c>
      <c r="C67" s="84">
        <v>5.6976000000000004</v>
      </c>
    </row>
    <row r="68" spans="1:3">
      <c r="A68">
        <v>19</v>
      </c>
      <c r="B68" s="84" t="s">
        <v>391</v>
      </c>
      <c r="C68" s="84">
        <v>7.5493199999999998</v>
      </c>
    </row>
    <row r="69" spans="1:3">
      <c r="A69">
        <v>34</v>
      </c>
      <c r="B69" s="84" t="s">
        <v>406</v>
      </c>
      <c r="C69" s="84">
        <v>11.395200000000001</v>
      </c>
    </row>
    <row r="70" spans="1:3">
      <c r="A70">
        <v>3</v>
      </c>
      <c r="B70" s="84" t="s">
        <v>375</v>
      </c>
      <c r="C70" s="84">
        <v>0.9496</v>
      </c>
    </row>
    <row r="71" spans="1:3">
      <c r="A71">
        <v>13</v>
      </c>
      <c r="B71" s="84" t="s">
        <v>385</v>
      </c>
      <c r="C71" s="84">
        <v>1.2582199999999999</v>
      </c>
    </row>
    <row r="72" spans="1:3">
      <c r="A72">
        <v>28</v>
      </c>
      <c r="B72" s="84" t="s">
        <v>400</v>
      </c>
      <c r="C72" s="84">
        <v>1.8992</v>
      </c>
    </row>
    <row r="73" spans="1:3">
      <c r="A73">
        <v>166</v>
      </c>
      <c r="B73" s="84" t="s">
        <v>165</v>
      </c>
      <c r="C73" s="84">
        <v>2.5601400000000001</v>
      </c>
    </row>
    <row r="74" spans="1:3">
      <c r="A74">
        <v>177</v>
      </c>
      <c r="B74" s="84" t="s">
        <v>176</v>
      </c>
      <c r="C74" s="84">
        <v>3.8402099999999999</v>
      </c>
    </row>
    <row r="75" spans="1:3">
      <c r="A75">
        <v>167</v>
      </c>
      <c r="B75" s="84" t="s">
        <v>166</v>
      </c>
      <c r="C75" s="84">
        <v>3.5841959999999999</v>
      </c>
    </row>
    <row r="76" spans="1:3">
      <c r="A76">
        <v>178</v>
      </c>
      <c r="B76" s="84" t="s">
        <v>177</v>
      </c>
      <c r="C76" s="84">
        <v>5.3762939999999997</v>
      </c>
    </row>
    <row r="77" spans="1:3">
      <c r="A77">
        <v>168</v>
      </c>
      <c r="B77" s="84" t="s">
        <v>167</v>
      </c>
      <c r="C77" s="84">
        <v>4.0962240000000003</v>
      </c>
    </row>
    <row r="78" spans="1:3">
      <c r="A78">
        <v>179</v>
      </c>
      <c r="B78" s="84" t="s">
        <v>178</v>
      </c>
      <c r="C78" s="84">
        <v>6.144336</v>
      </c>
    </row>
    <row r="79" spans="1:3">
      <c r="A79">
        <v>163</v>
      </c>
      <c r="B79" s="84" t="s">
        <v>162</v>
      </c>
      <c r="C79" s="84">
        <v>0.51202800000000004</v>
      </c>
    </row>
    <row r="80" spans="1:3">
      <c r="A80">
        <v>174</v>
      </c>
      <c r="B80" s="84" t="s">
        <v>173</v>
      </c>
      <c r="C80" s="84">
        <v>0.768042</v>
      </c>
    </row>
    <row r="81" spans="1:3">
      <c r="A81">
        <v>169</v>
      </c>
      <c r="B81" s="84" t="s">
        <v>168</v>
      </c>
      <c r="C81" s="84">
        <v>5.1202800000000002</v>
      </c>
    </row>
    <row r="82" spans="1:3">
      <c r="A82">
        <v>180</v>
      </c>
      <c r="B82" s="84" t="s">
        <v>179</v>
      </c>
      <c r="C82" s="84">
        <v>7.6804199999999998</v>
      </c>
    </row>
    <row r="83" spans="1:3">
      <c r="A83">
        <v>170</v>
      </c>
      <c r="B83" s="84" t="s">
        <v>169</v>
      </c>
      <c r="C83" s="84">
        <v>7.6804199999999998</v>
      </c>
    </row>
    <row r="84" spans="1:3">
      <c r="A84">
        <v>181</v>
      </c>
      <c r="B84" s="84" t="s">
        <v>180</v>
      </c>
      <c r="C84" s="84">
        <v>11.520630000000001</v>
      </c>
    </row>
    <row r="85" spans="1:3">
      <c r="A85">
        <v>171</v>
      </c>
      <c r="B85" s="84" t="s">
        <v>170</v>
      </c>
      <c r="C85" s="84">
        <v>10.24056</v>
      </c>
    </row>
    <row r="86" spans="1:3">
      <c r="A86">
        <v>182</v>
      </c>
      <c r="B86" s="84" t="s">
        <v>181</v>
      </c>
      <c r="C86" s="84">
        <v>15.36084</v>
      </c>
    </row>
    <row r="87" spans="1:3">
      <c r="A87">
        <v>164</v>
      </c>
      <c r="B87" s="84" t="s">
        <v>163</v>
      </c>
      <c r="C87" s="84">
        <v>1.28007</v>
      </c>
    </row>
    <row r="88" spans="1:3">
      <c r="A88">
        <v>175</v>
      </c>
      <c r="B88" s="84" t="s">
        <v>174</v>
      </c>
      <c r="C88" s="84">
        <v>1.920105</v>
      </c>
    </row>
    <row r="89" spans="1:3">
      <c r="A89">
        <v>172</v>
      </c>
      <c r="B89" s="84" t="s">
        <v>171</v>
      </c>
      <c r="C89" s="84">
        <v>12.800700000000001</v>
      </c>
    </row>
    <row r="90" spans="1:3">
      <c r="A90">
        <v>183</v>
      </c>
      <c r="B90" s="84" t="s">
        <v>182</v>
      </c>
      <c r="C90" s="84">
        <v>19.201049999999999</v>
      </c>
    </row>
    <row r="91" spans="1:3">
      <c r="A91">
        <v>165</v>
      </c>
      <c r="B91" s="84" t="s">
        <v>164</v>
      </c>
      <c r="C91" s="84">
        <v>1.792098</v>
      </c>
    </row>
    <row r="92" spans="1:3">
      <c r="A92">
        <v>176</v>
      </c>
      <c r="B92" s="84" t="s">
        <v>175</v>
      </c>
      <c r="C92" s="84">
        <v>2.6881469999999998</v>
      </c>
    </row>
    <row r="93" spans="1:3">
      <c r="A93">
        <v>173</v>
      </c>
      <c r="B93" s="84" t="s">
        <v>172</v>
      </c>
      <c r="C93" s="84">
        <v>20.481120000000001</v>
      </c>
    </row>
    <row r="94" spans="1:3">
      <c r="A94">
        <v>184</v>
      </c>
      <c r="B94" s="84" t="s">
        <v>183</v>
      </c>
      <c r="C94" s="84">
        <v>30.721679999999999</v>
      </c>
    </row>
    <row r="95" spans="1:3">
      <c r="A95">
        <v>193</v>
      </c>
      <c r="B95" s="84" t="s">
        <v>192</v>
      </c>
      <c r="C95" s="84">
        <v>7.5081600000000002</v>
      </c>
    </row>
    <row r="96" spans="1:3">
      <c r="A96">
        <v>589</v>
      </c>
      <c r="B96" s="83" t="s">
        <v>192</v>
      </c>
      <c r="C96" s="83">
        <v>2.144736</v>
      </c>
    </row>
    <row r="97" spans="1:3">
      <c r="A97">
        <v>196</v>
      </c>
      <c r="B97" s="84" t="s">
        <v>195</v>
      </c>
      <c r="C97">
        <v>112.6224</v>
      </c>
    </row>
    <row r="98" spans="1:3">
      <c r="A98">
        <v>592</v>
      </c>
      <c r="B98" s="83" t="s">
        <v>195</v>
      </c>
      <c r="C98">
        <v>32.171039999999998</v>
      </c>
    </row>
    <row r="99" spans="1:3">
      <c r="A99">
        <v>188</v>
      </c>
      <c r="B99" s="84" t="s">
        <v>187</v>
      </c>
      <c r="C99" s="84">
        <v>1.87704</v>
      </c>
    </row>
    <row r="100" spans="1:3">
      <c r="A100">
        <v>584</v>
      </c>
      <c r="B100" s="83" t="s">
        <v>187</v>
      </c>
      <c r="C100" s="83">
        <v>0.53618399999999999</v>
      </c>
    </row>
    <row r="101" spans="1:3">
      <c r="A101">
        <v>189</v>
      </c>
      <c r="B101" s="84" t="s">
        <v>188</v>
      </c>
      <c r="C101" s="84">
        <v>2.627856</v>
      </c>
    </row>
    <row r="102" spans="1:3">
      <c r="A102">
        <v>585</v>
      </c>
      <c r="B102" s="83" t="s">
        <v>188</v>
      </c>
      <c r="C102" s="83">
        <v>0.75065760000000004</v>
      </c>
    </row>
    <row r="103" spans="1:3">
      <c r="A103">
        <v>186</v>
      </c>
      <c r="B103" s="84" t="s">
        <v>185</v>
      </c>
      <c r="C103" s="84">
        <v>0.93852000000000002</v>
      </c>
    </row>
    <row r="104" spans="1:3">
      <c r="A104">
        <v>582</v>
      </c>
      <c r="B104" s="83" t="s">
        <v>185</v>
      </c>
      <c r="C104" s="83">
        <v>0.268092</v>
      </c>
    </row>
    <row r="105" spans="1:3">
      <c r="A105">
        <v>194</v>
      </c>
      <c r="B105" s="84" t="s">
        <v>193</v>
      </c>
      <c r="C105" s="84">
        <v>9.3851999999999993</v>
      </c>
    </row>
    <row r="106" spans="1:3">
      <c r="A106">
        <v>590</v>
      </c>
      <c r="B106" s="83" t="s">
        <v>193</v>
      </c>
      <c r="C106" s="83">
        <v>2.68092</v>
      </c>
    </row>
    <row r="107" spans="1:3">
      <c r="A107">
        <v>187</v>
      </c>
      <c r="B107" s="84" t="s">
        <v>186</v>
      </c>
      <c r="C107" s="84">
        <v>1.313928</v>
      </c>
    </row>
    <row r="108" spans="1:3">
      <c r="A108">
        <v>583</v>
      </c>
      <c r="B108" s="83" t="s">
        <v>186</v>
      </c>
      <c r="C108" s="83">
        <v>0.37532880000000002</v>
      </c>
    </row>
    <row r="109" spans="1:3">
      <c r="A109">
        <v>198</v>
      </c>
      <c r="B109" s="84" t="s">
        <v>197</v>
      </c>
      <c r="C109">
        <v>180.19584</v>
      </c>
    </row>
    <row r="110" spans="1:3">
      <c r="A110">
        <v>594</v>
      </c>
      <c r="B110" s="83" t="s">
        <v>197</v>
      </c>
      <c r="C110">
        <v>51.473663999999999</v>
      </c>
    </row>
    <row r="111" spans="1:3">
      <c r="A111">
        <v>197</v>
      </c>
      <c r="B111" s="84" t="s">
        <v>196</v>
      </c>
      <c r="C111">
        <v>150.16319999999999</v>
      </c>
    </row>
    <row r="112" spans="1:3">
      <c r="A112">
        <v>593</v>
      </c>
      <c r="B112" s="83" t="s">
        <v>196</v>
      </c>
      <c r="C112">
        <v>42.89472</v>
      </c>
    </row>
    <row r="113" spans="1:3">
      <c r="A113">
        <v>199</v>
      </c>
      <c r="B113" s="84" t="s">
        <v>198</v>
      </c>
      <c r="C113">
        <v>240.26112000000001</v>
      </c>
    </row>
    <row r="114" spans="1:3">
      <c r="A114">
        <v>595</v>
      </c>
      <c r="B114" s="83" t="s">
        <v>198</v>
      </c>
      <c r="C114">
        <v>68.631551999999999</v>
      </c>
    </row>
    <row r="115" spans="1:3">
      <c r="A115">
        <v>190</v>
      </c>
      <c r="B115" s="84" t="s">
        <v>189</v>
      </c>
      <c r="C115" s="84">
        <v>3.0032640000000002</v>
      </c>
    </row>
    <row r="116" spans="1:3">
      <c r="A116">
        <v>586</v>
      </c>
      <c r="B116" s="83" t="s">
        <v>189</v>
      </c>
      <c r="C116" s="83">
        <v>0.85789439999999995</v>
      </c>
    </row>
    <row r="117" spans="1:3">
      <c r="A117">
        <v>185</v>
      </c>
      <c r="B117" s="84" t="s">
        <v>184</v>
      </c>
      <c r="C117" s="84">
        <v>0.37540800000000002</v>
      </c>
    </row>
    <row r="118" spans="1:3">
      <c r="A118">
        <v>581</v>
      </c>
      <c r="B118" s="83" t="s">
        <v>184</v>
      </c>
      <c r="C118" s="83">
        <v>0.10723679999999999</v>
      </c>
    </row>
    <row r="119" spans="1:3">
      <c r="A119">
        <v>191</v>
      </c>
      <c r="B119" s="84" t="s">
        <v>190</v>
      </c>
      <c r="C119" s="84">
        <v>3.7540800000000001</v>
      </c>
    </row>
    <row r="120" spans="1:3">
      <c r="A120">
        <v>587</v>
      </c>
      <c r="B120" s="83" t="s">
        <v>190</v>
      </c>
      <c r="C120" s="83">
        <v>1.072368</v>
      </c>
    </row>
    <row r="121" spans="1:3">
      <c r="A121">
        <v>192</v>
      </c>
      <c r="B121" s="84" t="s">
        <v>191</v>
      </c>
      <c r="C121" s="84">
        <v>5.6311200000000001</v>
      </c>
    </row>
    <row r="122" spans="1:3">
      <c r="A122">
        <v>588</v>
      </c>
      <c r="B122" s="83" t="s">
        <v>191</v>
      </c>
      <c r="C122" s="83">
        <v>1.608552</v>
      </c>
    </row>
    <row r="123" spans="1:3">
      <c r="A123">
        <v>195</v>
      </c>
      <c r="B123" s="84" t="s">
        <v>194</v>
      </c>
      <c r="C123" s="84">
        <v>15.01632</v>
      </c>
    </row>
    <row r="124" spans="1:3">
      <c r="A124">
        <v>591</v>
      </c>
      <c r="B124" s="83" t="s">
        <v>194</v>
      </c>
      <c r="C124" s="83">
        <v>4.289472</v>
      </c>
    </row>
    <row r="125" spans="1:3">
      <c r="A125">
        <v>211</v>
      </c>
      <c r="B125" s="84" t="s">
        <v>210</v>
      </c>
      <c r="C125">
        <v>171.04526999999999</v>
      </c>
    </row>
    <row r="126" spans="1:3">
      <c r="A126">
        <v>607</v>
      </c>
      <c r="B126" s="83" t="s">
        <v>210</v>
      </c>
      <c r="C126">
        <v>48.25656</v>
      </c>
    </row>
    <row r="127" spans="1:3">
      <c r="A127">
        <v>213</v>
      </c>
      <c r="B127" s="84" t="s">
        <v>212</v>
      </c>
      <c r="C127">
        <v>273.67243200000001</v>
      </c>
    </row>
    <row r="128" spans="1:3">
      <c r="A128">
        <v>609</v>
      </c>
      <c r="B128" s="83" t="s">
        <v>212</v>
      </c>
      <c r="C128">
        <v>77.210496000000006</v>
      </c>
    </row>
    <row r="129" spans="1:3">
      <c r="A129">
        <v>212</v>
      </c>
      <c r="B129" s="84" t="s">
        <v>211</v>
      </c>
      <c r="C129">
        <v>228.06036</v>
      </c>
    </row>
    <row r="130" spans="1:3">
      <c r="A130">
        <v>608</v>
      </c>
      <c r="B130" s="83" t="s">
        <v>211</v>
      </c>
      <c r="C130">
        <v>64.342079999999996</v>
      </c>
    </row>
    <row r="131" spans="1:3">
      <c r="A131">
        <v>214</v>
      </c>
      <c r="B131" s="84" t="s">
        <v>213</v>
      </c>
      <c r="C131">
        <v>364.89657599999998</v>
      </c>
    </row>
    <row r="132" spans="1:3">
      <c r="A132">
        <v>610</v>
      </c>
      <c r="B132" s="83" t="s">
        <v>213</v>
      </c>
      <c r="C132">
        <v>102.947328</v>
      </c>
    </row>
    <row r="133" spans="1:3">
      <c r="A133">
        <v>203</v>
      </c>
      <c r="B133" s="84" t="s">
        <v>202</v>
      </c>
      <c r="C133" s="84">
        <v>2.8507544999999999</v>
      </c>
    </row>
    <row r="134" spans="1:3">
      <c r="A134">
        <v>599</v>
      </c>
      <c r="B134" s="83" t="s">
        <v>202</v>
      </c>
      <c r="C134" s="83">
        <v>0.80427599999999999</v>
      </c>
    </row>
    <row r="135" spans="1:3">
      <c r="A135">
        <v>204</v>
      </c>
      <c r="B135" s="84" t="s">
        <v>203</v>
      </c>
      <c r="C135" s="84">
        <v>3.9910562999999999</v>
      </c>
    </row>
    <row r="136" spans="1:3">
      <c r="A136">
        <v>600</v>
      </c>
      <c r="B136" s="83" t="s">
        <v>203</v>
      </c>
      <c r="C136" s="83">
        <v>1.1259863999999999</v>
      </c>
    </row>
    <row r="137" spans="1:3">
      <c r="A137">
        <v>205</v>
      </c>
      <c r="B137" s="84" t="s">
        <v>204</v>
      </c>
      <c r="C137" s="84">
        <v>4.5612072000000001</v>
      </c>
    </row>
    <row r="138" spans="1:3">
      <c r="A138">
        <v>601</v>
      </c>
      <c r="B138" s="83" t="s">
        <v>204</v>
      </c>
      <c r="C138" s="83">
        <v>1.2868416</v>
      </c>
    </row>
    <row r="139" spans="1:3">
      <c r="A139">
        <v>200</v>
      </c>
      <c r="B139" s="84" t="s">
        <v>199</v>
      </c>
      <c r="C139" s="84">
        <v>0.57015090000000002</v>
      </c>
    </row>
    <row r="140" spans="1:3">
      <c r="A140">
        <v>596</v>
      </c>
      <c r="B140" s="83" t="s">
        <v>199</v>
      </c>
      <c r="C140" s="83">
        <v>0.1608552</v>
      </c>
    </row>
    <row r="141" spans="1:3">
      <c r="A141">
        <v>206</v>
      </c>
      <c r="B141" s="84" t="s">
        <v>205</v>
      </c>
      <c r="C141" s="84">
        <v>5.7015089999999997</v>
      </c>
    </row>
    <row r="142" spans="1:3">
      <c r="A142">
        <v>602</v>
      </c>
      <c r="B142" s="83" t="s">
        <v>205</v>
      </c>
      <c r="C142" s="83">
        <v>1.608552</v>
      </c>
    </row>
    <row r="143" spans="1:3">
      <c r="A143">
        <v>207</v>
      </c>
      <c r="B143" s="84" t="s">
        <v>206</v>
      </c>
      <c r="C143" s="84">
        <v>8.5522635000000005</v>
      </c>
    </row>
    <row r="144" spans="1:3">
      <c r="A144">
        <v>603</v>
      </c>
      <c r="B144" s="83" t="s">
        <v>206</v>
      </c>
      <c r="C144" s="83">
        <v>2.4128280000000002</v>
      </c>
    </row>
    <row r="145" spans="1:3">
      <c r="A145">
        <v>208</v>
      </c>
      <c r="B145" s="84" t="s">
        <v>207</v>
      </c>
      <c r="C145" s="84">
        <v>11.403017999999999</v>
      </c>
    </row>
    <row r="146" spans="1:3">
      <c r="A146">
        <v>604</v>
      </c>
      <c r="B146" s="83" t="s">
        <v>207</v>
      </c>
      <c r="C146" s="83">
        <v>3.217104</v>
      </c>
    </row>
    <row r="147" spans="1:3">
      <c r="A147">
        <v>201</v>
      </c>
      <c r="B147" s="84" t="s">
        <v>200</v>
      </c>
      <c r="C147" s="84">
        <v>1.4253772499999999</v>
      </c>
    </row>
    <row r="148" spans="1:3">
      <c r="A148">
        <v>597</v>
      </c>
      <c r="B148" s="83" t="s">
        <v>200</v>
      </c>
      <c r="C148" s="83">
        <v>0.402138</v>
      </c>
    </row>
    <row r="149" spans="1:3">
      <c r="A149">
        <v>209</v>
      </c>
      <c r="B149" s="84" t="s">
        <v>208</v>
      </c>
      <c r="C149" s="84">
        <v>14.2537725</v>
      </c>
    </row>
    <row r="150" spans="1:3">
      <c r="A150">
        <v>605</v>
      </c>
      <c r="B150" s="83" t="s">
        <v>208</v>
      </c>
      <c r="C150" s="83">
        <v>4.0213799999999997</v>
      </c>
    </row>
    <row r="151" spans="1:3">
      <c r="A151">
        <v>202</v>
      </c>
      <c r="B151" s="84" t="s">
        <v>201</v>
      </c>
      <c r="C151" s="84">
        <v>1.9955281499999999</v>
      </c>
    </row>
    <row r="152" spans="1:3">
      <c r="A152">
        <v>598</v>
      </c>
      <c r="B152" s="83" t="s">
        <v>201</v>
      </c>
      <c r="C152" s="83">
        <v>0.56299319999999997</v>
      </c>
    </row>
    <row r="153" spans="1:3">
      <c r="A153">
        <v>210</v>
      </c>
      <c r="B153" s="84" t="s">
        <v>209</v>
      </c>
      <c r="C153" s="84">
        <v>22.806035999999999</v>
      </c>
    </row>
    <row r="154" spans="1:3">
      <c r="A154">
        <v>606</v>
      </c>
      <c r="B154" s="83" t="s">
        <v>209</v>
      </c>
      <c r="C154" s="83">
        <v>6.4342079999999999</v>
      </c>
    </row>
    <row r="155" spans="1:3">
      <c r="A155">
        <v>320</v>
      </c>
      <c r="B155" s="84" t="s">
        <v>318</v>
      </c>
      <c r="C155" s="84">
        <v>6.8985000000000005E-2</v>
      </c>
    </row>
    <row r="156" spans="1:3">
      <c r="A156">
        <v>716</v>
      </c>
      <c r="B156" s="83" t="s">
        <v>318</v>
      </c>
      <c r="C156" s="83">
        <v>1.5970500000000001</v>
      </c>
    </row>
    <row r="157" spans="1:3">
      <c r="A157">
        <v>322</v>
      </c>
      <c r="B157" s="84" t="s">
        <v>320</v>
      </c>
      <c r="C157" s="84">
        <v>0.13797000000000001</v>
      </c>
    </row>
    <row r="158" spans="1:3">
      <c r="A158">
        <v>718</v>
      </c>
      <c r="B158" s="83" t="s">
        <v>320</v>
      </c>
      <c r="C158" s="83">
        <v>3.1941000000000002</v>
      </c>
    </row>
    <row r="159" spans="1:3">
      <c r="A159">
        <v>330</v>
      </c>
      <c r="B159" s="84" t="s">
        <v>328</v>
      </c>
      <c r="C159" s="84">
        <v>0.206955</v>
      </c>
    </row>
    <row r="160" spans="1:3">
      <c r="A160">
        <v>726</v>
      </c>
      <c r="B160" s="83" t="s">
        <v>328</v>
      </c>
      <c r="C160" s="83">
        <v>4.79115</v>
      </c>
    </row>
    <row r="161" spans="1:3">
      <c r="A161">
        <v>323</v>
      </c>
      <c r="B161" s="84" t="s">
        <v>321</v>
      </c>
      <c r="C161" s="84">
        <v>0.193158</v>
      </c>
    </row>
    <row r="162" spans="1:3">
      <c r="A162">
        <v>719</v>
      </c>
      <c r="B162" s="83" t="s">
        <v>321</v>
      </c>
      <c r="C162" s="83">
        <v>4.4717399999999996</v>
      </c>
    </row>
    <row r="163" spans="1:3">
      <c r="A163">
        <v>331</v>
      </c>
      <c r="B163" s="84" t="s">
        <v>329</v>
      </c>
      <c r="C163" s="84">
        <v>0.28973700000000002</v>
      </c>
    </row>
    <row r="164" spans="1:3">
      <c r="A164">
        <v>727</v>
      </c>
      <c r="B164" s="83" t="s">
        <v>329</v>
      </c>
      <c r="C164" s="83">
        <v>6.7076099999999999</v>
      </c>
    </row>
    <row r="165" spans="1:3">
      <c r="A165">
        <v>324</v>
      </c>
      <c r="B165" s="84" t="s">
        <v>322</v>
      </c>
      <c r="C165" s="84">
        <v>0.27594000000000002</v>
      </c>
    </row>
    <row r="166" spans="1:3">
      <c r="A166">
        <v>720</v>
      </c>
      <c r="B166" s="83" t="s">
        <v>322</v>
      </c>
      <c r="C166" s="83">
        <v>6.3882000000000003</v>
      </c>
    </row>
    <row r="167" spans="1:3">
      <c r="A167">
        <v>332</v>
      </c>
      <c r="B167" s="84" t="s">
        <v>330</v>
      </c>
      <c r="C167" s="84">
        <v>0.41391</v>
      </c>
    </row>
    <row r="168" spans="1:3">
      <c r="A168">
        <v>728</v>
      </c>
      <c r="B168" s="83" t="s">
        <v>330</v>
      </c>
      <c r="C168" s="83">
        <v>9.5823</v>
      </c>
    </row>
    <row r="169" spans="1:3">
      <c r="A169">
        <v>325</v>
      </c>
      <c r="B169" s="84" t="s">
        <v>323</v>
      </c>
      <c r="C169" s="84">
        <v>0.41391</v>
      </c>
    </row>
    <row r="170" spans="1:3">
      <c r="A170">
        <v>721</v>
      </c>
      <c r="B170" s="83" t="s">
        <v>323</v>
      </c>
      <c r="C170" s="83">
        <v>9.5823</v>
      </c>
    </row>
    <row r="171" spans="1:3">
      <c r="A171">
        <v>333</v>
      </c>
      <c r="B171" s="84" t="s">
        <v>331</v>
      </c>
      <c r="C171" s="84">
        <v>0.620865</v>
      </c>
    </row>
    <row r="172" spans="1:3">
      <c r="A172">
        <v>729</v>
      </c>
      <c r="B172" s="83" t="s">
        <v>331</v>
      </c>
      <c r="C172" s="83">
        <v>14.37345</v>
      </c>
    </row>
    <row r="173" spans="1:3">
      <c r="A173">
        <v>326</v>
      </c>
      <c r="B173" s="84" t="s">
        <v>324</v>
      </c>
      <c r="C173" s="84">
        <v>0.55188000000000004</v>
      </c>
    </row>
    <row r="174" spans="1:3">
      <c r="A174">
        <v>722</v>
      </c>
      <c r="B174" s="83" t="s">
        <v>324</v>
      </c>
      <c r="C174" s="83">
        <v>12.776400000000001</v>
      </c>
    </row>
    <row r="175" spans="1:3">
      <c r="A175">
        <v>334</v>
      </c>
      <c r="B175" s="84" t="s">
        <v>332</v>
      </c>
      <c r="C175" s="84">
        <v>0.82782</v>
      </c>
    </row>
    <row r="176" spans="1:3">
      <c r="A176">
        <v>730</v>
      </c>
      <c r="B176" s="83" t="s">
        <v>332</v>
      </c>
      <c r="C176" s="83">
        <v>19.1646</v>
      </c>
    </row>
    <row r="177" spans="1:3">
      <c r="A177">
        <v>328</v>
      </c>
      <c r="B177" s="84" t="s">
        <v>326</v>
      </c>
      <c r="C177" s="84">
        <v>0.1034775</v>
      </c>
    </row>
    <row r="178" spans="1:3">
      <c r="A178">
        <v>724</v>
      </c>
      <c r="B178" s="83" t="s">
        <v>326</v>
      </c>
      <c r="C178" s="83">
        <v>2.395575</v>
      </c>
    </row>
    <row r="179" spans="1:3">
      <c r="A179">
        <v>327</v>
      </c>
      <c r="B179" s="84" t="s">
        <v>325</v>
      </c>
      <c r="C179" s="84">
        <v>0.68984999999999996</v>
      </c>
    </row>
    <row r="180" spans="1:3">
      <c r="A180">
        <v>723</v>
      </c>
      <c r="B180" s="83" t="s">
        <v>325</v>
      </c>
      <c r="C180" s="83">
        <v>15.970499999999999</v>
      </c>
    </row>
    <row r="181" spans="1:3">
      <c r="A181">
        <v>335</v>
      </c>
      <c r="B181" s="84" t="s">
        <v>333</v>
      </c>
      <c r="C181" s="84">
        <v>1.034775</v>
      </c>
    </row>
    <row r="182" spans="1:3">
      <c r="A182">
        <v>731</v>
      </c>
      <c r="B182" s="83" t="s">
        <v>333</v>
      </c>
      <c r="C182" s="83">
        <v>23.955749999999998</v>
      </c>
    </row>
    <row r="183" spans="1:3">
      <c r="A183">
        <v>321</v>
      </c>
      <c r="B183" s="84" t="s">
        <v>319</v>
      </c>
      <c r="C183" s="84">
        <v>9.6578999999999998E-2</v>
      </c>
    </row>
    <row r="184" spans="1:3">
      <c r="A184">
        <v>717</v>
      </c>
      <c r="B184" s="83" t="s">
        <v>319</v>
      </c>
      <c r="C184" s="83">
        <v>2.2358699999999998</v>
      </c>
    </row>
    <row r="185" spans="1:3">
      <c r="A185">
        <v>329</v>
      </c>
      <c r="B185" s="84" t="s">
        <v>327</v>
      </c>
      <c r="C185" s="84">
        <v>0.14486850000000001</v>
      </c>
    </row>
    <row r="186" spans="1:3">
      <c r="A186">
        <v>725</v>
      </c>
      <c r="B186" s="83" t="s">
        <v>327</v>
      </c>
      <c r="C186" s="83">
        <v>3.3538049999999999</v>
      </c>
    </row>
    <row r="187" spans="1:3">
      <c r="A187">
        <v>54</v>
      </c>
      <c r="B187" s="84" t="s">
        <v>460</v>
      </c>
      <c r="C187">
        <v>212.94</v>
      </c>
    </row>
    <row r="188" spans="1:3">
      <c r="A188">
        <v>69</v>
      </c>
      <c r="B188" s="84" t="s">
        <v>462</v>
      </c>
      <c r="C188">
        <v>319.41000000000003</v>
      </c>
    </row>
    <row r="189" spans="1:3">
      <c r="A189">
        <v>56</v>
      </c>
      <c r="B189" s="84" t="s">
        <v>463</v>
      </c>
      <c r="C189">
        <v>340.70400000000001</v>
      </c>
    </row>
    <row r="190" spans="1:3">
      <c r="A190">
        <v>71</v>
      </c>
      <c r="B190" s="84" t="s">
        <v>466</v>
      </c>
      <c r="C190">
        <v>511.05599999999998</v>
      </c>
    </row>
    <row r="191" spans="1:3">
      <c r="A191">
        <v>55</v>
      </c>
      <c r="B191" s="84" t="s">
        <v>461</v>
      </c>
      <c r="C191">
        <v>283.92</v>
      </c>
    </row>
    <row r="192" spans="1:3">
      <c r="A192">
        <v>70</v>
      </c>
      <c r="B192" s="84" t="s">
        <v>464</v>
      </c>
      <c r="C192">
        <v>425.88</v>
      </c>
    </row>
    <row r="193" spans="1:3">
      <c r="A193">
        <v>57</v>
      </c>
      <c r="B193" s="84" t="s">
        <v>465</v>
      </c>
      <c r="C193">
        <v>454.27199999999999</v>
      </c>
    </row>
    <row r="194" spans="1:3">
      <c r="A194">
        <v>72</v>
      </c>
      <c r="B194" s="84" t="s">
        <v>467</v>
      </c>
      <c r="C194">
        <v>681.40800000000002</v>
      </c>
    </row>
    <row r="195" spans="1:3">
      <c r="A195">
        <v>45</v>
      </c>
      <c r="B195" s="84" t="s">
        <v>415</v>
      </c>
      <c r="C195" s="84">
        <v>3.5489999999999999</v>
      </c>
    </row>
    <row r="196" spans="1:3">
      <c r="A196">
        <v>61</v>
      </c>
      <c r="B196" s="84" t="s">
        <v>427</v>
      </c>
      <c r="C196" s="84">
        <v>5.3235000000000001</v>
      </c>
    </row>
    <row r="197" spans="1:3">
      <c r="A197">
        <v>46</v>
      </c>
      <c r="B197" s="84" t="s">
        <v>416</v>
      </c>
      <c r="C197" s="84">
        <v>4.9686000000000003</v>
      </c>
    </row>
    <row r="198" spans="1:3">
      <c r="A198">
        <v>62</v>
      </c>
      <c r="B198" s="84" t="s">
        <v>428</v>
      </c>
      <c r="C198" s="84">
        <v>7.4528999999999996</v>
      </c>
    </row>
    <row r="199" spans="1:3">
      <c r="A199">
        <v>47</v>
      </c>
      <c r="B199" s="84" t="s">
        <v>417</v>
      </c>
      <c r="C199" s="84">
        <v>5.6783999999999999</v>
      </c>
    </row>
    <row r="200" spans="1:3">
      <c r="A200">
        <v>63</v>
      </c>
      <c r="B200" s="84" t="s">
        <v>429</v>
      </c>
      <c r="C200" s="84">
        <v>8.5175999999999998</v>
      </c>
    </row>
    <row r="201" spans="1:3">
      <c r="A201">
        <v>42</v>
      </c>
      <c r="B201" s="84" t="s">
        <v>412</v>
      </c>
      <c r="C201" s="84">
        <v>0.70979999999999999</v>
      </c>
    </row>
    <row r="202" spans="1:3">
      <c r="A202">
        <v>58</v>
      </c>
      <c r="B202" s="84" t="s">
        <v>424</v>
      </c>
      <c r="C202" s="84">
        <v>1.0647</v>
      </c>
    </row>
    <row r="203" spans="1:3">
      <c r="A203">
        <v>48</v>
      </c>
      <c r="B203" s="84" t="s">
        <v>418</v>
      </c>
      <c r="C203" s="84">
        <v>7.0979999999999999</v>
      </c>
    </row>
    <row r="204" spans="1:3">
      <c r="A204">
        <v>64</v>
      </c>
      <c r="B204" s="84" t="s">
        <v>430</v>
      </c>
      <c r="C204" s="84">
        <v>10.647</v>
      </c>
    </row>
    <row r="205" spans="1:3">
      <c r="A205">
        <v>49</v>
      </c>
      <c r="B205" s="84" t="s">
        <v>419</v>
      </c>
      <c r="C205" s="84">
        <v>8.8725000000000005</v>
      </c>
    </row>
    <row r="206" spans="1:3">
      <c r="A206">
        <v>50</v>
      </c>
      <c r="B206" s="84" t="s">
        <v>420</v>
      </c>
      <c r="C206" s="84">
        <v>10.647</v>
      </c>
    </row>
    <row r="207" spans="1:3">
      <c r="A207">
        <v>65</v>
      </c>
      <c r="B207" s="84" t="s">
        <v>431</v>
      </c>
      <c r="C207" s="84">
        <v>15.970499999999999</v>
      </c>
    </row>
    <row r="208" spans="1:3">
      <c r="A208">
        <v>51</v>
      </c>
      <c r="B208" s="84" t="s">
        <v>421</v>
      </c>
      <c r="C208" s="84">
        <v>14.196</v>
      </c>
    </row>
    <row r="209" spans="1:3">
      <c r="A209">
        <v>66</v>
      </c>
      <c r="B209" s="84" t="s">
        <v>432</v>
      </c>
      <c r="C209" s="84">
        <v>21.294</v>
      </c>
    </row>
    <row r="210" spans="1:3">
      <c r="A210">
        <v>43</v>
      </c>
      <c r="B210" s="84" t="s">
        <v>413</v>
      </c>
      <c r="C210" s="84">
        <v>1.7745</v>
      </c>
    </row>
    <row r="211" spans="1:3">
      <c r="A211">
        <v>59</v>
      </c>
      <c r="B211" s="84" t="s">
        <v>425</v>
      </c>
      <c r="C211" s="84">
        <v>2.6617500000000001</v>
      </c>
    </row>
    <row r="212" spans="1:3">
      <c r="A212">
        <v>52</v>
      </c>
      <c r="B212" s="84" t="s">
        <v>422</v>
      </c>
      <c r="C212" s="84">
        <v>17.745000000000001</v>
      </c>
    </row>
    <row r="213" spans="1:3">
      <c r="A213">
        <v>67</v>
      </c>
      <c r="B213" s="84" t="s">
        <v>433</v>
      </c>
      <c r="C213" s="84">
        <v>26.6175</v>
      </c>
    </row>
    <row r="214" spans="1:3">
      <c r="A214">
        <v>44</v>
      </c>
      <c r="B214" s="84" t="s">
        <v>414</v>
      </c>
      <c r="C214" s="84">
        <v>2.4843000000000002</v>
      </c>
    </row>
    <row r="215" spans="1:3">
      <c r="A215">
        <v>60</v>
      </c>
      <c r="B215" s="84" t="s">
        <v>426</v>
      </c>
      <c r="C215" s="84">
        <v>3.7264499999999998</v>
      </c>
    </row>
    <row r="216" spans="1:3">
      <c r="A216">
        <v>53</v>
      </c>
      <c r="B216" s="84" t="s">
        <v>423</v>
      </c>
      <c r="C216" s="84">
        <v>28.391999999999999</v>
      </c>
    </row>
    <row r="217" spans="1:3">
      <c r="A217">
        <v>68</v>
      </c>
      <c r="B217" s="84" t="s">
        <v>434</v>
      </c>
      <c r="C217" s="84">
        <v>42.588000000000001</v>
      </c>
    </row>
    <row r="218" spans="1:3">
      <c r="A218">
        <v>645</v>
      </c>
      <c r="B218" s="83" t="s">
        <v>248</v>
      </c>
      <c r="C218" s="83">
        <v>0.30393999999999999</v>
      </c>
    </row>
    <row r="219" spans="1:3">
      <c r="A219">
        <v>653</v>
      </c>
      <c r="B219" s="83" t="s">
        <v>256</v>
      </c>
      <c r="C219" s="83">
        <v>0.45590999999999998</v>
      </c>
    </row>
    <row r="220" spans="1:3">
      <c r="A220">
        <v>646</v>
      </c>
      <c r="B220" s="83" t="s">
        <v>249</v>
      </c>
      <c r="C220" s="83">
        <v>0.42551600000000001</v>
      </c>
    </row>
    <row r="221" spans="1:3">
      <c r="A221">
        <v>654</v>
      </c>
      <c r="B221" s="83" t="s">
        <v>257</v>
      </c>
      <c r="C221" s="83">
        <v>0.63827400000000001</v>
      </c>
    </row>
    <row r="222" spans="1:3">
      <c r="A222">
        <v>647</v>
      </c>
      <c r="B222" s="83" t="s">
        <v>250</v>
      </c>
      <c r="C222" s="83">
        <v>0.60787999999999998</v>
      </c>
    </row>
    <row r="223" spans="1:3">
      <c r="A223">
        <v>655</v>
      </c>
      <c r="B223" s="83" t="s">
        <v>258</v>
      </c>
      <c r="C223" s="83">
        <v>0.91181999999999996</v>
      </c>
    </row>
    <row r="224" spans="1:3">
      <c r="A224">
        <v>648</v>
      </c>
      <c r="B224" s="83" t="s">
        <v>251</v>
      </c>
      <c r="C224" s="83">
        <v>0.91181999999999996</v>
      </c>
    </row>
    <row r="225" spans="1:3">
      <c r="A225">
        <v>656</v>
      </c>
      <c r="B225" s="83" t="s">
        <v>259</v>
      </c>
      <c r="C225" s="83">
        <v>1.3677299999999999</v>
      </c>
    </row>
    <row r="226" spans="1:3">
      <c r="A226">
        <v>649</v>
      </c>
      <c r="B226" s="83" t="s">
        <v>252</v>
      </c>
      <c r="C226" s="83">
        <v>1.21576</v>
      </c>
    </row>
    <row r="227" spans="1:3">
      <c r="A227">
        <v>657</v>
      </c>
      <c r="B227" s="83" t="s">
        <v>260</v>
      </c>
      <c r="C227" s="83">
        <v>1.8236399999999999</v>
      </c>
    </row>
    <row r="228" spans="1:3">
      <c r="A228">
        <v>643</v>
      </c>
      <c r="B228" s="83" t="s">
        <v>246</v>
      </c>
      <c r="C228" s="83">
        <v>0.15196999999999999</v>
      </c>
    </row>
    <row r="229" spans="1:3">
      <c r="A229">
        <v>651</v>
      </c>
      <c r="B229" s="83" t="s">
        <v>254</v>
      </c>
      <c r="C229" s="83">
        <v>0.22795499999999999</v>
      </c>
    </row>
    <row r="230" spans="1:3">
      <c r="A230">
        <v>650</v>
      </c>
      <c r="B230" s="83" t="s">
        <v>253</v>
      </c>
      <c r="C230" s="83">
        <v>1.5197000000000001</v>
      </c>
    </row>
    <row r="231" spans="1:3">
      <c r="A231">
        <v>658</v>
      </c>
      <c r="B231" s="83" t="s">
        <v>261</v>
      </c>
      <c r="C231" s="83">
        <v>2.27955</v>
      </c>
    </row>
    <row r="232" spans="1:3">
      <c r="A232">
        <v>644</v>
      </c>
      <c r="B232" s="83" t="s">
        <v>247</v>
      </c>
      <c r="C232" s="83">
        <v>0.212758</v>
      </c>
    </row>
    <row r="233" spans="1:3">
      <c r="A233">
        <v>652</v>
      </c>
      <c r="B233" s="83" t="s">
        <v>255</v>
      </c>
      <c r="C233" s="83">
        <v>0.319137</v>
      </c>
    </row>
    <row r="234" spans="1:3">
      <c r="A234">
        <v>306</v>
      </c>
      <c r="B234" s="84" t="s">
        <v>304</v>
      </c>
      <c r="C234" s="84">
        <v>6.0269999999999997E-2</v>
      </c>
    </row>
    <row r="235" spans="1:3">
      <c r="A235">
        <v>702</v>
      </c>
      <c r="B235" s="83" t="s">
        <v>304</v>
      </c>
      <c r="C235" s="83">
        <v>2.3068499999999998</v>
      </c>
    </row>
    <row r="236" spans="1:3">
      <c r="A236">
        <v>314</v>
      </c>
      <c r="B236" s="84" t="s">
        <v>312</v>
      </c>
      <c r="C236" s="84">
        <v>9.0404999999999999E-2</v>
      </c>
    </row>
    <row r="237" spans="1:3">
      <c r="A237">
        <v>710</v>
      </c>
      <c r="B237" s="83" t="s">
        <v>312</v>
      </c>
      <c r="C237" s="83">
        <v>3.4602750000000002</v>
      </c>
    </row>
    <row r="238" spans="1:3">
      <c r="A238">
        <v>315</v>
      </c>
      <c r="B238" s="84" t="s">
        <v>313</v>
      </c>
      <c r="C238" s="84">
        <v>0.12656700000000001</v>
      </c>
    </row>
    <row r="239" spans="1:3">
      <c r="A239">
        <v>711</v>
      </c>
      <c r="B239" s="83" t="s">
        <v>313</v>
      </c>
      <c r="C239" s="83">
        <v>4.8443849999999999</v>
      </c>
    </row>
    <row r="240" spans="1:3">
      <c r="A240">
        <v>308</v>
      </c>
      <c r="B240" s="84" t="s">
        <v>306</v>
      </c>
      <c r="C240" s="84">
        <v>0.12053999999999999</v>
      </c>
    </row>
    <row r="241" spans="1:3">
      <c r="A241">
        <v>704</v>
      </c>
      <c r="B241" s="83" t="s">
        <v>306</v>
      </c>
      <c r="C241" s="83">
        <v>4.6136999999999997</v>
      </c>
    </row>
    <row r="242" spans="1:3">
      <c r="A242">
        <v>316</v>
      </c>
      <c r="B242" s="84" t="s">
        <v>314</v>
      </c>
      <c r="C242" s="84">
        <v>0.18081</v>
      </c>
    </row>
    <row r="243" spans="1:3">
      <c r="A243">
        <v>712</v>
      </c>
      <c r="B243" s="83" t="s">
        <v>314</v>
      </c>
      <c r="C243" s="83">
        <v>6.9205500000000004</v>
      </c>
    </row>
    <row r="244" spans="1:3">
      <c r="A244">
        <v>310</v>
      </c>
      <c r="B244" s="84" t="s">
        <v>308</v>
      </c>
      <c r="C244" s="84">
        <v>0.24107999999999999</v>
      </c>
    </row>
    <row r="245" spans="1:3">
      <c r="A245">
        <v>706</v>
      </c>
      <c r="B245" s="83" t="s">
        <v>308</v>
      </c>
      <c r="C245" s="83">
        <v>9.2273999999999994</v>
      </c>
    </row>
    <row r="246" spans="1:3">
      <c r="A246">
        <v>318</v>
      </c>
      <c r="B246" s="84" t="s">
        <v>316</v>
      </c>
      <c r="C246" s="84">
        <v>0.36162</v>
      </c>
    </row>
    <row r="247" spans="1:3">
      <c r="A247">
        <v>714</v>
      </c>
      <c r="B247" s="83" t="s">
        <v>316</v>
      </c>
      <c r="C247" s="83">
        <v>13.841100000000001</v>
      </c>
    </row>
    <row r="248" spans="1:3">
      <c r="A248">
        <v>319</v>
      </c>
      <c r="B248" s="84" t="s">
        <v>317</v>
      </c>
      <c r="C248" s="84">
        <v>0.45202500000000001</v>
      </c>
    </row>
    <row r="249" spans="1:3">
      <c r="A249">
        <v>715</v>
      </c>
      <c r="B249" s="83" t="s">
        <v>317</v>
      </c>
      <c r="C249" s="83">
        <v>17.301375</v>
      </c>
    </row>
    <row r="250" spans="1:3">
      <c r="A250">
        <v>305</v>
      </c>
      <c r="B250" s="84" t="s">
        <v>303</v>
      </c>
      <c r="C250" s="84">
        <v>4.2188999999999997E-2</v>
      </c>
    </row>
    <row r="251" spans="1:3">
      <c r="A251">
        <v>701</v>
      </c>
      <c r="B251" s="83" t="s">
        <v>303</v>
      </c>
      <c r="C251" s="83">
        <v>1.614795</v>
      </c>
    </row>
    <row r="252" spans="1:3">
      <c r="A252">
        <v>307</v>
      </c>
      <c r="B252" s="84" t="s">
        <v>305</v>
      </c>
      <c r="C252" s="84">
        <v>8.4377999999999995E-2</v>
      </c>
    </row>
    <row r="253" spans="1:3">
      <c r="A253">
        <v>703</v>
      </c>
      <c r="B253" s="83" t="s">
        <v>305</v>
      </c>
      <c r="C253" s="83">
        <v>3.22959</v>
      </c>
    </row>
    <row r="254" spans="1:3">
      <c r="A254">
        <v>309</v>
      </c>
      <c r="B254" s="84" t="s">
        <v>307</v>
      </c>
      <c r="C254" s="84">
        <v>0.18081</v>
      </c>
    </row>
    <row r="255" spans="1:3">
      <c r="A255">
        <v>705</v>
      </c>
      <c r="B255" s="83" t="s">
        <v>307</v>
      </c>
      <c r="C255" s="83">
        <v>6.9205500000000004</v>
      </c>
    </row>
    <row r="256" spans="1:3">
      <c r="A256">
        <v>317</v>
      </c>
      <c r="B256" s="84" t="s">
        <v>315</v>
      </c>
      <c r="C256" s="84">
        <v>0.27121499999999998</v>
      </c>
    </row>
    <row r="257" spans="1:3">
      <c r="A257">
        <v>713</v>
      </c>
      <c r="B257" s="83" t="s">
        <v>315</v>
      </c>
      <c r="C257" s="83">
        <v>10.380825</v>
      </c>
    </row>
    <row r="258" spans="1:3">
      <c r="A258">
        <v>304</v>
      </c>
      <c r="B258" s="84" t="s">
        <v>302</v>
      </c>
      <c r="C258" s="84">
        <v>3.0134999999999999E-2</v>
      </c>
    </row>
    <row r="259" spans="1:3">
      <c r="A259">
        <v>700</v>
      </c>
      <c r="B259" s="83" t="s">
        <v>302</v>
      </c>
      <c r="C259" s="83">
        <v>1.1534249999999999</v>
      </c>
    </row>
    <row r="260" spans="1:3">
      <c r="A260">
        <v>312</v>
      </c>
      <c r="B260" s="84" t="s">
        <v>310</v>
      </c>
      <c r="C260" s="84">
        <v>4.52025E-2</v>
      </c>
    </row>
    <row r="261" spans="1:3">
      <c r="A261">
        <v>708</v>
      </c>
      <c r="B261" s="83" t="s">
        <v>310</v>
      </c>
      <c r="C261" s="83">
        <v>1.7301375000000001</v>
      </c>
    </row>
    <row r="262" spans="1:3">
      <c r="A262">
        <v>311</v>
      </c>
      <c r="B262" s="84" t="s">
        <v>309</v>
      </c>
      <c r="C262" s="84">
        <v>0.30135000000000001</v>
      </c>
    </row>
    <row r="263" spans="1:3">
      <c r="A263">
        <v>707</v>
      </c>
      <c r="B263" s="83" t="s">
        <v>309</v>
      </c>
      <c r="C263" s="83">
        <v>11.53425</v>
      </c>
    </row>
    <row r="264" spans="1:3">
      <c r="A264">
        <v>313</v>
      </c>
      <c r="B264" s="84" t="s">
        <v>311</v>
      </c>
      <c r="C264" s="84">
        <v>6.3283500000000006E-2</v>
      </c>
    </row>
    <row r="265" spans="1:3">
      <c r="A265">
        <v>709</v>
      </c>
      <c r="B265" s="83" t="s">
        <v>311</v>
      </c>
      <c r="C265" s="83">
        <v>2.4221925</v>
      </c>
    </row>
    <row r="266" spans="1:3">
      <c r="A266">
        <v>290</v>
      </c>
      <c r="B266" s="84" t="s">
        <v>289</v>
      </c>
      <c r="C266" s="84">
        <v>0.14432</v>
      </c>
    </row>
    <row r="267" spans="1:3">
      <c r="A267">
        <v>298</v>
      </c>
      <c r="B267" s="84" t="s">
        <v>297</v>
      </c>
      <c r="C267" s="84">
        <v>0.2132</v>
      </c>
    </row>
    <row r="268" spans="1:3">
      <c r="A268">
        <v>291</v>
      </c>
      <c r="B268" s="84" t="s">
        <v>290</v>
      </c>
      <c r="C268" s="84">
        <v>0.20204800000000001</v>
      </c>
    </row>
    <row r="269" spans="1:3">
      <c r="A269">
        <v>299</v>
      </c>
      <c r="B269" s="84" t="s">
        <v>298</v>
      </c>
      <c r="C269" s="84">
        <v>0.29848000000000002</v>
      </c>
    </row>
    <row r="270" spans="1:3">
      <c r="A270">
        <v>292</v>
      </c>
      <c r="B270" s="84" t="s">
        <v>291</v>
      </c>
      <c r="C270" s="84">
        <v>0.28864000000000001</v>
      </c>
    </row>
    <row r="271" spans="1:3">
      <c r="A271">
        <v>300</v>
      </c>
      <c r="B271" s="84" t="s">
        <v>299</v>
      </c>
      <c r="C271" s="84">
        <v>0.4264</v>
      </c>
    </row>
    <row r="272" spans="1:3">
      <c r="A272">
        <v>293</v>
      </c>
      <c r="B272" s="84" t="s">
        <v>292</v>
      </c>
      <c r="C272" s="84">
        <v>0.43296000000000001</v>
      </c>
    </row>
    <row r="273" spans="1:3">
      <c r="A273">
        <v>301</v>
      </c>
      <c r="B273" s="84" t="s">
        <v>292</v>
      </c>
      <c r="C273" s="84">
        <v>0.63959999999999995</v>
      </c>
    </row>
    <row r="274" spans="1:3">
      <c r="A274">
        <v>294</v>
      </c>
      <c r="B274" s="84" t="s">
        <v>293</v>
      </c>
      <c r="C274" s="84">
        <v>0.57728000000000002</v>
      </c>
    </row>
    <row r="275" spans="1:3">
      <c r="A275">
        <v>302</v>
      </c>
      <c r="B275" s="84" t="s">
        <v>300</v>
      </c>
      <c r="C275" s="84">
        <v>0.8528</v>
      </c>
    </row>
    <row r="276" spans="1:3">
      <c r="A276">
        <v>288</v>
      </c>
      <c r="B276" s="84" t="s">
        <v>287</v>
      </c>
      <c r="C276" s="84">
        <v>7.2160000000000002E-2</v>
      </c>
    </row>
    <row r="277" spans="1:3">
      <c r="A277">
        <v>296</v>
      </c>
      <c r="B277" s="84" t="s">
        <v>295</v>
      </c>
      <c r="C277" s="84">
        <v>0.1066</v>
      </c>
    </row>
    <row r="278" spans="1:3">
      <c r="A278">
        <v>295</v>
      </c>
      <c r="B278" s="84" t="s">
        <v>294</v>
      </c>
      <c r="C278" s="84">
        <v>0.72160000000000002</v>
      </c>
    </row>
    <row r="279" spans="1:3">
      <c r="A279">
        <v>303</v>
      </c>
      <c r="B279" s="84" t="s">
        <v>301</v>
      </c>
      <c r="C279" s="84">
        <v>1.0660000000000001</v>
      </c>
    </row>
    <row r="280" spans="1:3">
      <c r="A280">
        <v>289</v>
      </c>
      <c r="B280" s="84" t="s">
        <v>288</v>
      </c>
      <c r="C280" s="84">
        <v>0.101024</v>
      </c>
    </row>
    <row r="281" spans="1:3">
      <c r="A281">
        <v>297</v>
      </c>
      <c r="B281" s="84" t="s">
        <v>296</v>
      </c>
      <c r="C281" s="84">
        <v>0.14924000000000001</v>
      </c>
    </row>
    <row r="282" spans="1:3">
      <c r="A282">
        <v>348</v>
      </c>
      <c r="B282" s="84" t="s">
        <v>345</v>
      </c>
      <c r="C282">
        <v>84.29616</v>
      </c>
    </row>
    <row r="283" spans="1:3">
      <c r="A283">
        <v>378</v>
      </c>
      <c r="B283" s="82" t="s">
        <v>345</v>
      </c>
      <c r="C283">
        <v>20.191680000000002</v>
      </c>
    </row>
    <row r="284" spans="1:3">
      <c r="A284">
        <v>744</v>
      </c>
      <c r="B284" s="83" t="s">
        <v>345</v>
      </c>
      <c r="C284">
        <v>92.476799999999997</v>
      </c>
    </row>
    <row r="285" spans="1:3">
      <c r="A285">
        <v>363</v>
      </c>
      <c r="B285" s="84" t="s">
        <v>360</v>
      </c>
      <c r="C285">
        <v>126.44423999999999</v>
      </c>
    </row>
    <row r="286" spans="1:3">
      <c r="A286">
        <v>393</v>
      </c>
      <c r="B286" s="82" t="s">
        <v>360</v>
      </c>
      <c r="C286">
        <v>56.789099999999998</v>
      </c>
    </row>
    <row r="287" spans="1:3">
      <c r="A287">
        <v>759</v>
      </c>
      <c r="B287" s="83" t="s">
        <v>360</v>
      </c>
      <c r="C287">
        <v>294.76979999999998</v>
      </c>
    </row>
    <row r="288" spans="1:3">
      <c r="A288">
        <v>350</v>
      </c>
      <c r="B288" s="84" t="s">
        <v>347</v>
      </c>
      <c r="C288">
        <v>134.87385599999999</v>
      </c>
    </row>
    <row r="289" spans="1:3">
      <c r="A289">
        <v>380</v>
      </c>
      <c r="B289" s="82" t="s">
        <v>347</v>
      </c>
      <c r="C289">
        <v>32.306688000000001</v>
      </c>
    </row>
    <row r="290" spans="1:3">
      <c r="A290">
        <v>746</v>
      </c>
      <c r="B290" s="83" t="s">
        <v>347</v>
      </c>
      <c r="C290">
        <v>147.96288000000001</v>
      </c>
    </row>
    <row r="291" spans="1:3">
      <c r="A291">
        <v>365</v>
      </c>
      <c r="B291" s="84" t="s">
        <v>362</v>
      </c>
      <c r="C291">
        <v>202.31078400000001</v>
      </c>
    </row>
    <row r="292" spans="1:3">
      <c r="A292">
        <v>395</v>
      </c>
      <c r="B292" s="82" t="s">
        <v>362</v>
      </c>
      <c r="C292">
        <v>90.862560000000002</v>
      </c>
    </row>
    <row r="293" spans="1:3">
      <c r="A293">
        <v>761</v>
      </c>
      <c r="B293" s="83" t="s">
        <v>362</v>
      </c>
      <c r="C293">
        <v>471.63168000000002</v>
      </c>
    </row>
    <row r="294" spans="1:3">
      <c r="A294">
        <v>349</v>
      </c>
      <c r="B294" s="84" t="s">
        <v>346</v>
      </c>
      <c r="C294">
        <v>112.39488</v>
      </c>
    </row>
    <row r="295" spans="1:3">
      <c r="A295">
        <v>379</v>
      </c>
      <c r="B295" s="82" t="s">
        <v>346</v>
      </c>
      <c r="C295">
        <v>26.922239999999999</v>
      </c>
    </row>
    <row r="296" spans="1:3">
      <c r="A296">
        <v>745</v>
      </c>
      <c r="B296" s="83" t="s">
        <v>346</v>
      </c>
      <c r="C296">
        <v>123.30240000000001</v>
      </c>
    </row>
    <row r="297" spans="1:3">
      <c r="A297">
        <v>364</v>
      </c>
      <c r="B297" s="84" t="s">
        <v>361</v>
      </c>
      <c r="C297">
        <v>168.59232</v>
      </c>
    </row>
    <row r="298" spans="1:3">
      <c r="A298">
        <v>394</v>
      </c>
      <c r="B298" s="82" t="s">
        <v>361</v>
      </c>
      <c r="C298">
        <v>75.718800000000002</v>
      </c>
    </row>
    <row r="299" spans="1:3">
      <c r="A299">
        <v>760</v>
      </c>
      <c r="B299" s="83" t="s">
        <v>361</v>
      </c>
      <c r="C299">
        <v>393.02640000000002</v>
      </c>
    </row>
    <row r="300" spans="1:3">
      <c r="A300">
        <v>366</v>
      </c>
      <c r="B300" s="84" t="s">
        <v>363</v>
      </c>
      <c r="C300">
        <v>269.74771199999998</v>
      </c>
    </row>
    <row r="301" spans="1:3">
      <c r="A301">
        <v>396</v>
      </c>
      <c r="B301" s="82" t="s">
        <v>363</v>
      </c>
      <c r="C301">
        <v>121.15008</v>
      </c>
    </row>
    <row r="302" spans="1:3">
      <c r="A302">
        <v>762</v>
      </c>
      <c r="B302" s="83" t="s">
        <v>363</v>
      </c>
      <c r="C302">
        <v>628.84223999999995</v>
      </c>
    </row>
    <row r="303" spans="1:3">
      <c r="A303">
        <v>340</v>
      </c>
      <c r="B303" s="84" t="s">
        <v>337</v>
      </c>
      <c r="C303" s="84">
        <v>1.404936</v>
      </c>
    </row>
    <row r="304" spans="1:3">
      <c r="A304">
        <v>370</v>
      </c>
      <c r="B304" s="82" t="s">
        <v>337</v>
      </c>
      <c r="C304" s="82">
        <v>0.33652799999999999</v>
      </c>
    </row>
    <row r="305" spans="1:3">
      <c r="A305">
        <v>736</v>
      </c>
      <c r="B305" s="83" t="s">
        <v>337</v>
      </c>
      <c r="C305" s="83">
        <v>1.54128</v>
      </c>
    </row>
    <row r="306" spans="1:3">
      <c r="A306">
        <v>355</v>
      </c>
      <c r="B306" s="84" t="s">
        <v>352</v>
      </c>
      <c r="C306" s="84">
        <v>2.1074039999999998</v>
      </c>
    </row>
    <row r="307" spans="1:3">
      <c r="A307">
        <v>385</v>
      </c>
      <c r="B307" s="82" t="s">
        <v>352</v>
      </c>
      <c r="C307" s="82">
        <v>0.94648500000000002</v>
      </c>
    </row>
    <row r="308" spans="1:3">
      <c r="A308">
        <v>751</v>
      </c>
      <c r="B308" s="83" t="s">
        <v>352</v>
      </c>
      <c r="C308" s="83">
        <v>4.9128299999999996</v>
      </c>
    </row>
    <row r="309" spans="1:3">
      <c r="A309">
        <v>341</v>
      </c>
      <c r="B309" s="84" t="s">
        <v>338</v>
      </c>
      <c r="C309" s="84">
        <v>1.9669103999999999</v>
      </c>
    </row>
    <row r="310" spans="1:3">
      <c r="A310">
        <v>371</v>
      </c>
      <c r="B310" s="82" t="s">
        <v>338</v>
      </c>
      <c r="C310" s="82">
        <v>0.47113919999999998</v>
      </c>
    </row>
    <row r="311" spans="1:3">
      <c r="A311">
        <v>737</v>
      </c>
      <c r="B311" s="83" t="s">
        <v>338</v>
      </c>
      <c r="C311" s="83">
        <v>2.1577920000000002</v>
      </c>
    </row>
    <row r="312" spans="1:3">
      <c r="A312">
        <v>356</v>
      </c>
      <c r="B312" s="84" t="s">
        <v>353</v>
      </c>
      <c r="C312" s="84">
        <v>2.9503656</v>
      </c>
    </row>
    <row r="313" spans="1:3">
      <c r="A313">
        <v>386</v>
      </c>
      <c r="B313" s="82" t="s">
        <v>353</v>
      </c>
      <c r="C313" s="82">
        <v>1.3250789999999999</v>
      </c>
    </row>
    <row r="314" spans="1:3">
      <c r="A314">
        <v>752</v>
      </c>
      <c r="B314" s="83" t="s">
        <v>353</v>
      </c>
      <c r="C314" s="83">
        <v>6.8779620000000001</v>
      </c>
    </row>
    <row r="315" spans="1:3">
      <c r="A315">
        <v>342</v>
      </c>
      <c r="B315" s="84" t="s">
        <v>339</v>
      </c>
      <c r="C315" s="84">
        <v>2.2478975999999999</v>
      </c>
    </row>
    <row r="316" spans="1:3">
      <c r="A316">
        <v>372</v>
      </c>
      <c r="B316" s="82" t="s">
        <v>339</v>
      </c>
      <c r="C316" s="82">
        <v>0.53844479999999995</v>
      </c>
    </row>
    <row r="317" spans="1:3">
      <c r="A317">
        <v>738</v>
      </c>
      <c r="B317" s="83" t="s">
        <v>339</v>
      </c>
      <c r="C317" s="83">
        <v>2.4660479999999998</v>
      </c>
    </row>
    <row r="318" spans="1:3">
      <c r="A318">
        <v>357</v>
      </c>
      <c r="B318" s="84" t="s">
        <v>354</v>
      </c>
      <c r="C318" s="84">
        <v>3.3718463999999999</v>
      </c>
    </row>
    <row r="319" spans="1:3">
      <c r="A319">
        <v>387</v>
      </c>
      <c r="B319" s="82" t="s">
        <v>354</v>
      </c>
      <c r="C319" s="82">
        <v>1.5143759999999999</v>
      </c>
    </row>
    <row r="320" spans="1:3">
      <c r="A320">
        <v>753</v>
      </c>
      <c r="B320" s="83" t="s">
        <v>354</v>
      </c>
      <c r="C320" s="83">
        <v>7.8605280000000004</v>
      </c>
    </row>
    <row r="321" spans="1:3">
      <c r="A321">
        <v>337</v>
      </c>
      <c r="B321" s="84" t="s">
        <v>334</v>
      </c>
      <c r="C321" s="84">
        <v>0.28098719999999999</v>
      </c>
    </row>
    <row r="322" spans="1:3">
      <c r="A322">
        <v>367</v>
      </c>
      <c r="B322" s="82" t="s">
        <v>334</v>
      </c>
      <c r="C322" s="82">
        <v>6.7305599999999993E-2</v>
      </c>
    </row>
    <row r="323" spans="1:3">
      <c r="A323">
        <v>733</v>
      </c>
      <c r="B323" s="83" t="s">
        <v>334</v>
      </c>
      <c r="C323" s="83">
        <v>0.30825599999999997</v>
      </c>
    </row>
    <row r="324" spans="1:3">
      <c r="A324">
        <v>352</v>
      </c>
      <c r="B324" s="84" t="s">
        <v>349</v>
      </c>
      <c r="C324" s="84">
        <v>0.42148079999999999</v>
      </c>
    </row>
    <row r="325" spans="1:3">
      <c r="A325">
        <v>382</v>
      </c>
      <c r="B325" s="82" t="s">
        <v>349</v>
      </c>
      <c r="C325" s="82">
        <v>0.18929699999999999</v>
      </c>
    </row>
    <row r="326" spans="1:3">
      <c r="A326">
        <v>748</v>
      </c>
      <c r="B326" s="83" t="s">
        <v>349</v>
      </c>
      <c r="C326" s="83">
        <v>0.98256600000000005</v>
      </c>
    </row>
    <row r="327" spans="1:3">
      <c r="A327">
        <v>343</v>
      </c>
      <c r="B327" s="84" t="s">
        <v>340</v>
      </c>
      <c r="C327" s="84">
        <v>2.8098719999999999</v>
      </c>
    </row>
    <row r="328" spans="1:3">
      <c r="A328">
        <v>373</v>
      </c>
      <c r="B328" s="82" t="s">
        <v>340</v>
      </c>
      <c r="C328" s="82">
        <v>0.67305599999999999</v>
      </c>
    </row>
    <row r="329" spans="1:3">
      <c r="A329">
        <v>739</v>
      </c>
      <c r="B329" s="83" t="s">
        <v>340</v>
      </c>
      <c r="C329" s="83">
        <v>3.08256</v>
      </c>
    </row>
    <row r="330" spans="1:3">
      <c r="A330">
        <v>358</v>
      </c>
      <c r="B330" s="84" t="s">
        <v>355</v>
      </c>
      <c r="C330" s="84">
        <v>4.2148079999999997</v>
      </c>
    </row>
    <row r="331" spans="1:3">
      <c r="A331">
        <v>388</v>
      </c>
      <c r="B331" s="82" t="s">
        <v>355</v>
      </c>
      <c r="C331" s="82">
        <v>1.89297</v>
      </c>
    </row>
    <row r="332" spans="1:3">
      <c r="A332">
        <v>754</v>
      </c>
      <c r="B332" s="83" t="s">
        <v>355</v>
      </c>
      <c r="C332" s="83">
        <v>9.8256599999999992</v>
      </c>
    </row>
    <row r="333" spans="1:3">
      <c r="A333">
        <v>344</v>
      </c>
      <c r="B333" s="84" t="s">
        <v>341</v>
      </c>
      <c r="C333" s="84">
        <v>4.2148079999999997</v>
      </c>
    </row>
    <row r="334" spans="1:3">
      <c r="A334">
        <v>374</v>
      </c>
      <c r="B334" s="82" t="s">
        <v>341</v>
      </c>
      <c r="C334" s="82">
        <v>1.009584</v>
      </c>
    </row>
    <row r="335" spans="1:3">
      <c r="A335">
        <v>740</v>
      </c>
      <c r="B335" s="83" t="s">
        <v>341</v>
      </c>
      <c r="C335" s="83">
        <v>4.6238400000000004</v>
      </c>
    </row>
    <row r="336" spans="1:3">
      <c r="A336">
        <v>359</v>
      </c>
      <c r="B336" s="84" t="s">
        <v>356</v>
      </c>
      <c r="C336" s="84">
        <v>6.3222120000000004</v>
      </c>
    </row>
    <row r="337" spans="1:3">
      <c r="A337">
        <v>389</v>
      </c>
      <c r="B337" s="82" t="s">
        <v>356</v>
      </c>
      <c r="C337" s="82">
        <v>2.8394550000000001</v>
      </c>
    </row>
    <row r="338" spans="1:3">
      <c r="A338">
        <v>755</v>
      </c>
      <c r="B338" s="83" t="s">
        <v>356</v>
      </c>
      <c r="C338" s="83">
        <v>14.738490000000001</v>
      </c>
    </row>
    <row r="339" spans="1:3">
      <c r="A339">
        <v>345</v>
      </c>
      <c r="B339" s="84" t="s">
        <v>342</v>
      </c>
      <c r="C339" s="84">
        <v>5.6197439999999999</v>
      </c>
    </row>
    <row r="340" spans="1:3">
      <c r="A340">
        <v>375</v>
      </c>
      <c r="B340" s="82" t="s">
        <v>342</v>
      </c>
      <c r="C340" s="82">
        <v>1.346112</v>
      </c>
    </row>
    <row r="341" spans="1:3">
      <c r="A341">
        <v>741</v>
      </c>
      <c r="B341" s="83" t="s">
        <v>342</v>
      </c>
      <c r="C341" s="83">
        <v>6.1651199999999999</v>
      </c>
    </row>
    <row r="342" spans="1:3">
      <c r="A342">
        <v>360</v>
      </c>
      <c r="B342" s="84" t="s">
        <v>357</v>
      </c>
      <c r="C342" s="84">
        <v>8.4296159999999993</v>
      </c>
    </row>
    <row r="343" spans="1:3">
      <c r="A343">
        <v>390</v>
      </c>
      <c r="B343" s="82" t="s">
        <v>357</v>
      </c>
      <c r="C343" s="82">
        <v>3.7859400000000001</v>
      </c>
    </row>
    <row r="344" spans="1:3">
      <c r="A344">
        <v>756</v>
      </c>
      <c r="B344" s="83" t="s">
        <v>357</v>
      </c>
      <c r="C344" s="83">
        <v>19.651319999999998</v>
      </c>
    </row>
    <row r="345" spans="1:3">
      <c r="A345">
        <v>338</v>
      </c>
      <c r="B345" s="84" t="s">
        <v>335</v>
      </c>
      <c r="C345" s="84">
        <v>0.70246799999999998</v>
      </c>
    </row>
    <row r="346" spans="1:3">
      <c r="A346">
        <v>368</v>
      </c>
      <c r="B346" s="82" t="s">
        <v>335</v>
      </c>
      <c r="C346" s="82">
        <v>0.168264</v>
      </c>
    </row>
    <row r="347" spans="1:3">
      <c r="A347">
        <v>734</v>
      </c>
      <c r="B347" s="83" t="s">
        <v>335</v>
      </c>
      <c r="C347" s="83">
        <v>0.77063999999999999</v>
      </c>
    </row>
    <row r="348" spans="1:3">
      <c r="A348">
        <v>353</v>
      </c>
      <c r="B348" s="84" t="s">
        <v>350</v>
      </c>
      <c r="C348" s="84">
        <v>1.0537019999999999</v>
      </c>
    </row>
    <row r="349" spans="1:3">
      <c r="A349">
        <v>383</v>
      </c>
      <c r="B349" s="82" t="s">
        <v>350</v>
      </c>
      <c r="C349" s="82">
        <v>0.47324250000000001</v>
      </c>
    </row>
    <row r="350" spans="1:3">
      <c r="A350">
        <v>749</v>
      </c>
      <c r="B350" s="83" t="s">
        <v>350</v>
      </c>
      <c r="C350" s="83">
        <v>2.4564149999999998</v>
      </c>
    </row>
    <row r="351" spans="1:3">
      <c r="A351">
        <v>346</v>
      </c>
      <c r="B351" s="84" t="s">
        <v>343</v>
      </c>
      <c r="C351" s="84">
        <v>7.02468</v>
      </c>
    </row>
    <row r="352" spans="1:3">
      <c r="A352">
        <v>376</v>
      </c>
      <c r="B352" s="82" t="s">
        <v>343</v>
      </c>
      <c r="C352" s="82">
        <v>1.6826399999999999</v>
      </c>
    </row>
    <row r="353" spans="1:3">
      <c r="A353">
        <v>742</v>
      </c>
      <c r="B353" s="83" t="s">
        <v>343</v>
      </c>
      <c r="C353" s="83">
        <v>7.7064000000000004</v>
      </c>
    </row>
    <row r="354" spans="1:3">
      <c r="A354">
        <v>361</v>
      </c>
      <c r="B354" s="84" t="s">
        <v>358</v>
      </c>
      <c r="C354" s="84">
        <v>10.53702</v>
      </c>
    </row>
    <row r="355" spans="1:3">
      <c r="A355">
        <v>391</v>
      </c>
      <c r="B355" s="82" t="s">
        <v>358</v>
      </c>
      <c r="C355" s="82">
        <v>4.7324250000000001</v>
      </c>
    </row>
    <row r="356" spans="1:3">
      <c r="A356">
        <v>757</v>
      </c>
      <c r="B356" s="83" t="s">
        <v>358</v>
      </c>
      <c r="C356" s="83">
        <v>24.564150000000001</v>
      </c>
    </row>
    <row r="357" spans="1:3">
      <c r="A357">
        <v>339</v>
      </c>
      <c r="B357" s="84" t="s">
        <v>336</v>
      </c>
      <c r="C357" s="84">
        <v>0.98345519999999997</v>
      </c>
    </row>
    <row r="358" spans="1:3">
      <c r="A358">
        <v>369</v>
      </c>
      <c r="B358" s="82" t="s">
        <v>336</v>
      </c>
      <c r="C358" s="82">
        <v>0.23556959999999999</v>
      </c>
    </row>
    <row r="359" spans="1:3">
      <c r="A359">
        <v>735</v>
      </c>
      <c r="B359" s="83" t="s">
        <v>336</v>
      </c>
      <c r="C359" s="83">
        <v>1.0788960000000001</v>
      </c>
    </row>
    <row r="360" spans="1:3">
      <c r="A360">
        <v>354</v>
      </c>
      <c r="B360" s="84" t="s">
        <v>351</v>
      </c>
      <c r="C360" s="84">
        <v>1.4751828</v>
      </c>
    </row>
    <row r="361" spans="1:3">
      <c r="A361">
        <v>384</v>
      </c>
      <c r="B361" s="82" t="s">
        <v>351</v>
      </c>
      <c r="C361" s="82">
        <v>0.66253949999999995</v>
      </c>
    </row>
    <row r="362" spans="1:3">
      <c r="A362">
        <v>750</v>
      </c>
      <c r="B362" s="83" t="s">
        <v>351</v>
      </c>
      <c r="C362" s="83">
        <v>3.4389810000000001</v>
      </c>
    </row>
    <row r="363" spans="1:3">
      <c r="A363">
        <v>347</v>
      </c>
      <c r="B363" s="84" t="s">
        <v>344</v>
      </c>
      <c r="C363" s="84">
        <v>11.239488</v>
      </c>
    </row>
    <row r="364" spans="1:3">
      <c r="A364">
        <v>377</v>
      </c>
      <c r="B364" s="82" t="s">
        <v>344</v>
      </c>
      <c r="C364" s="82">
        <v>2.692224</v>
      </c>
    </row>
    <row r="365" spans="1:3">
      <c r="A365">
        <v>743</v>
      </c>
      <c r="B365" s="83" t="s">
        <v>344</v>
      </c>
      <c r="C365" s="83">
        <v>12.33024</v>
      </c>
    </row>
    <row r="366" spans="1:3">
      <c r="A366">
        <v>362</v>
      </c>
      <c r="B366" s="84" t="s">
        <v>359</v>
      </c>
      <c r="C366" s="84">
        <v>16.859231999999999</v>
      </c>
    </row>
    <row r="367" spans="1:3">
      <c r="A367">
        <v>392</v>
      </c>
      <c r="B367" s="82" t="s">
        <v>359</v>
      </c>
      <c r="C367" s="82">
        <v>7.5718800000000002</v>
      </c>
    </row>
    <row r="368" spans="1:3">
      <c r="A368">
        <v>758</v>
      </c>
      <c r="B368" s="83" t="s">
        <v>359</v>
      </c>
      <c r="C368" s="83">
        <v>39.302639999999997</v>
      </c>
    </row>
    <row r="369" spans="1:3">
      <c r="A369">
        <v>351</v>
      </c>
      <c r="B369" s="84" t="s">
        <v>348</v>
      </c>
      <c r="C369">
        <v>179.831808</v>
      </c>
    </row>
    <row r="370" spans="1:3">
      <c r="A370">
        <v>381</v>
      </c>
      <c r="B370" s="82" t="s">
        <v>348</v>
      </c>
      <c r="C370">
        <v>43.075583999999999</v>
      </c>
    </row>
    <row r="371" spans="1:3">
      <c r="A371">
        <v>747</v>
      </c>
      <c r="B371" s="83" t="s">
        <v>348</v>
      </c>
      <c r="C371">
        <v>197.28384</v>
      </c>
    </row>
    <row r="372" spans="1:3">
      <c r="A372">
        <v>267</v>
      </c>
      <c r="B372" s="84" t="s">
        <v>266</v>
      </c>
      <c r="C372">
        <v>5.4282240000000002</v>
      </c>
    </row>
    <row r="373" spans="1:3">
      <c r="A373">
        <v>663</v>
      </c>
      <c r="B373" s="83" t="s">
        <v>266</v>
      </c>
      <c r="C373">
        <v>131.05152000000001</v>
      </c>
    </row>
    <row r="374" spans="1:3">
      <c r="A374">
        <v>271</v>
      </c>
      <c r="B374" s="84" t="s">
        <v>270</v>
      </c>
      <c r="C374">
        <v>8.1423360000000002</v>
      </c>
    </row>
    <row r="375" spans="1:3">
      <c r="A375">
        <v>667</v>
      </c>
      <c r="B375" s="83" t="s">
        <v>270</v>
      </c>
      <c r="C375">
        <v>196.57728</v>
      </c>
    </row>
    <row r="376" spans="1:3">
      <c r="A376">
        <v>268</v>
      </c>
      <c r="B376" s="84" t="s">
        <v>267</v>
      </c>
      <c r="C376">
        <v>7.2376319999999996</v>
      </c>
    </row>
    <row r="377" spans="1:3">
      <c r="A377">
        <v>664</v>
      </c>
      <c r="B377" s="83" t="s">
        <v>267</v>
      </c>
      <c r="C377">
        <v>174.73535999999999</v>
      </c>
    </row>
    <row r="378" spans="1:3">
      <c r="A378">
        <v>272</v>
      </c>
      <c r="B378" s="84" t="s">
        <v>271</v>
      </c>
      <c r="C378">
        <v>10.856448</v>
      </c>
    </row>
    <row r="379" spans="1:3">
      <c r="A379">
        <v>668</v>
      </c>
      <c r="B379" s="83" t="s">
        <v>271</v>
      </c>
      <c r="C379">
        <v>262.10304000000002</v>
      </c>
    </row>
    <row r="380" spans="1:3">
      <c r="A380">
        <v>263</v>
      </c>
      <c r="B380" s="84" t="s">
        <v>262</v>
      </c>
      <c r="C380" s="84">
        <v>0.27141120000000002</v>
      </c>
    </row>
    <row r="381" spans="1:3">
      <c r="A381">
        <v>659</v>
      </c>
      <c r="B381" s="83" t="s">
        <v>262</v>
      </c>
      <c r="C381" s="83">
        <v>6.5525760000000002</v>
      </c>
    </row>
    <row r="382" spans="1:3">
      <c r="A382">
        <v>265</v>
      </c>
      <c r="B382" s="84" t="s">
        <v>264</v>
      </c>
      <c r="C382" s="84">
        <v>0.36188160000000003</v>
      </c>
    </row>
    <row r="383" spans="1:3">
      <c r="A383">
        <v>661</v>
      </c>
      <c r="B383" s="83" t="s">
        <v>264</v>
      </c>
      <c r="C383" s="83">
        <v>8.7367679999999996</v>
      </c>
    </row>
    <row r="384" spans="1:3">
      <c r="A384">
        <v>269</v>
      </c>
      <c r="B384" s="84" t="s">
        <v>268</v>
      </c>
      <c r="C384" s="84">
        <v>0.54282240000000004</v>
      </c>
    </row>
    <row r="385" spans="1:3">
      <c r="A385">
        <v>665</v>
      </c>
      <c r="B385" s="83" t="s">
        <v>268</v>
      </c>
      <c r="C385" s="83">
        <v>13.105152</v>
      </c>
    </row>
    <row r="386" spans="1:3">
      <c r="A386">
        <v>264</v>
      </c>
      <c r="B386" s="84" t="s">
        <v>263</v>
      </c>
      <c r="C386" s="84">
        <v>0.33926400000000001</v>
      </c>
    </row>
    <row r="387" spans="1:3">
      <c r="A387">
        <v>660</v>
      </c>
      <c r="B387" s="83" t="s">
        <v>263</v>
      </c>
      <c r="C387" s="83">
        <v>8.1907200000000007</v>
      </c>
    </row>
    <row r="388" spans="1:3">
      <c r="A388">
        <v>266</v>
      </c>
      <c r="B388" s="84" t="s">
        <v>265</v>
      </c>
      <c r="C388" s="84">
        <v>0.45235199999999998</v>
      </c>
    </row>
    <row r="389" spans="1:3">
      <c r="A389">
        <v>662</v>
      </c>
      <c r="B389" s="83" t="s">
        <v>265</v>
      </c>
      <c r="C389" s="83">
        <v>10.920959999999999</v>
      </c>
    </row>
    <row r="390" spans="1:3">
      <c r="A390">
        <v>270</v>
      </c>
      <c r="B390" s="84" t="s">
        <v>269</v>
      </c>
      <c r="C390" s="84">
        <v>0.67852800000000002</v>
      </c>
    </row>
    <row r="391" spans="1:3">
      <c r="A391">
        <v>666</v>
      </c>
      <c r="B391" s="83" t="s">
        <v>269</v>
      </c>
      <c r="C391" s="83">
        <v>16.381440000000001</v>
      </c>
    </row>
    <row r="392" spans="1:3">
      <c r="A392">
        <v>275</v>
      </c>
      <c r="B392" s="84" t="s">
        <v>274</v>
      </c>
      <c r="C392" s="84">
        <v>7.79E-3</v>
      </c>
    </row>
    <row r="393" spans="1:3">
      <c r="A393">
        <v>671</v>
      </c>
      <c r="B393" s="83" t="s">
        <v>274</v>
      </c>
      <c r="C393" s="83">
        <v>2.138925</v>
      </c>
    </row>
    <row r="394" spans="1:3">
      <c r="A394">
        <v>283</v>
      </c>
      <c r="B394" s="84" t="s">
        <v>282</v>
      </c>
      <c r="C394" s="84">
        <v>1.1684999999999999E-2</v>
      </c>
    </row>
    <row r="395" spans="1:3">
      <c r="A395">
        <v>679</v>
      </c>
      <c r="B395" s="83" t="s">
        <v>282</v>
      </c>
      <c r="C395" s="83">
        <v>3.2083875000000002</v>
      </c>
    </row>
    <row r="396" spans="1:3">
      <c r="A396">
        <v>276</v>
      </c>
      <c r="B396" s="84" t="s">
        <v>275</v>
      </c>
      <c r="C396" s="84">
        <v>1.0906000000000001E-2</v>
      </c>
    </row>
    <row r="397" spans="1:3">
      <c r="A397">
        <v>672</v>
      </c>
      <c r="B397" s="83" t="s">
        <v>275</v>
      </c>
      <c r="C397" s="83">
        <v>2.9944950000000001</v>
      </c>
    </row>
    <row r="398" spans="1:3">
      <c r="A398">
        <v>284</v>
      </c>
      <c r="B398" s="84" t="s">
        <v>283</v>
      </c>
      <c r="C398" s="84">
        <v>1.6358999999999999E-2</v>
      </c>
    </row>
    <row r="399" spans="1:3">
      <c r="A399">
        <v>680</v>
      </c>
      <c r="B399" s="83" t="s">
        <v>283</v>
      </c>
      <c r="C399" s="83">
        <v>4.4917425</v>
      </c>
    </row>
    <row r="400" spans="1:3">
      <c r="A400">
        <v>277</v>
      </c>
      <c r="B400" s="84" t="s">
        <v>276</v>
      </c>
      <c r="C400" s="84">
        <v>1.558E-2</v>
      </c>
    </row>
    <row r="401" spans="1:3">
      <c r="A401">
        <v>673</v>
      </c>
      <c r="B401" s="83" t="s">
        <v>276</v>
      </c>
      <c r="C401" s="83">
        <v>4.2778499999999999</v>
      </c>
    </row>
    <row r="402" spans="1:3">
      <c r="A402">
        <v>285</v>
      </c>
      <c r="B402" s="84" t="s">
        <v>284</v>
      </c>
      <c r="C402" s="84">
        <v>2.3369999999999998E-2</v>
      </c>
    </row>
    <row r="403" spans="1:3">
      <c r="A403">
        <v>681</v>
      </c>
      <c r="B403" s="83" t="s">
        <v>284</v>
      </c>
      <c r="C403" s="83">
        <v>6.4167750000000003</v>
      </c>
    </row>
    <row r="404" spans="1:3">
      <c r="A404">
        <v>286</v>
      </c>
      <c r="B404" s="84" t="s">
        <v>285</v>
      </c>
      <c r="C404" s="84">
        <v>3.5055000000000003E-2</v>
      </c>
    </row>
    <row r="405" spans="1:3">
      <c r="A405">
        <v>682</v>
      </c>
      <c r="B405" s="83" t="s">
        <v>285</v>
      </c>
      <c r="C405" s="83">
        <v>9.6251625000000001</v>
      </c>
    </row>
    <row r="406" spans="1:3">
      <c r="A406">
        <v>278</v>
      </c>
      <c r="B406" s="84" t="s">
        <v>277</v>
      </c>
      <c r="C406" s="84">
        <v>2.3369999999999998E-2</v>
      </c>
    </row>
    <row r="407" spans="1:3">
      <c r="A407">
        <v>674</v>
      </c>
      <c r="B407" s="83" t="s">
        <v>277</v>
      </c>
      <c r="C407" s="83">
        <v>6.4167750000000003</v>
      </c>
    </row>
    <row r="408" spans="1:3">
      <c r="A408">
        <v>279</v>
      </c>
      <c r="B408" s="84" t="s">
        <v>278</v>
      </c>
      <c r="C408" s="84">
        <v>3.116E-2</v>
      </c>
    </row>
    <row r="409" spans="1:3">
      <c r="A409">
        <v>675</v>
      </c>
      <c r="B409" s="83" t="s">
        <v>278</v>
      </c>
      <c r="C409" s="83">
        <v>8.5556999999999999</v>
      </c>
    </row>
    <row r="410" spans="1:3">
      <c r="A410">
        <v>287</v>
      </c>
      <c r="B410" s="84" t="s">
        <v>286</v>
      </c>
      <c r="C410" s="84">
        <v>5.8424999999999998E-2</v>
      </c>
    </row>
    <row r="411" spans="1:3">
      <c r="A411">
        <v>683</v>
      </c>
      <c r="B411" s="83" t="s">
        <v>286</v>
      </c>
      <c r="C411" s="83">
        <v>16.0419375</v>
      </c>
    </row>
    <row r="412" spans="1:3">
      <c r="A412">
        <v>273</v>
      </c>
      <c r="B412" s="84" t="s">
        <v>272</v>
      </c>
      <c r="C412" s="84">
        <v>3.895E-3</v>
      </c>
    </row>
    <row r="413" spans="1:3">
      <c r="A413">
        <v>669</v>
      </c>
      <c r="B413" s="83" t="s">
        <v>272</v>
      </c>
      <c r="C413" s="83">
        <v>1.0694625</v>
      </c>
    </row>
    <row r="414" spans="1:3">
      <c r="A414">
        <v>281</v>
      </c>
      <c r="B414" s="84" t="s">
        <v>280</v>
      </c>
      <c r="C414" s="84">
        <v>5.8424999999999996E-3</v>
      </c>
    </row>
    <row r="415" spans="1:3">
      <c r="A415">
        <v>677</v>
      </c>
      <c r="B415" s="83" t="s">
        <v>280</v>
      </c>
      <c r="C415" s="83">
        <v>1.6041937500000001</v>
      </c>
    </row>
    <row r="416" spans="1:3">
      <c r="A416">
        <v>280</v>
      </c>
      <c r="B416" s="84" t="s">
        <v>279</v>
      </c>
      <c r="C416" s="84">
        <v>3.8949999999999999E-2</v>
      </c>
    </row>
    <row r="417" spans="1:3">
      <c r="A417">
        <v>676</v>
      </c>
      <c r="B417" s="83" t="s">
        <v>279</v>
      </c>
      <c r="C417" s="83">
        <v>10.694625</v>
      </c>
    </row>
    <row r="418" spans="1:3">
      <c r="A418">
        <v>274</v>
      </c>
      <c r="B418" s="84" t="s">
        <v>273</v>
      </c>
      <c r="C418" s="84">
        <v>5.4530000000000004E-3</v>
      </c>
    </row>
    <row r="419" spans="1:3">
      <c r="A419">
        <v>670</v>
      </c>
      <c r="B419" s="83" t="s">
        <v>273</v>
      </c>
      <c r="C419" s="83">
        <v>1.4972475000000001</v>
      </c>
    </row>
    <row r="420" spans="1:3">
      <c r="A420">
        <v>282</v>
      </c>
      <c r="B420" s="84" t="s">
        <v>281</v>
      </c>
      <c r="C420" s="84">
        <v>8.1794999999999993E-3</v>
      </c>
    </row>
    <row r="421" spans="1:3">
      <c r="A421">
        <v>678</v>
      </c>
      <c r="B421" s="83" t="s">
        <v>281</v>
      </c>
      <c r="C421" s="83">
        <v>2.24587125</v>
      </c>
    </row>
    <row r="422" spans="1:3">
      <c r="A422">
        <v>84</v>
      </c>
      <c r="B422" s="84" t="s">
        <v>83</v>
      </c>
      <c r="C422">
        <v>196.51320000000001</v>
      </c>
    </row>
    <row r="423" spans="1:3">
      <c r="A423">
        <v>480</v>
      </c>
      <c r="B423" s="83" t="s">
        <v>83</v>
      </c>
      <c r="C423">
        <v>37.859400000000001</v>
      </c>
    </row>
    <row r="424" spans="1:3">
      <c r="A424">
        <v>99</v>
      </c>
      <c r="B424" s="84" t="s">
        <v>98</v>
      </c>
      <c r="C424">
        <v>294.76979999999998</v>
      </c>
    </row>
    <row r="425" spans="1:3">
      <c r="A425">
        <v>495</v>
      </c>
      <c r="B425" s="83" t="s">
        <v>98</v>
      </c>
      <c r="C425">
        <v>56.789099999999998</v>
      </c>
    </row>
    <row r="426" spans="1:3">
      <c r="A426">
        <v>86</v>
      </c>
      <c r="B426" s="84" t="s">
        <v>85</v>
      </c>
      <c r="C426">
        <v>314.42111999999997</v>
      </c>
    </row>
    <row r="427" spans="1:3">
      <c r="A427">
        <v>482</v>
      </c>
      <c r="B427" s="83" t="s">
        <v>85</v>
      </c>
      <c r="C427">
        <v>60.575040000000001</v>
      </c>
    </row>
    <row r="428" spans="1:3">
      <c r="A428">
        <v>101</v>
      </c>
      <c r="B428" s="84" t="s">
        <v>100</v>
      </c>
      <c r="C428">
        <v>471.63168000000002</v>
      </c>
    </row>
    <row r="429" spans="1:3">
      <c r="A429">
        <v>497</v>
      </c>
      <c r="B429" s="83" t="s">
        <v>100</v>
      </c>
      <c r="C429">
        <v>90.862560000000002</v>
      </c>
    </row>
    <row r="430" spans="1:3">
      <c r="A430">
        <v>85</v>
      </c>
      <c r="B430" s="84" t="s">
        <v>84</v>
      </c>
      <c r="C430">
        <v>262.01760000000002</v>
      </c>
    </row>
    <row r="431" spans="1:3">
      <c r="A431">
        <v>481</v>
      </c>
      <c r="B431" s="83" t="s">
        <v>84</v>
      </c>
      <c r="C431">
        <v>50.479199999999999</v>
      </c>
    </row>
    <row r="432" spans="1:3">
      <c r="A432">
        <v>100</v>
      </c>
      <c r="B432" s="84" t="s">
        <v>99</v>
      </c>
      <c r="C432">
        <v>393.02640000000002</v>
      </c>
    </row>
    <row r="433" spans="1:3">
      <c r="A433">
        <v>496</v>
      </c>
      <c r="B433" s="83" t="s">
        <v>99</v>
      </c>
      <c r="C433">
        <v>75.718800000000002</v>
      </c>
    </row>
    <row r="434" spans="1:3">
      <c r="A434">
        <v>87</v>
      </c>
      <c r="B434" s="84" t="s">
        <v>86</v>
      </c>
      <c r="C434">
        <v>419.22816</v>
      </c>
    </row>
    <row r="435" spans="1:3">
      <c r="A435">
        <v>483</v>
      </c>
      <c r="B435" s="83" t="s">
        <v>86</v>
      </c>
      <c r="C435">
        <v>80.766720000000007</v>
      </c>
    </row>
    <row r="436" spans="1:3">
      <c r="A436">
        <v>102</v>
      </c>
      <c r="B436" s="84" t="s">
        <v>101</v>
      </c>
      <c r="C436">
        <v>628.84223999999995</v>
      </c>
    </row>
    <row r="437" spans="1:3">
      <c r="A437">
        <v>498</v>
      </c>
      <c r="B437" s="83" t="s">
        <v>101</v>
      </c>
      <c r="C437">
        <v>121.15008</v>
      </c>
    </row>
    <row r="438" spans="1:3">
      <c r="A438">
        <v>76</v>
      </c>
      <c r="B438" s="84" t="s">
        <v>75</v>
      </c>
      <c r="C438" s="84">
        <v>3.27522</v>
      </c>
    </row>
    <row r="439" spans="1:3">
      <c r="A439">
        <v>472</v>
      </c>
      <c r="B439" s="83" t="s">
        <v>75</v>
      </c>
      <c r="C439" s="83">
        <v>0.63099000000000005</v>
      </c>
    </row>
    <row r="440" spans="1:3">
      <c r="A440">
        <v>91</v>
      </c>
      <c r="B440" s="84" t="s">
        <v>90</v>
      </c>
      <c r="C440" s="84">
        <v>4.9128299999999996</v>
      </c>
    </row>
    <row r="441" spans="1:3">
      <c r="A441">
        <v>487</v>
      </c>
      <c r="B441" s="83" t="s">
        <v>90</v>
      </c>
      <c r="C441" s="83">
        <v>0.94648500000000002</v>
      </c>
    </row>
    <row r="442" spans="1:3">
      <c r="A442">
        <v>77</v>
      </c>
      <c r="B442" s="84" t="s">
        <v>76</v>
      </c>
      <c r="C442" s="84">
        <v>4.5853080000000004</v>
      </c>
    </row>
    <row r="443" spans="1:3">
      <c r="A443">
        <v>473</v>
      </c>
      <c r="B443" s="83" t="s">
        <v>76</v>
      </c>
      <c r="C443" s="83">
        <v>0.883386</v>
      </c>
    </row>
    <row r="444" spans="1:3">
      <c r="A444">
        <v>92</v>
      </c>
      <c r="B444" s="84" t="s">
        <v>91</v>
      </c>
      <c r="C444" s="84">
        <v>6.8779620000000001</v>
      </c>
    </row>
    <row r="445" spans="1:3">
      <c r="A445">
        <v>488</v>
      </c>
      <c r="B445" s="83" t="s">
        <v>91</v>
      </c>
      <c r="C445" s="83">
        <v>1.3250789999999999</v>
      </c>
    </row>
    <row r="446" spans="1:3">
      <c r="A446">
        <v>78</v>
      </c>
      <c r="B446" s="84" t="s">
        <v>77</v>
      </c>
      <c r="C446" s="84">
        <v>5.2403519999999997</v>
      </c>
    </row>
    <row r="447" spans="1:3">
      <c r="A447">
        <v>474</v>
      </c>
      <c r="B447" s="83" t="s">
        <v>77</v>
      </c>
      <c r="C447" s="83">
        <v>1.009584</v>
      </c>
    </row>
    <row r="448" spans="1:3">
      <c r="A448">
        <v>93</v>
      </c>
      <c r="B448" s="84" t="s">
        <v>92</v>
      </c>
      <c r="C448" s="84">
        <v>7.8605280000000004</v>
      </c>
    </row>
    <row r="449" spans="1:3">
      <c r="A449">
        <v>489</v>
      </c>
      <c r="B449" s="83" t="s">
        <v>92</v>
      </c>
      <c r="C449" s="83">
        <v>1.5143759999999999</v>
      </c>
    </row>
    <row r="450" spans="1:3">
      <c r="A450">
        <v>73</v>
      </c>
      <c r="B450" s="84" t="s">
        <v>72</v>
      </c>
      <c r="C450" s="84">
        <v>0.65504399999999996</v>
      </c>
    </row>
    <row r="451" spans="1:3">
      <c r="A451">
        <v>469</v>
      </c>
      <c r="B451" s="83" t="s">
        <v>72</v>
      </c>
      <c r="C451" s="83">
        <v>0.126198</v>
      </c>
    </row>
    <row r="452" spans="1:3">
      <c r="A452">
        <v>88</v>
      </c>
      <c r="B452" s="84" t="s">
        <v>87</v>
      </c>
      <c r="C452" s="84">
        <v>0.98256600000000005</v>
      </c>
    </row>
    <row r="453" spans="1:3">
      <c r="A453">
        <v>484</v>
      </c>
      <c r="B453" s="83" t="s">
        <v>87</v>
      </c>
      <c r="C453" s="83">
        <v>0.18929699999999999</v>
      </c>
    </row>
    <row r="454" spans="1:3">
      <c r="A454">
        <v>79</v>
      </c>
      <c r="B454" s="84" t="s">
        <v>78</v>
      </c>
      <c r="C454" s="84">
        <v>6.55044</v>
      </c>
    </row>
    <row r="455" spans="1:3">
      <c r="A455">
        <v>475</v>
      </c>
      <c r="B455" s="83" t="s">
        <v>78</v>
      </c>
      <c r="C455" s="83">
        <v>1.2619800000000001</v>
      </c>
    </row>
    <row r="456" spans="1:3">
      <c r="A456">
        <v>94</v>
      </c>
      <c r="B456" s="84" t="s">
        <v>93</v>
      </c>
      <c r="C456" s="84">
        <v>9.8256599999999992</v>
      </c>
    </row>
    <row r="457" spans="1:3">
      <c r="A457">
        <v>490</v>
      </c>
      <c r="B457" s="83" t="s">
        <v>93</v>
      </c>
      <c r="C457" s="83">
        <v>1.89297</v>
      </c>
    </row>
    <row r="458" spans="1:3">
      <c r="A458">
        <v>80</v>
      </c>
      <c r="B458" s="84" t="s">
        <v>79</v>
      </c>
      <c r="C458" s="84">
        <v>9.8256599999999992</v>
      </c>
    </row>
    <row r="459" spans="1:3">
      <c r="A459">
        <v>476</v>
      </c>
      <c r="B459" s="83" t="s">
        <v>79</v>
      </c>
      <c r="C459" s="83">
        <v>1.89297</v>
      </c>
    </row>
    <row r="460" spans="1:3">
      <c r="A460">
        <v>95</v>
      </c>
      <c r="B460" s="84" t="s">
        <v>94</v>
      </c>
      <c r="C460" s="84">
        <v>14.738490000000001</v>
      </c>
    </row>
    <row r="461" spans="1:3">
      <c r="A461">
        <v>491</v>
      </c>
      <c r="B461" s="83" t="s">
        <v>94</v>
      </c>
      <c r="C461" s="83">
        <v>2.8394550000000001</v>
      </c>
    </row>
    <row r="462" spans="1:3">
      <c r="A462">
        <v>81</v>
      </c>
      <c r="B462" s="84" t="s">
        <v>80</v>
      </c>
      <c r="C462" s="84">
        <v>13.10088</v>
      </c>
    </row>
    <row r="463" spans="1:3">
      <c r="A463">
        <v>477</v>
      </c>
      <c r="B463" s="83" t="s">
        <v>80</v>
      </c>
      <c r="C463" s="83">
        <v>2.5239600000000002</v>
      </c>
    </row>
    <row r="464" spans="1:3">
      <c r="A464">
        <v>96</v>
      </c>
      <c r="B464" s="84" t="s">
        <v>95</v>
      </c>
      <c r="C464" s="84">
        <v>19.651319999999998</v>
      </c>
    </row>
    <row r="465" spans="1:3">
      <c r="A465">
        <v>492</v>
      </c>
      <c r="B465" s="83" t="s">
        <v>95</v>
      </c>
      <c r="C465" s="83">
        <v>3.7859400000000001</v>
      </c>
    </row>
    <row r="466" spans="1:3">
      <c r="A466">
        <v>74</v>
      </c>
      <c r="B466" s="84" t="s">
        <v>73</v>
      </c>
      <c r="C466" s="84">
        <v>1.63761</v>
      </c>
    </row>
    <row r="467" spans="1:3">
      <c r="A467">
        <v>470</v>
      </c>
      <c r="B467" s="83" t="s">
        <v>73</v>
      </c>
      <c r="C467" s="83">
        <v>0.31549500000000003</v>
      </c>
    </row>
    <row r="468" spans="1:3">
      <c r="A468">
        <v>89</v>
      </c>
      <c r="B468" s="84" t="s">
        <v>88</v>
      </c>
      <c r="C468" s="84">
        <v>2.4564149999999998</v>
      </c>
    </row>
    <row r="469" spans="1:3">
      <c r="A469">
        <v>485</v>
      </c>
      <c r="B469" s="83" t="s">
        <v>88</v>
      </c>
      <c r="C469" s="83">
        <v>0.47324250000000001</v>
      </c>
    </row>
    <row r="470" spans="1:3">
      <c r="A470">
        <v>82</v>
      </c>
      <c r="B470" s="84" t="s">
        <v>81</v>
      </c>
      <c r="C470" s="84">
        <v>16.376100000000001</v>
      </c>
    </row>
    <row r="471" spans="1:3">
      <c r="A471">
        <v>478</v>
      </c>
      <c r="B471" s="83" t="s">
        <v>81</v>
      </c>
      <c r="C471" s="83">
        <v>3.1549499999999999</v>
      </c>
    </row>
    <row r="472" spans="1:3">
      <c r="A472">
        <v>97</v>
      </c>
      <c r="B472" s="84" t="s">
        <v>96</v>
      </c>
      <c r="C472" s="84">
        <v>24.564150000000001</v>
      </c>
    </row>
    <row r="473" spans="1:3">
      <c r="A473">
        <v>493</v>
      </c>
      <c r="B473" s="83" t="s">
        <v>96</v>
      </c>
      <c r="C473" s="83">
        <v>4.7324250000000001</v>
      </c>
    </row>
    <row r="474" spans="1:3">
      <c r="A474">
        <v>75</v>
      </c>
      <c r="B474" s="84" t="s">
        <v>74</v>
      </c>
      <c r="C474" s="84">
        <v>2.2926540000000002</v>
      </c>
    </row>
    <row r="475" spans="1:3">
      <c r="A475">
        <v>471</v>
      </c>
      <c r="B475" s="83" t="s">
        <v>74</v>
      </c>
      <c r="C475" s="83">
        <v>0.441693</v>
      </c>
    </row>
    <row r="476" spans="1:3">
      <c r="A476">
        <v>90</v>
      </c>
      <c r="B476" s="84" t="s">
        <v>89</v>
      </c>
      <c r="C476" s="84">
        <v>3.4389810000000001</v>
      </c>
    </row>
    <row r="477" spans="1:3">
      <c r="A477">
        <v>486</v>
      </c>
      <c r="B477" s="83" t="s">
        <v>89</v>
      </c>
      <c r="C477" s="83">
        <v>0.66253949999999995</v>
      </c>
    </row>
    <row r="478" spans="1:3">
      <c r="A478">
        <v>83</v>
      </c>
      <c r="B478" s="84" t="s">
        <v>82</v>
      </c>
      <c r="C478" s="84">
        <v>26.20176</v>
      </c>
    </row>
    <row r="479" spans="1:3">
      <c r="A479">
        <v>479</v>
      </c>
      <c r="B479" s="83" t="s">
        <v>82</v>
      </c>
      <c r="C479" s="83">
        <v>5.0479200000000004</v>
      </c>
    </row>
    <row r="480" spans="1:3">
      <c r="A480">
        <v>98</v>
      </c>
      <c r="B480" s="84" t="s">
        <v>97</v>
      </c>
      <c r="C480" s="84">
        <v>39.302639999999997</v>
      </c>
    </row>
    <row r="481" spans="1:3">
      <c r="A481">
        <v>494</v>
      </c>
      <c r="B481" s="83" t="s">
        <v>97</v>
      </c>
      <c r="C481" s="83">
        <v>7.5718800000000002</v>
      </c>
    </row>
    <row r="482" spans="1:3">
      <c r="A482">
        <v>144</v>
      </c>
      <c r="B482" s="84" t="s">
        <v>143</v>
      </c>
      <c r="C482">
        <v>210.66864000000001</v>
      </c>
    </row>
    <row r="483" spans="1:3">
      <c r="A483">
        <v>540</v>
      </c>
      <c r="B483" s="83" t="s">
        <v>143</v>
      </c>
      <c r="C483">
        <v>4.6936799999999996</v>
      </c>
    </row>
    <row r="484" spans="1:3">
      <c r="A484">
        <v>159</v>
      </c>
      <c r="B484" s="84" t="s">
        <v>158</v>
      </c>
      <c r="C484">
        <v>317.99040000000002</v>
      </c>
    </row>
    <row r="485" spans="1:3">
      <c r="A485">
        <v>555</v>
      </c>
      <c r="B485" s="83" t="s">
        <v>158</v>
      </c>
      <c r="C485">
        <v>7.0848000000000004</v>
      </c>
    </row>
    <row r="486" spans="1:3">
      <c r="A486">
        <v>146</v>
      </c>
      <c r="B486" s="84" t="s">
        <v>145</v>
      </c>
      <c r="C486">
        <v>337.06982399999998</v>
      </c>
    </row>
    <row r="487" spans="1:3">
      <c r="A487">
        <v>542</v>
      </c>
      <c r="B487" s="83" t="s">
        <v>145</v>
      </c>
      <c r="C487">
        <v>7.5098880000000001</v>
      </c>
    </row>
    <row r="488" spans="1:3">
      <c r="A488">
        <v>161</v>
      </c>
      <c r="B488" s="84" t="s">
        <v>160</v>
      </c>
      <c r="C488">
        <v>508.78464000000002</v>
      </c>
    </row>
    <row r="489" spans="1:3">
      <c r="A489">
        <v>557</v>
      </c>
      <c r="B489" s="83" t="s">
        <v>160</v>
      </c>
      <c r="C489">
        <v>11.33568</v>
      </c>
    </row>
    <row r="490" spans="1:3">
      <c r="A490">
        <v>145</v>
      </c>
      <c r="B490" s="84" t="s">
        <v>144</v>
      </c>
      <c r="C490">
        <v>280.89152000000001</v>
      </c>
    </row>
    <row r="491" spans="1:3">
      <c r="A491">
        <v>541</v>
      </c>
      <c r="B491" s="83" t="s">
        <v>144</v>
      </c>
      <c r="C491">
        <v>6.2582399999999998</v>
      </c>
    </row>
    <row r="492" spans="1:3">
      <c r="A492">
        <v>160</v>
      </c>
      <c r="B492" s="84" t="s">
        <v>159</v>
      </c>
      <c r="C492">
        <v>423.98719999999997</v>
      </c>
    </row>
    <row r="493" spans="1:3">
      <c r="A493">
        <v>556</v>
      </c>
      <c r="B493" s="83" t="s">
        <v>159</v>
      </c>
      <c r="C493">
        <v>9.4464000000000006</v>
      </c>
    </row>
    <row r="494" spans="1:3">
      <c r="A494">
        <v>147</v>
      </c>
      <c r="B494" s="84" t="s">
        <v>146</v>
      </c>
      <c r="C494">
        <v>449.42643199999998</v>
      </c>
    </row>
    <row r="495" spans="1:3">
      <c r="A495">
        <v>543</v>
      </c>
      <c r="B495" s="83" t="s">
        <v>146</v>
      </c>
      <c r="C495">
        <v>10.013184000000001</v>
      </c>
    </row>
    <row r="496" spans="1:3">
      <c r="A496">
        <v>162</v>
      </c>
      <c r="B496" s="84" t="s">
        <v>161</v>
      </c>
      <c r="C496">
        <v>678.37951999999996</v>
      </c>
    </row>
    <row r="497" spans="1:3">
      <c r="A497">
        <v>558</v>
      </c>
      <c r="B497" s="83" t="s">
        <v>161</v>
      </c>
      <c r="C497">
        <v>15.114240000000001</v>
      </c>
    </row>
    <row r="498" spans="1:3">
      <c r="A498">
        <v>136</v>
      </c>
      <c r="B498" s="84" t="s">
        <v>135</v>
      </c>
      <c r="C498" s="84">
        <v>3.5111439999999998</v>
      </c>
    </row>
    <row r="499" spans="1:3">
      <c r="A499">
        <v>532</v>
      </c>
      <c r="B499" s="83" t="s">
        <v>135</v>
      </c>
      <c r="C499" s="83">
        <v>7.8228000000000006E-2</v>
      </c>
    </row>
    <row r="500" spans="1:3">
      <c r="A500">
        <v>151</v>
      </c>
      <c r="B500" s="84" t="s">
        <v>150</v>
      </c>
      <c r="C500" s="84">
        <v>5.2998399999999997</v>
      </c>
    </row>
    <row r="501" spans="1:3">
      <c r="A501">
        <v>547</v>
      </c>
      <c r="B501" s="83" t="s">
        <v>150</v>
      </c>
      <c r="C501" s="83">
        <v>0.11808</v>
      </c>
    </row>
    <row r="502" spans="1:3">
      <c r="A502">
        <v>137</v>
      </c>
      <c r="B502" s="84" t="s">
        <v>136</v>
      </c>
      <c r="C502" s="84">
        <v>4.9156015999999996</v>
      </c>
    </row>
    <row r="503" spans="1:3">
      <c r="A503">
        <v>533</v>
      </c>
      <c r="B503" s="83" t="s">
        <v>136</v>
      </c>
      <c r="C503" s="83">
        <v>0.1095192</v>
      </c>
    </row>
    <row r="504" spans="1:3">
      <c r="A504">
        <v>152</v>
      </c>
      <c r="B504" s="84" t="s">
        <v>151</v>
      </c>
      <c r="C504" s="84">
        <v>7.4197759999999997</v>
      </c>
    </row>
    <row r="505" spans="1:3">
      <c r="A505">
        <v>548</v>
      </c>
      <c r="B505" s="83" t="s">
        <v>151</v>
      </c>
      <c r="C505" s="83">
        <v>0.16531199999999999</v>
      </c>
    </row>
    <row r="506" spans="1:3">
      <c r="A506">
        <v>138</v>
      </c>
      <c r="B506" s="84" t="s">
        <v>137</v>
      </c>
      <c r="C506" s="84">
        <v>5.6178303999999999</v>
      </c>
    </row>
    <row r="507" spans="1:3">
      <c r="A507">
        <v>534</v>
      </c>
      <c r="B507" s="83" t="s">
        <v>137</v>
      </c>
      <c r="C507" s="83">
        <v>0.12516479999999999</v>
      </c>
    </row>
    <row r="508" spans="1:3">
      <c r="A508">
        <v>153</v>
      </c>
      <c r="B508" s="84" t="s">
        <v>152</v>
      </c>
      <c r="C508" s="84">
        <v>8.4797440000000002</v>
      </c>
    </row>
    <row r="509" spans="1:3">
      <c r="A509">
        <v>549</v>
      </c>
      <c r="B509" s="83" t="s">
        <v>152</v>
      </c>
      <c r="C509" s="83">
        <v>0.18892800000000001</v>
      </c>
    </row>
    <row r="510" spans="1:3">
      <c r="A510">
        <v>133</v>
      </c>
      <c r="B510" s="84" t="s">
        <v>132</v>
      </c>
      <c r="C510" s="84">
        <v>0.70222879999999999</v>
      </c>
    </row>
    <row r="511" spans="1:3">
      <c r="A511">
        <v>529</v>
      </c>
      <c r="B511" s="83" t="s">
        <v>132</v>
      </c>
      <c r="C511" s="83">
        <v>1.5645599999999999E-2</v>
      </c>
    </row>
    <row r="512" spans="1:3">
      <c r="A512">
        <v>148</v>
      </c>
      <c r="B512" s="84" t="s">
        <v>147</v>
      </c>
      <c r="C512" s="84">
        <v>1.059968</v>
      </c>
    </row>
    <row r="513" spans="1:3">
      <c r="A513">
        <v>544</v>
      </c>
      <c r="B513" s="83" t="s">
        <v>147</v>
      </c>
      <c r="C513" s="83">
        <v>2.3616000000000002E-2</v>
      </c>
    </row>
    <row r="514" spans="1:3">
      <c r="A514">
        <v>139</v>
      </c>
      <c r="B514" s="84" t="s">
        <v>138</v>
      </c>
      <c r="C514" s="84">
        <v>7.0222879999999996</v>
      </c>
    </row>
    <row r="515" spans="1:3">
      <c r="A515">
        <v>535</v>
      </c>
      <c r="B515" s="83" t="s">
        <v>138</v>
      </c>
      <c r="C515" s="83">
        <v>0.15645600000000001</v>
      </c>
    </row>
    <row r="516" spans="1:3">
      <c r="A516">
        <v>154</v>
      </c>
      <c r="B516" s="84" t="s">
        <v>153</v>
      </c>
      <c r="C516" s="84">
        <v>10.599679999999999</v>
      </c>
    </row>
    <row r="517" spans="1:3">
      <c r="A517">
        <v>550</v>
      </c>
      <c r="B517" s="83" t="s">
        <v>153</v>
      </c>
      <c r="C517" s="83">
        <v>0.23616000000000001</v>
      </c>
    </row>
    <row r="518" spans="1:3">
      <c r="A518">
        <v>140</v>
      </c>
      <c r="B518" s="84" t="s">
        <v>139</v>
      </c>
      <c r="C518" s="84">
        <v>10.533431999999999</v>
      </c>
    </row>
    <row r="519" spans="1:3">
      <c r="A519">
        <v>536</v>
      </c>
      <c r="B519" s="83" t="s">
        <v>139</v>
      </c>
      <c r="C519" s="83">
        <v>0.234684</v>
      </c>
    </row>
    <row r="520" spans="1:3">
      <c r="A520">
        <v>155</v>
      </c>
      <c r="B520" s="84" t="s">
        <v>154</v>
      </c>
      <c r="C520" s="84">
        <v>15.899520000000001</v>
      </c>
    </row>
    <row r="521" spans="1:3">
      <c r="A521">
        <v>551</v>
      </c>
      <c r="B521" s="83" t="s">
        <v>154</v>
      </c>
      <c r="C521" s="83">
        <v>0.35424</v>
      </c>
    </row>
    <row r="522" spans="1:3">
      <c r="A522">
        <v>141</v>
      </c>
      <c r="B522" s="84" t="s">
        <v>140</v>
      </c>
      <c r="C522" s="84">
        <v>14.044575999999999</v>
      </c>
    </row>
    <row r="523" spans="1:3">
      <c r="A523">
        <v>537</v>
      </c>
      <c r="B523" s="83" t="s">
        <v>140</v>
      </c>
      <c r="C523" s="83">
        <v>0.31291200000000002</v>
      </c>
    </row>
    <row r="524" spans="1:3">
      <c r="A524">
        <v>156</v>
      </c>
      <c r="B524" s="84" t="s">
        <v>155</v>
      </c>
      <c r="C524" s="84">
        <v>21.199359999999999</v>
      </c>
    </row>
    <row r="525" spans="1:3">
      <c r="A525">
        <v>552</v>
      </c>
      <c r="B525" s="83" t="s">
        <v>155</v>
      </c>
      <c r="C525" s="83">
        <v>0.47232000000000002</v>
      </c>
    </row>
    <row r="526" spans="1:3">
      <c r="A526">
        <v>134</v>
      </c>
      <c r="B526" s="84" t="s">
        <v>133</v>
      </c>
      <c r="C526" s="84">
        <v>1.7555719999999999</v>
      </c>
    </row>
    <row r="527" spans="1:3">
      <c r="A527">
        <v>530</v>
      </c>
      <c r="B527" s="83" t="s">
        <v>133</v>
      </c>
      <c r="C527" s="83">
        <v>3.9114000000000003E-2</v>
      </c>
    </row>
    <row r="528" spans="1:3">
      <c r="A528">
        <v>149</v>
      </c>
      <c r="B528" s="84" t="s">
        <v>148</v>
      </c>
      <c r="C528" s="84">
        <v>2.6499199999999998</v>
      </c>
    </row>
    <row r="529" spans="1:3">
      <c r="A529">
        <v>545</v>
      </c>
      <c r="B529" s="83" t="s">
        <v>148</v>
      </c>
      <c r="C529" s="83">
        <v>5.9040000000000002E-2</v>
      </c>
    </row>
    <row r="530" spans="1:3">
      <c r="A530">
        <v>142</v>
      </c>
      <c r="B530" s="84" t="s">
        <v>141</v>
      </c>
      <c r="C530" s="84">
        <v>17.555720000000001</v>
      </c>
    </row>
    <row r="531" spans="1:3">
      <c r="A531">
        <v>538</v>
      </c>
      <c r="B531" s="83" t="s">
        <v>141</v>
      </c>
      <c r="C531" s="83">
        <v>0.39113999999999999</v>
      </c>
    </row>
    <row r="532" spans="1:3">
      <c r="A532">
        <v>157</v>
      </c>
      <c r="B532" s="84" t="s">
        <v>156</v>
      </c>
      <c r="C532" s="84">
        <v>26.499199999999998</v>
      </c>
    </row>
    <row r="533" spans="1:3">
      <c r="A533">
        <v>553</v>
      </c>
      <c r="B533" s="83" t="s">
        <v>156</v>
      </c>
      <c r="C533" s="83">
        <v>0.59040000000000004</v>
      </c>
    </row>
    <row r="534" spans="1:3">
      <c r="A534">
        <v>135</v>
      </c>
      <c r="B534" s="84" t="s">
        <v>134</v>
      </c>
      <c r="C534" s="84">
        <v>2.4578007999999998</v>
      </c>
    </row>
    <row r="535" spans="1:3">
      <c r="A535">
        <v>531</v>
      </c>
      <c r="B535" s="83" t="s">
        <v>134</v>
      </c>
      <c r="C535" s="83">
        <v>5.4759599999999999E-2</v>
      </c>
    </row>
    <row r="536" spans="1:3">
      <c r="A536">
        <v>150</v>
      </c>
      <c r="B536" s="84" t="s">
        <v>149</v>
      </c>
      <c r="C536" s="84">
        <v>3.7098879999999999</v>
      </c>
    </row>
    <row r="537" spans="1:3">
      <c r="A537">
        <v>546</v>
      </c>
      <c r="B537" s="83" t="s">
        <v>149</v>
      </c>
      <c r="C537" s="83">
        <v>8.2655999999999993E-2</v>
      </c>
    </row>
    <row r="538" spans="1:3">
      <c r="A538">
        <v>143</v>
      </c>
      <c r="B538" s="84" t="s">
        <v>142</v>
      </c>
      <c r="C538" s="84">
        <v>28.089151999999999</v>
      </c>
    </row>
    <row r="539" spans="1:3">
      <c r="A539">
        <v>539</v>
      </c>
      <c r="B539" s="83" t="s">
        <v>142</v>
      </c>
      <c r="C539" s="83">
        <v>0.62582400000000005</v>
      </c>
    </row>
    <row r="540" spans="1:3">
      <c r="A540">
        <v>158</v>
      </c>
      <c r="B540" s="84" t="s">
        <v>157</v>
      </c>
      <c r="C540" s="84">
        <v>42.398719999999997</v>
      </c>
    </row>
    <row r="541" spans="1:3">
      <c r="A541">
        <v>554</v>
      </c>
      <c r="B541" s="83" t="s">
        <v>157</v>
      </c>
      <c r="C541" s="83">
        <v>0.94464000000000004</v>
      </c>
    </row>
    <row r="542" spans="1:3">
      <c r="A542">
        <v>114</v>
      </c>
      <c r="B542" s="84" t="s">
        <v>113</v>
      </c>
      <c r="C542">
        <v>205.2336</v>
      </c>
    </row>
    <row r="543" spans="1:3">
      <c r="A543">
        <v>510</v>
      </c>
      <c r="B543" s="83" t="s">
        <v>113</v>
      </c>
      <c r="C543">
        <v>19.4832</v>
      </c>
    </row>
    <row r="544" spans="1:3">
      <c r="A544">
        <v>131</v>
      </c>
      <c r="B544" s="84" t="s">
        <v>130</v>
      </c>
      <c r="C544">
        <v>492.56063999999998</v>
      </c>
    </row>
    <row r="545" spans="1:3">
      <c r="A545">
        <v>527</v>
      </c>
      <c r="B545" s="83" t="s">
        <v>130</v>
      </c>
      <c r="C545">
        <v>46.759680000000003</v>
      </c>
    </row>
    <row r="546" spans="1:3">
      <c r="A546">
        <v>115</v>
      </c>
      <c r="B546" s="84" t="s">
        <v>114</v>
      </c>
      <c r="C546">
        <v>273.64479999999998</v>
      </c>
    </row>
    <row r="547" spans="1:3">
      <c r="A547">
        <v>511</v>
      </c>
      <c r="B547" s="83" t="s">
        <v>114</v>
      </c>
      <c r="C547">
        <v>25.977599999999999</v>
      </c>
    </row>
    <row r="548" spans="1:3">
      <c r="A548">
        <v>130</v>
      </c>
      <c r="B548" s="84" t="s">
        <v>129</v>
      </c>
      <c r="C548">
        <v>410.46719999999999</v>
      </c>
    </row>
    <row r="549" spans="1:3">
      <c r="A549">
        <v>526</v>
      </c>
      <c r="B549" s="83" t="s">
        <v>129</v>
      </c>
      <c r="C549">
        <v>38.9664</v>
      </c>
    </row>
    <row r="550" spans="1:3">
      <c r="A550">
        <v>106</v>
      </c>
      <c r="B550" s="84" t="s">
        <v>105</v>
      </c>
      <c r="C550" s="84">
        <v>3.42056</v>
      </c>
    </row>
    <row r="551" spans="1:3">
      <c r="A551">
        <v>502</v>
      </c>
      <c r="B551" s="83" t="s">
        <v>105</v>
      </c>
      <c r="C551" s="83">
        <v>0.32472000000000001</v>
      </c>
    </row>
    <row r="552" spans="1:3">
      <c r="A552">
        <v>107</v>
      </c>
      <c r="B552" s="84" t="s">
        <v>106</v>
      </c>
      <c r="C552" s="84">
        <v>4.7887839999999997</v>
      </c>
    </row>
    <row r="553" spans="1:3">
      <c r="A553">
        <v>503</v>
      </c>
      <c r="B553" s="83" t="s">
        <v>106</v>
      </c>
      <c r="C553" s="83">
        <v>0.45460800000000001</v>
      </c>
    </row>
    <row r="554" spans="1:3">
      <c r="A554">
        <v>108</v>
      </c>
      <c r="B554" s="84" t="s">
        <v>107</v>
      </c>
      <c r="C554" s="84">
        <v>5.4728960000000004</v>
      </c>
    </row>
    <row r="555" spans="1:3">
      <c r="A555">
        <v>504</v>
      </c>
      <c r="B555" s="83" t="s">
        <v>107</v>
      </c>
      <c r="C555" s="83">
        <v>0.51955200000000001</v>
      </c>
    </row>
    <row r="556" spans="1:3">
      <c r="A556">
        <v>123</v>
      </c>
      <c r="B556" s="84" t="s">
        <v>122</v>
      </c>
      <c r="C556" s="84">
        <v>8.2093439999999998</v>
      </c>
    </row>
    <row r="557" spans="1:3">
      <c r="A557">
        <v>519</v>
      </c>
      <c r="B557" s="83" t="s">
        <v>122</v>
      </c>
      <c r="C557" s="83">
        <v>0.77932800000000002</v>
      </c>
    </row>
    <row r="558" spans="1:3">
      <c r="A558">
        <v>109</v>
      </c>
      <c r="B558" s="84" t="s">
        <v>108</v>
      </c>
      <c r="C558" s="84">
        <v>6.8411200000000001</v>
      </c>
    </row>
    <row r="559" spans="1:3">
      <c r="A559">
        <v>505</v>
      </c>
      <c r="B559" s="83" t="s">
        <v>108</v>
      </c>
      <c r="C559" s="83">
        <v>0.64944000000000002</v>
      </c>
    </row>
    <row r="560" spans="1:3">
      <c r="A560">
        <v>110</v>
      </c>
      <c r="B560" s="84" t="s">
        <v>109</v>
      </c>
      <c r="C560" s="84">
        <v>10.26168</v>
      </c>
    </row>
    <row r="561" spans="1:3">
      <c r="A561">
        <v>506</v>
      </c>
      <c r="B561" s="83" t="s">
        <v>109</v>
      </c>
      <c r="C561" s="83">
        <v>0.97416000000000003</v>
      </c>
    </row>
    <row r="562" spans="1:3">
      <c r="A562">
        <v>111</v>
      </c>
      <c r="B562" s="84" t="s">
        <v>110</v>
      </c>
      <c r="C562" s="84">
        <v>13.68224</v>
      </c>
    </row>
    <row r="563" spans="1:3">
      <c r="A563">
        <v>507</v>
      </c>
      <c r="B563" s="83" t="s">
        <v>110</v>
      </c>
      <c r="C563" s="83">
        <v>1.29888</v>
      </c>
    </row>
    <row r="564" spans="1:3">
      <c r="A564">
        <v>119</v>
      </c>
      <c r="B564" s="84" t="s">
        <v>118</v>
      </c>
      <c r="C564" s="84">
        <v>2.56542</v>
      </c>
    </row>
    <row r="565" spans="1:3">
      <c r="A565">
        <v>515</v>
      </c>
      <c r="B565" s="83" t="s">
        <v>118</v>
      </c>
      <c r="C565" s="83">
        <v>0.24354000000000001</v>
      </c>
    </row>
    <row r="566" spans="1:3">
      <c r="A566">
        <v>105</v>
      </c>
      <c r="B566" s="84" t="s">
        <v>104</v>
      </c>
      <c r="C566" s="84">
        <v>2.3943919999999999</v>
      </c>
    </row>
    <row r="567" spans="1:3">
      <c r="A567">
        <v>501</v>
      </c>
      <c r="B567" s="83" t="s">
        <v>104</v>
      </c>
      <c r="C567" s="83">
        <v>0.22730400000000001</v>
      </c>
    </row>
    <row r="568" spans="1:3">
      <c r="A568">
        <v>113</v>
      </c>
      <c r="B568" s="84" t="s">
        <v>112</v>
      </c>
      <c r="C568" s="84">
        <v>27.36448</v>
      </c>
    </row>
    <row r="569" spans="1:3">
      <c r="A569">
        <v>509</v>
      </c>
      <c r="B569" s="83" t="s">
        <v>112</v>
      </c>
      <c r="C569" s="83">
        <v>2.5977600000000001</v>
      </c>
    </row>
    <row r="570" spans="1:3">
      <c r="A570">
        <v>129</v>
      </c>
      <c r="B570" s="84" t="s">
        <v>128</v>
      </c>
      <c r="C570">
        <v>307.85039999999998</v>
      </c>
    </row>
    <row r="571" spans="1:3">
      <c r="A571">
        <v>525</v>
      </c>
      <c r="B571" s="83" t="s">
        <v>128</v>
      </c>
      <c r="C571">
        <v>29.224799999999998</v>
      </c>
    </row>
    <row r="572" spans="1:3">
      <c r="A572">
        <v>116</v>
      </c>
      <c r="B572" s="84" t="s">
        <v>115</v>
      </c>
      <c r="C572">
        <v>328.37376</v>
      </c>
    </row>
    <row r="573" spans="1:3">
      <c r="A573">
        <v>512</v>
      </c>
      <c r="B573" s="83" t="s">
        <v>115</v>
      </c>
      <c r="C573">
        <v>31.173120000000001</v>
      </c>
    </row>
    <row r="574" spans="1:3">
      <c r="A574">
        <v>117</v>
      </c>
      <c r="B574" s="84" t="s">
        <v>116</v>
      </c>
      <c r="C574">
        <v>437.83168000000001</v>
      </c>
    </row>
    <row r="575" spans="1:3">
      <c r="A575">
        <v>513</v>
      </c>
      <c r="B575" s="83" t="s">
        <v>116</v>
      </c>
      <c r="C575">
        <v>41.564160000000001</v>
      </c>
    </row>
    <row r="576" spans="1:3">
      <c r="A576">
        <v>132</v>
      </c>
      <c r="B576" s="84" t="s">
        <v>131</v>
      </c>
      <c r="C576">
        <v>656.74752000000001</v>
      </c>
    </row>
    <row r="577" spans="1:3">
      <c r="A577">
        <v>528</v>
      </c>
      <c r="B577" s="83" t="s">
        <v>131</v>
      </c>
      <c r="C577">
        <v>62.346240000000002</v>
      </c>
    </row>
    <row r="578" spans="1:3">
      <c r="A578">
        <v>121</v>
      </c>
      <c r="B578" s="84" t="s">
        <v>120</v>
      </c>
      <c r="C578" s="84">
        <v>5.1308400000000001</v>
      </c>
    </row>
    <row r="579" spans="1:3">
      <c r="A579">
        <v>517</v>
      </c>
      <c r="B579" s="83" t="s">
        <v>120</v>
      </c>
      <c r="C579" s="83">
        <v>0.48708000000000001</v>
      </c>
    </row>
    <row r="580" spans="1:3">
      <c r="A580">
        <v>122</v>
      </c>
      <c r="B580" s="84" t="s">
        <v>121</v>
      </c>
      <c r="C580" s="84">
        <v>7.1831759999999996</v>
      </c>
    </row>
    <row r="581" spans="1:3">
      <c r="A581">
        <v>518</v>
      </c>
      <c r="B581" s="83" t="s">
        <v>121</v>
      </c>
      <c r="C581" s="83">
        <v>0.68191199999999996</v>
      </c>
    </row>
    <row r="582" spans="1:3">
      <c r="A582">
        <v>103</v>
      </c>
      <c r="B582" s="84" t="s">
        <v>102</v>
      </c>
      <c r="C582" s="84">
        <v>0.68411200000000005</v>
      </c>
    </row>
    <row r="583" spans="1:3">
      <c r="A583">
        <v>499</v>
      </c>
      <c r="B583" s="83" t="s">
        <v>102</v>
      </c>
      <c r="C583" s="83">
        <v>6.4944000000000002E-2</v>
      </c>
    </row>
    <row r="584" spans="1:3">
      <c r="A584">
        <v>118</v>
      </c>
      <c r="B584" s="84" t="s">
        <v>117</v>
      </c>
      <c r="C584" s="84">
        <v>1.026168</v>
      </c>
    </row>
    <row r="585" spans="1:3">
      <c r="A585">
        <v>514</v>
      </c>
      <c r="B585" s="83" t="s">
        <v>117</v>
      </c>
      <c r="C585" s="83">
        <v>9.7416000000000003E-2</v>
      </c>
    </row>
    <row r="586" spans="1:3">
      <c r="A586">
        <v>124</v>
      </c>
      <c r="B586" s="84" t="s">
        <v>123</v>
      </c>
      <c r="C586" s="84">
        <v>10.26168</v>
      </c>
    </row>
    <row r="587" spans="1:3">
      <c r="A587">
        <v>520</v>
      </c>
      <c r="B587" s="83" t="s">
        <v>123</v>
      </c>
      <c r="C587" s="83">
        <v>0.97416000000000003</v>
      </c>
    </row>
    <row r="588" spans="1:3">
      <c r="A588">
        <v>125</v>
      </c>
      <c r="B588" s="84" t="s">
        <v>124</v>
      </c>
      <c r="C588" s="84">
        <v>15.392519999999999</v>
      </c>
    </row>
    <row r="589" spans="1:3">
      <c r="A589">
        <v>521</v>
      </c>
      <c r="B589" s="83" t="s">
        <v>124</v>
      </c>
      <c r="C589" s="83">
        <v>1.4612400000000001</v>
      </c>
    </row>
    <row r="590" spans="1:3">
      <c r="A590">
        <v>126</v>
      </c>
      <c r="B590" s="84" t="s">
        <v>125</v>
      </c>
      <c r="C590" s="84">
        <v>20.52336</v>
      </c>
    </row>
    <row r="591" spans="1:3">
      <c r="A591">
        <v>522</v>
      </c>
      <c r="B591" s="83" t="s">
        <v>125</v>
      </c>
      <c r="C591" s="83">
        <v>1.9483200000000001</v>
      </c>
    </row>
    <row r="592" spans="1:3">
      <c r="A592">
        <v>104</v>
      </c>
      <c r="B592" s="84" t="s">
        <v>103</v>
      </c>
      <c r="C592" s="84">
        <v>1.71028</v>
      </c>
    </row>
    <row r="593" spans="1:3">
      <c r="A593">
        <v>500</v>
      </c>
      <c r="B593" s="83" t="s">
        <v>103</v>
      </c>
      <c r="C593" s="83">
        <v>0.16236</v>
      </c>
    </row>
    <row r="594" spans="1:3">
      <c r="A594">
        <v>112</v>
      </c>
      <c r="B594" s="84" t="s">
        <v>111</v>
      </c>
      <c r="C594" s="84">
        <v>17.102799999999998</v>
      </c>
    </row>
    <row r="595" spans="1:3">
      <c r="A595">
        <v>508</v>
      </c>
      <c r="B595" s="83" t="s">
        <v>111</v>
      </c>
      <c r="C595" s="83">
        <v>1.6235999999999999</v>
      </c>
    </row>
    <row r="596" spans="1:3">
      <c r="A596">
        <v>127</v>
      </c>
      <c r="B596" s="84" t="s">
        <v>126</v>
      </c>
      <c r="C596" s="84">
        <v>25.654199999999999</v>
      </c>
    </row>
    <row r="597" spans="1:3">
      <c r="A597">
        <v>523</v>
      </c>
      <c r="B597" s="83" t="s">
        <v>126</v>
      </c>
      <c r="C597" s="83">
        <v>2.4354</v>
      </c>
    </row>
    <row r="598" spans="1:3">
      <c r="A598">
        <v>120</v>
      </c>
      <c r="B598" s="84" t="s">
        <v>119</v>
      </c>
      <c r="C598" s="84">
        <v>3.5915879999999998</v>
      </c>
    </row>
    <row r="599" spans="1:3">
      <c r="A599">
        <v>516</v>
      </c>
      <c r="B599" s="83" t="s">
        <v>119</v>
      </c>
      <c r="C599" s="83">
        <v>0.34095599999999998</v>
      </c>
    </row>
    <row r="600" spans="1:3">
      <c r="A600">
        <v>128</v>
      </c>
      <c r="B600" s="84" t="s">
        <v>127</v>
      </c>
      <c r="C600" s="84">
        <v>41.046720000000001</v>
      </c>
    </row>
    <row r="601" spans="1:3">
      <c r="A601">
        <v>524</v>
      </c>
      <c r="B601" s="83" t="s">
        <v>127</v>
      </c>
      <c r="C601" s="83">
        <v>3.8966400000000001</v>
      </c>
    </row>
  </sheetData>
  <sortState ref="A1:F762">
    <sortCondition ref="B1:B76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Hoja1</vt:lpstr>
      <vt:lpstr>Hoja3</vt:lpstr>
      <vt:lpstr>Hoja4</vt:lpstr>
      <vt:lpstr>Hoja5</vt:lpstr>
      <vt:lpstr>Hoja6</vt:lpstr>
      <vt:lpstr>Hoja8</vt:lpstr>
      <vt:lpstr>Datos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</dc:creator>
  <cp:lastModifiedBy>milton</cp:lastModifiedBy>
  <dcterms:created xsi:type="dcterms:W3CDTF">2024-06-11T00:37:41Z</dcterms:created>
  <dcterms:modified xsi:type="dcterms:W3CDTF">2024-06-12T02:09:31Z</dcterms:modified>
</cp:coreProperties>
</file>